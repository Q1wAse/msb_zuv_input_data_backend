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 firstSheet="1" activeTab="2"/>
  </bookViews>
  <sheets>
    <sheet name="План общий " sheetId="1" state="veryHidden" r:id="rId1"/>
    <sheet name="Отчёт КПД ДО" sheetId="2" r:id="rId2"/>
    <sheet name="Баланс ЗС" sheetId="3" r:id="rId3"/>
    <sheet name="Лист1" sheetId="4" r:id="rId4"/>
    <sheet name="Лист1 (2)" sheetId="5" state="veryHidden" r:id="rId5"/>
    <sheet name="tech" sheetId="6" r:id="rId6"/>
  </sheets>
  <externalReferences>
    <externalReference r:id="rId7"/>
    <externalReference r:id="rId8"/>
  </externalReferences>
  <definedNames>
    <definedName name="____________q1" hidden="1">{#N/A,#N/A,FALSE,"Август Сальдо После отчета"}</definedName>
    <definedName name="___________q1" hidden="1">{#N/A,#N/A,FALSE,"Август Сальдо После отчета"}</definedName>
    <definedName name="__________q1" hidden="1">{#N/A,#N/A,FALSE,"Август Сальдо После отчета"}</definedName>
    <definedName name="_________q1" hidden="1">{#N/A,#N/A,FALSE,"Август Сальдо После отчета"}</definedName>
    <definedName name="________q1" hidden="1">{#N/A,#N/A,FALSE,"Август Сальдо После отчета"}</definedName>
    <definedName name="_______q1" hidden="1">{#N/A,#N/A,FALSE,"Август Сальдо После отчета"}</definedName>
    <definedName name="______q1" hidden="1">{#N/A,#N/A,FALSE,"Август Сальдо После отчета"}</definedName>
    <definedName name="_____q1" hidden="1">{#N/A,#N/A,FALSE,"Август Сальдо После отчета"}</definedName>
    <definedName name="____q1" hidden="1">{#N/A,#N/A,FALSE,"Август Сальдо После отчета"}</definedName>
    <definedName name="___q1" hidden="1">{#N/A,#N/A,FALSE,"Август Сальдо После отчета"}</definedName>
    <definedName name="__q1" hidden="1">{#N/A,#N/A,FALSE,"Август Сальдо После отчета"}</definedName>
    <definedName name="_asd1" hidden="1">{#N/A,#N/A,FALSE,"Август Сальдо После отчета"}</definedName>
    <definedName name="_INTERNAL_KEY1">Лист1!$5:$5</definedName>
    <definedName name="_INTERNAL_KEY2">'Лист1 (2)'!$5:$5</definedName>
    <definedName name="_q1" hidden="1">{#N/A,#N/A,FALSE,"Август Сальдо После отчета"}</definedName>
    <definedName name="_SET_ROW1">Лист1!$C:$H</definedName>
    <definedName name="_SET_ROW2">'Лист1 (2)'!$C:$H</definedName>
    <definedName name="_SHEET_ID1" localSheetId="3">1</definedName>
    <definedName name="_SHEET_ID2" localSheetId="4">1</definedName>
    <definedName name="_SHEET_ID20" localSheetId="0">1</definedName>
    <definedName name="_SHEET_ID21" localSheetId="1">1</definedName>
    <definedName name="_SHEET_ID22" localSheetId="2">1</definedName>
    <definedName name="_STATIC_REP_INTERNAL_KEY1">'Отчёт КПД ДО'!$5:$5</definedName>
    <definedName name="_STATIC_REP_SET_ROW1">'Отчёт КПД ДО'!$C:$D</definedName>
    <definedName name="_SUM_REP_INTERNAL_KEY1">'План общий '!$5:$5</definedName>
    <definedName name="_SUM_REP_INTERNAL_KEY2">'Баланс ЗС'!$5:$5</definedName>
    <definedName name="_SUM_REP_SET_ROW1">'План общий '!$C:$H</definedName>
    <definedName name="_SUM_REP_SET_ROW2">'Баланс ЗС'!$C:$H</definedName>
    <definedName name="a" hidden="1">{#N/A,#N/A,FALSE,"Август Сальдо После отчета"}</definedName>
    <definedName name="anscount" hidden="1">13</definedName>
    <definedName name="asd" hidden="1">{#N/A,#N/A,FALSE,"Август Сальдо После отчета"}</definedName>
    <definedName name="d" hidden="1">{#N/A,#N/A,FALSE,"Август Сальдо После отчета"}</definedName>
    <definedName name="e" hidden="1">{#N/A,#N/A,FALSE,"Август Сальдо После отчета"}</definedName>
    <definedName name="f" hidden="1">{#N/A,#N/A,FALSE,"Август Сальдо После отчета"}</definedName>
    <definedName name="fff" hidden="1">#REF!</definedName>
    <definedName name="g" hidden="1">{#N/A,#N/A,FALSE,"Август Сальдо После отчета"}</definedName>
    <definedName name="GlobalWork" hidden="1">" "</definedName>
    <definedName name="h" hidden="1">{#N/A,#N/A,FALSE,"Август Сальдо После отчета"}</definedName>
    <definedName name="j" hidden="1">{#N/A,#N/A,FALSE,"Август Сальдо После отчета"}</definedName>
    <definedName name="jjjj" hidden="1">{#N/A,#N/A,FALSE,"Август Сальдо После отчета"}</definedName>
    <definedName name="limcount" hidden="1">13</definedName>
    <definedName name="q" hidden="1">{#N/A,#N/A,FALSE,"Август Сальдо После отчета"}</definedName>
    <definedName name="qw" hidden="1">{#N/A,#N/A,FALSE,"Август Сальдо После отчета"}</definedName>
    <definedName name="s" hidden="1">{#N/A,#N/A,FALSE,"Август Сальдо После отчета"}</definedName>
    <definedName name="SAPBEXrevision" hidden="1">1</definedName>
    <definedName name="SAPBEXsysID" hidden="1">"PCS"</definedName>
    <definedName name="SAPBEXwbID" hidden="1">"46IZ8HZJL1NAGN7JAA6FZ12CA"</definedName>
    <definedName name="sencount" hidden="1">13</definedName>
    <definedName name="t" hidden="1">{#N/A,#N/A,FALSE,"Август Сальдо После отчета"}</definedName>
    <definedName name="u" hidden="1">{#N/A,#N/A,FALSE,"Август Сальдо После отчета"}</definedName>
    <definedName name="vb" hidden="1">{#N/A,#N/A,FALSE,"Август Сальдо После отчета"}</definedName>
    <definedName name="w" hidden="1">{#N/A,#N/A,FALSE,"Август Сальдо После отчета"}</definedName>
    <definedName name="wrn.Отчет." hidden="1">{#N/A,#N/A,FALSE,"Август Сальдо После отчета"}</definedName>
    <definedName name="wrn.Сог_Полная_Версия." hidden="1">{"СОГПолнаяВерсия",#N/A,FALSE,"СОГ"}</definedName>
    <definedName name="wrn.СОГ_Укороченная_Версия." hidden="1">{"СОГУкороченнаяВерсия",#N/A,FALSE,"СОГ"}</definedName>
    <definedName name="y" hidden="1">{#N/A,#N/A,FALSE,"Август Сальдо После отчета"}</definedName>
    <definedName name="Z_1BDBA328_8BF0_4216_A22B_2FB9A5FB2784_.wvu.PrintArea" hidden="1">[1]Лист2!$A$1:$O$144</definedName>
    <definedName name="Z_1BDBA328_8BF0_4216_A22B_2FB9A5FB2784_.wvu.PrintTitles" hidden="1">[1]Лист2!$A$4:$IV$5</definedName>
    <definedName name="Z_1BDBA328_8BF0_4216_A22B_2FB9A5FB2784_.wvu.Rows" hidden="1">[1]Лист2!$A$30:$IV$35,[1]Лист2!$A$70:$IV$72,[1]Лист2!$A$83:$IV$83,[1]Лист2!$A$88:$IV$88,[1]Лист2!$A$111:$IV$112,[1]Лист2!$A$119:$IV$124,[1]Лист2!$A$135:$IV$137</definedName>
    <definedName name="а" hidden="1">{#N/A,#N/A,FALSE,"Август Сальдо После отчета"}</definedName>
    <definedName name="ааа" hidden="1">{#N/A,#N/A,FALSE,"Август Сальдо После отчета"}</definedName>
    <definedName name="аааааааа" hidden="1">{#N/A,#N/A,FALSE,"Август Сальдо После отчета"}</definedName>
    <definedName name="ааааааааа" hidden="1">{#N/A,#N/A,FALSE,"Август Сальдо После отчета"}</definedName>
    <definedName name="аааааааааааааваа" hidden="1">{#N/A,#N/A,FALSE,"Август Сальдо После отчета"}</definedName>
    <definedName name="апрапрпорл" hidden="1">{#N/A,#N/A,FALSE,"Август Сальдо После отчета"}</definedName>
    <definedName name="ар" hidden="1">{#N/A,#N/A,FALSE,"Август Сальдо После отчета"}</definedName>
    <definedName name="б" hidden="1">{#N/A,#N/A,FALSE,"Август Сальдо После отчета"}</definedName>
    <definedName name="база" hidden="1">{#N/A,#N/A,FALSE,"Август Сальдо После отчета"}</definedName>
    <definedName name="в" hidden="1">{#N/A,#N/A,FALSE,"Август Сальдо После отчета"}</definedName>
    <definedName name="ввв" hidden="1">{#N/A,#N/A,FALSE,"Август Сальдо После отчета"}</definedName>
    <definedName name="ггг" hidden="1">{#N/A,#N/A,FALSE,"Август Сальдо После отчета"}</definedName>
    <definedName name="ее" hidden="1">{#N/A,#N/A,FALSE,"Август Сальдо После отчета"}</definedName>
    <definedName name="ж" hidden="1">{#N/A,#N/A,FALSE,"Август Сальдо После отчета"}</definedName>
    <definedName name="з" hidden="1">{#N/A,#N/A,FALSE,"Август Сальдо После отчета"}</definedName>
    <definedName name="и" hidden="1">{#N/A,#N/A,FALSE,"Август Сальдо После отчета"}</definedName>
    <definedName name="июнь" hidden="1">{#N/A,#N/A,FALSE,"Август Сальдо После отчета"}</definedName>
    <definedName name="йй" hidden="1">{#N/A,#N/A,FALSE,"Август Сальдо После отчета"}</definedName>
    <definedName name="йййй" hidden="1">{#N/A,#N/A,FALSE,"Август Сальдо После отчета"}</definedName>
    <definedName name="к" hidden="1">{#N/A,#N/A,FALSE,"Август Сальдо После отчета"}</definedName>
    <definedName name="кк" hidden="1">{#N/A,#N/A,FALSE,"Август Сальдо После отчета"}</definedName>
    <definedName name="кп" hidden="1">{#N/A,#N/A,FALSE,"Август Сальдо После отчета"}</definedName>
    <definedName name="кпп" hidden="1">{#N/A,#N/A,FALSE,"Август Сальдо После отчета"}</definedName>
    <definedName name="л" hidden="1">{#N/A,#N/A,FALSE,"Август Сальдо После отчета"}</definedName>
    <definedName name="лл" hidden="1">{#N/A,#N/A,FALSE,"Август Сальдо После отчета"}</definedName>
    <definedName name="ло" hidden="1">{#N/A,#N/A,FALSE,"Август Сальдо После отчета"}</definedName>
    <definedName name="лр" hidden="1">{#N/A,#N/A,FALSE,"Август Сальдо После отчета"}</definedName>
    <definedName name="м" hidden="1">{#N/A,#N/A,FALSE,"Август Сальдо После отчета"}</definedName>
    <definedName name="н" hidden="1">{#N/A,#N/A,FALSE,"Август Сальдо После отчета"}</definedName>
    <definedName name="НВ" hidden="1">{#N/A,#N/A,FALSE,"Август Сальдо После отчета"}</definedName>
    <definedName name="ннн" hidden="1">{#N/A,#N/A,FALSE,"Август Сальдо После отчета"}</definedName>
    <definedName name="нов." hidden="1">{#N/A,#N/A,FALSE,"Август Сальдо После отчета"}</definedName>
    <definedName name="о" hidden="1">{#N/A,#N/A,FALSE,"Август Сальдо После отчета"}</definedName>
    <definedName name="ол" hidden="1">{#N/A,#N/A,FALSE,"Август Сальдо После отчета"}</definedName>
    <definedName name="олджлждждж" hidden="1">{#N/A,#N/A,FALSE,"Август Сальдо После отчета"}</definedName>
    <definedName name="оо" hidden="1">{#N/A,#N/A,FALSE,"Август Сальдо После отчета"}</definedName>
    <definedName name="ооо" hidden="1">{#N/A,#N/A,FALSE,"Август Сальдо После отчета"}</definedName>
    <definedName name="оооо" hidden="1">{#N/A,#N/A,FALSE,"Август Сальдо После отчета"}</definedName>
    <definedName name="ооооо" hidden="1">{#N/A,#N/A,FALSE,"Август Сальдо После отчета"}</definedName>
    <definedName name="орлордлодлдл" hidden="1">{#N/A,#N/A,FALSE,"Август Сальдо После отчета"}</definedName>
    <definedName name="отчет" hidden="1">{#N/A,#N/A,FALSE,"Август Сальдо После отчета"}</definedName>
    <definedName name="п" hidden="1">{#N/A,#N/A,FALSE,"Август Сальдо После отчета"}</definedName>
    <definedName name="ппп" hidden="1">{#N/A,#N/A,FALSE,"Август Сальдо После отчета"}</definedName>
    <definedName name="пппп" hidden="1">{#N/A,#N/A,FALSE,"Август Сальдо После отчета"}</definedName>
    <definedName name="прап" hidden="1">{#N/A,#N/A,FALSE,"Август Сальдо После отчета"}</definedName>
    <definedName name="ПРИБЫЛЬ" hidden="1">{#N/A,#N/A,FALSE,"Август Сальдо После отчета"}</definedName>
    <definedName name="про" hidden="1">{#N/A,#N/A,FALSE,"Август Сальдо После отчета"}</definedName>
    <definedName name="проо" hidden="1">{#N/A,#N/A,FALSE,"Август Сальдо После отчета"}</definedName>
    <definedName name="ПХГ" hidden="1">{"СОГПолнаяВерсия",#N/A,FALSE,"СОГ"}</definedName>
    <definedName name="р" hidden="1">{#N/A,#N/A,FALSE,"Август Сальдо После отчета"}</definedName>
    <definedName name="роо" hidden="1">{#N/A,#N/A,FALSE,"Август Сальдо После отчета"}</definedName>
    <definedName name="ррр" hidden="1">{#N/A,#N/A,FALSE,"Август Сальдо После отчета"}</definedName>
    <definedName name="с" hidden="1">{#N/A,#N/A,FALSE,"Август Сальдо После отчета"}</definedName>
    <definedName name="смета" hidden="1">#REF!</definedName>
    <definedName name="СНП" hidden="1">#REF!</definedName>
    <definedName name="сравнен" hidden="1">{#N/A,#N/A,FALSE,"Август Сальдо После отчета"}</definedName>
    <definedName name="Сцен.новые" hidden="1">{#N/A,#N/A,FALSE,"Август Сальдо После отчета"}</definedName>
    <definedName name="т" hidden="1">{#N/A,#N/A,FALSE,"Август Сальдо После отчета"}</definedName>
    <definedName name="транзит" hidden="1">{#N/A,#N/A,FALSE,"Август Сальдо После отчета"}</definedName>
    <definedName name="транзит2" hidden="1">{#N/A,#N/A,FALSE,"Август Сальдо После отчета"}</definedName>
    <definedName name="ттттт" hidden="1">{#N/A,#N/A,FALSE,"Август Сальдо После отчета"}</definedName>
    <definedName name="у" hidden="1">{#N/A,#N/A,FALSE,"Август Сальдо После отчета"}</definedName>
    <definedName name="ууу" hidden="1">{#N/A,#N/A,FALSE,"Август Сальдо После отчета"}</definedName>
    <definedName name="ф" hidden="1">{#N/A,#N/A,FALSE,"Август Сальдо После отчета"}</definedName>
    <definedName name="ф7" hidden="1">[2]ИД!#REF!</definedName>
    <definedName name="факт" hidden="1">{#N/A,#N/A,FALSE,"Август Сальдо После отчета"}</definedName>
    <definedName name="фы" hidden="1">#REF!</definedName>
    <definedName name="цв" hidden="1">{#N/A,#N/A,FALSE,"Август Сальдо После отчета"}</definedName>
    <definedName name="цк" hidden="1">{#N/A,#N/A,FALSE,"Август Сальдо После отчета"}</definedName>
    <definedName name="цкк" hidden="1">{#N/A,#N/A,FALSE,"Август Сальдо После отчета"}</definedName>
    <definedName name="цккк" hidden="1">{#N/A,#N/A,FALSE,"Август Сальдо После отчета"}</definedName>
    <definedName name="цкккк" hidden="1">{#N/A,#N/A,FALSE,"Август Сальдо После отчета"}</definedName>
    <definedName name="цккккк" hidden="1">{#N/A,#N/A,FALSE,"Август Сальдо После отчета"}</definedName>
    <definedName name="цкккккк" hidden="1">{#N/A,#N/A,FALSE,"Август Сальдо После отчета"}</definedName>
    <definedName name="цц" hidden="1">{#N/A,#N/A,FALSE,"Август Сальдо После отчета"}</definedName>
    <definedName name="ч" hidden="1">{#N/A,#N/A,FALSE,"Август Сальдо После отчета"}</definedName>
    <definedName name="ш" hidden="1">{#N/A,#N/A,FALSE,"Август Сальдо После отчета"}</definedName>
    <definedName name="шшш" hidden="1">{#N/A,#N/A,FALSE,"Август Сальдо После отчета"}</definedName>
    <definedName name="щ" hidden="1">{#N/A,#N/A,FALSE,"Август Сальдо После отчета"}</definedName>
    <definedName name="щщщ" hidden="1">{#N/A,#N/A,FALSE,"Август Сальдо После отчета"}</definedName>
    <definedName name="ы" hidden="1">{#N/A,#N/A,FALSE,"Август Сальдо После отчета"}</definedName>
    <definedName name="ь" hidden="1">{#N/A,#N/A,FALSE,"Август Сальдо После отчета"}</definedName>
    <definedName name="ю" hidden="1">{#N/A,#N/A,FALSE,"Август Сальдо После отчета"}</definedName>
    <definedName name="я" hidden="1">{#N/A,#N/A,FALSE,"Август Сальдо После отчета"}</definedName>
  </definedNames>
  <calcPr calcId="152511"/>
</workbook>
</file>

<file path=xl/calcChain.xml><?xml version="1.0" encoding="utf-8"?>
<calcChain xmlns="http://schemas.openxmlformats.org/spreadsheetml/2006/main">
  <c r="EH83" i="4" l="1"/>
  <c r="DZ83" i="4"/>
  <c r="DR83" i="4"/>
  <c r="DB83" i="4"/>
  <c r="CT83" i="4"/>
  <c r="CL83" i="4"/>
  <c r="BV83" i="4"/>
  <c r="BN83" i="4"/>
  <c r="BF83" i="4"/>
  <c r="AP83" i="4"/>
  <c r="AH83" i="4"/>
  <c r="Z83" i="4"/>
  <c r="EM81" i="4"/>
  <c r="EL81" i="4"/>
  <c r="EK81" i="4"/>
  <c r="EJ81" i="4"/>
  <c r="EI81" i="4"/>
  <c r="EH81" i="4"/>
  <c r="EE81" i="4"/>
  <c r="ED81" i="4"/>
  <c r="EC81" i="4"/>
  <c r="EB81" i="4"/>
  <c r="EG81" i="4" s="1"/>
  <c r="EA81" i="4"/>
  <c r="DZ81" i="4"/>
  <c r="DW81" i="4"/>
  <c r="DV81" i="4"/>
  <c r="DU81" i="4"/>
  <c r="DT81" i="4"/>
  <c r="DS81" i="4"/>
  <c r="DR81" i="4"/>
  <c r="DO81" i="4"/>
  <c r="DM81" i="4"/>
  <c r="DK81" i="4"/>
  <c r="DJ81" i="4"/>
  <c r="DG81" i="4"/>
  <c r="DF81" i="4"/>
  <c r="DE81" i="4"/>
  <c r="DD81" i="4"/>
  <c r="DI81" i="4" s="1"/>
  <c r="DC81" i="4"/>
  <c r="DB81" i="4"/>
  <c r="CY81" i="4"/>
  <c r="CX81" i="4"/>
  <c r="CW81" i="4"/>
  <c r="CV81" i="4"/>
  <c r="CU81" i="4"/>
  <c r="CT81" i="4"/>
  <c r="CQ81" i="4"/>
  <c r="CP81" i="4"/>
  <c r="CO81" i="4"/>
  <c r="CN81" i="4"/>
  <c r="CS81" i="4" s="1"/>
  <c r="CM81" i="4"/>
  <c r="CL81" i="4"/>
  <c r="CI81" i="4"/>
  <c r="CH81" i="4"/>
  <c r="CG81" i="4"/>
  <c r="CE81" i="4"/>
  <c r="CA81" i="4"/>
  <c r="BZ81" i="4"/>
  <c r="BY81" i="4"/>
  <c r="BX81" i="4"/>
  <c r="CC81" i="4" s="1"/>
  <c r="BW81" i="4"/>
  <c r="BV81" i="4"/>
  <c r="BS81" i="4"/>
  <c r="BR81" i="4"/>
  <c r="BQ81" i="4"/>
  <c r="BP81" i="4"/>
  <c r="BO81" i="4"/>
  <c r="BN81" i="4"/>
  <c r="BK81" i="4"/>
  <c r="BJ81" i="4"/>
  <c r="BI81" i="4"/>
  <c r="BH81" i="4"/>
  <c r="BM81" i="4" s="1"/>
  <c r="BG81" i="4"/>
  <c r="BF81" i="4"/>
  <c r="BC81" i="4"/>
  <c r="BB81" i="4"/>
  <c r="BA81" i="4"/>
  <c r="AY81" i="4"/>
  <c r="AU81" i="4"/>
  <c r="AT81" i="4"/>
  <c r="AS81" i="4"/>
  <c r="AR81" i="4"/>
  <c r="AQ81" i="4"/>
  <c r="AP81" i="4"/>
  <c r="AM81" i="4"/>
  <c r="AL81" i="4"/>
  <c r="AK81" i="4"/>
  <c r="AJ81" i="4"/>
  <c r="AO81" i="4" s="1"/>
  <c r="AI81" i="4"/>
  <c r="AH81" i="4"/>
  <c r="AE81" i="4"/>
  <c r="AD81" i="4"/>
  <c r="AC81" i="4"/>
  <c r="AB81" i="4"/>
  <c r="AA81" i="4"/>
  <c r="Z81" i="4"/>
  <c r="W81" i="4"/>
  <c r="U81" i="4"/>
  <c r="S81" i="4"/>
  <c r="R81" i="4"/>
  <c r="O81" i="4"/>
  <c r="M81" i="4"/>
  <c r="K81" i="4"/>
  <c r="EO80" i="4"/>
  <c r="EN80" i="4"/>
  <c r="EG80" i="4"/>
  <c r="EF80" i="4"/>
  <c r="DY80" i="4"/>
  <c r="DX80" i="4"/>
  <c r="DP80" i="4"/>
  <c r="DN80" i="4"/>
  <c r="DL80" i="4"/>
  <c r="DQ80" i="4" s="1"/>
  <c r="DJ80" i="4"/>
  <c r="DI80" i="4"/>
  <c r="DH80" i="4"/>
  <c r="DA80" i="4"/>
  <c r="CZ80" i="4"/>
  <c r="CS80" i="4"/>
  <c r="CR80" i="4"/>
  <c r="CH80" i="4"/>
  <c r="N80" i="4" s="1"/>
  <c r="CF80" i="4"/>
  <c r="CK80" i="4" s="1"/>
  <c r="CD80" i="4"/>
  <c r="CC80" i="4"/>
  <c r="CB80" i="4"/>
  <c r="BU80" i="4"/>
  <c r="BT80" i="4"/>
  <c r="BM80" i="4"/>
  <c r="BL80" i="4"/>
  <c r="BB80" i="4"/>
  <c r="AZ80" i="4"/>
  <c r="AX80" i="4"/>
  <c r="AW80" i="4"/>
  <c r="AV80" i="4"/>
  <c r="AO80" i="4"/>
  <c r="AN80" i="4"/>
  <c r="AG80" i="4"/>
  <c r="AF80" i="4"/>
  <c r="V80" i="4"/>
  <c r="T80" i="4"/>
  <c r="R80" i="4"/>
  <c r="L80" i="4"/>
  <c r="EO79" i="4"/>
  <c r="EN79" i="4"/>
  <c r="EG79" i="4"/>
  <c r="EF79" i="4"/>
  <c r="DY79" i="4"/>
  <c r="DX79" i="4"/>
  <c r="DQ79" i="4"/>
  <c r="DN79" i="4"/>
  <c r="DL79" i="4"/>
  <c r="DJ79" i="4"/>
  <c r="J79" i="4" s="1"/>
  <c r="DI79" i="4"/>
  <c r="DH79" i="4"/>
  <c r="DA79" i="4"/>
  <c r="CZ79" i="4"/>
  <c r="CS79" i="4"/>
  <c r="CR79" i="4"/>
  <c r="CJ79" i="4"/>
  <c r="CH79" i="4"/>
  <c r="CF79" i="4"/>
  <c r="CK79" i="4" s="1"/>
  <c r="CD79" i="4"/>
  <c r="CC79" i="4"/>
  <c r="CB79" i="4"/>
  <c r="BU79" i="4"/>
  <c r="BT79" i="4"/>
  <c r="BM79" i="4"/>
  <c r="BL79" i="4"/>
  <c r="BB79" i="4"/>
  <c r="AZ79" i="4"/>
  <c r="AX79" i="4"/>
  <c r="BE79" i="4" s="1"/>
  <c r="AW79" i="4"/>
  <c r="AV79" i="4"/>
  <c r="AO79" i="4"/>
  <c r="AN79" i="4"/>
  <c r="AG79" i="4"/>
  <c r="AF79" i="4"/>
  <c r="V79" i="4"/>
  <c r="T79" i="4"/>
  <c r="R79" i="4"/>
  <c r="N79" i="4"/>
  <c r="EO78" i="4"/>
  <c r="EN78" i="4"/>
  <c r="EG78" i="4"/>
  <c r="EF78" i="4"/>
  <c r="DY78" i="4"/>
  <c r="DX78" i="4"/>
  <c r="DN78" i="4"/>
  <c r="DL78" i="4"/>
  <c r="DJ78" i="4"/>
  <c r="DI78" i="4"/>
  <c r="DH78" i="4"/>
  <c r="DA78" i="4"/>
  <c r="CZ78" i="4"/>
  <c r="CS78" i="4"/>
  <c r="CR78" i="4"/>
  <c r="CK78" i="4"/>
  <c r="CH78" i="4"/>
  <c r="CF78" i="4"/>
  <c r="CD78" i="4"/>
  <c r="CC78" i="4"/>
  <c r="CB78" i="4"/>
  <c r="BU78" i="4"/>
  <c r="BT78" i="4"/>
  <c r="BM78" i="4"/>
  <c r="BL78" i="4"/>
  <c r="BD78" i="4"/>
  <c r="BB78" i="4"/>
  <c r="AZ78" i="4"/>
  <c r="BE78" i="4" s="1"/>
  <c r="AX78" i="4"/>
  <c r="AW78" i="4"/>
  <c r="AV78" i="4"/>
  <c r="AO78" i="4"/>
  <c r="AN78" i="4"/>
  <c r="AG78" i="4"/>
  <c r="AF78" i="4"/>
  <c r="V78" i="4"/>
  <c r="N78" i="4" s="1"/>
  <c r="T78" i="4"/>
  <c r="X78" i="4" s="1"/>
  <c r="R78" i="4"/>
  <c r="Y78" i="4" s="1"/>
  <c r="EO77" i="4"/>
  <c r="EN77" i="4"/>
  <c r="EG77" i="4"/>
  <c r="EF77" i="4"/>
  <c r="DY77" i="4"/>
  <c r="DX77" i="4"/>
  <c r="DN77" i="4"/>
  <c r="N77" i="4" s="1"/>
  <c r="DL77" i="4"/>
  <c r="DP77" i="4" s="1"/>
  <c r="DJ77" i="4"/>
  <c r="DQ77" i="4" s="1"/>
  <c r="DI77" i="4"/>
  <c r="DH77" i="4"/>
  <c r="DA77" i="4"/>
  <c r="CZ77" i="4"/>
  <c r="CS77" i="4"/>
  <c r="CR77" i="4"/>
  <c r="CH77" i="4"/>
  <c r="CF77" i="4"/>
  <c r="CD77" i="4"/>
  <c r="CC77" i="4"/>
  <c r="CB77" i="4"/>
  <c r="BU77" i="4"/>
  <c r="BT77" i="4"/>
  <c r="BM77" i="4"/>
  <c r="BL77" i="4"/>
  <c r="BE77" i="4"/>
  <c r="BB77" i="4"/>
  <c r="AZ77" i="4"/>
  <c r="AX77" i="4"/>
  <c r="AW77" i="4"/>
  <c r="AV77" i="4"/>
  <c r="AO77" i="4"/>
  <c r="AN77" i="4"/>
  <c r="AG77" i="4"/>
  <c r="AF77" i="4"/>
  <c r="X77" i="4"/>
  <c r="V77" i="4"/>
  <c r="T77" i="4"/>
  <c r="Y77" i="4" s="1"/>
  <c r="R77" i="4"/>
  <c r="J77" i="4"/>
  <c r="EO76" i="4"/>
  <c r="EN76" i="4"/>
  <c r="EG76" i="4"/>
  <c r="EF76" i="4"/>
  <c r="DY76" i="4"/>
  <c r="DX76" i="4"/>
  <c r="DP76" i="4"/>
  <c r="DN76" i="4"/>
  <c r="DL76" i="4"/>
  <c r="DQ76" i="4" s="1"/>
  <c r="DJ76" i="4"/>
  <c r="DI76" i="4"/>
  <c r="DH76" i="4"/>
  <c r="DA76" i="4"/>
  <c r="CZ76" i="4"/>
  <c r="CS76" i="4"/>
  <c r="CR76" i="4"/>
  <c r="CH76" i="4"/>
  <c r="CF76" i="4"/>
  <c r="CJ76" i="4" s="1"/>
  <c r="CD76" i="4"/>
  <c r="CK76" i="4" s="1"/>
  <c r="CC76" i="4"/>
  <c r="CB76" i="4"/>
  <c r="BU76" i="4"/>
  <c r="BT76" i="4"/>
  <c r="BM76" i="4"/>
  <c r="BL76" i="4"/>
  <c r="BB76" i="4"/>
  <c r="AZ76" i="4"/>
  <c r="AX76" i="4"/>
  <c r="AW76" i="4"/>
  <c r="AV76" i="4"/>
  <c r="AO76" i="4"/>
  <c r="AN76" i="4"/>
  <c r="AG76" i="4"/>
  <c r="AF76" i="4"/>
  <c r="Y76" i="4"/>
  <c r="V76" i="4"/>
  <c r="T76" i="4"/>
  <c r="R76" i="4"/>
  <c r="L76" i="4"/>
  <c r="EO75" i="4"/>
  <c r="EN75" i="4"/>
  <c r="EG75" i="4"/>
  <c r="EF75" i="4"/>
  <c r="DY75" i="4"/>
  <c r="DX75" i="4"/>
  <c r="DN75" i="4"/>
  <c r="DL75" i="4"/>
  <c r="DJ75" i="4"/>
  <c r="DI75" i="4"/>
  <c r="DH75" i="4"/>
  <c r="DA75" i="4"/>
  <c r="CZ75" i="4"/>
  <c r="CS75" i="4"/>
  <c r="CR75" i="4"/>
  <c r="CJ75" i="4"/>
  <c r="CH75" i="4"/>
  <c r="CF75" i="4"/>
  <c r="CK75" i="4" s="1"/>
  <c r="CD75" i="4"/>
  <c r="CC75" i="4"/>
  <c r="CB75" i="4"/>
  <c r="BU75" i="4"/>
  <c r="BT75" i="4"/>
  <c r="BM75" i="4"/>
  <c r="BL75" i="4"/>
  <c r="BB75" i="4"/>
  <c r="AZ75" i="4"/>
  <c r="BD75" i="4" s="1"/>
  <c r="AX75" i="4"/>
  <c r="BE75" i="4" s="1"/>
  <c r="AW75" i="4"/>
  <c r="AV75" i="4"/>
  <c r="AO75" i="4"/>
  <c r="AN75" i="4"/>
  <c r="AG75" i="4"/>
  <c r="AF75" i="4"/>
  <c r="V75" i="4"/>
  <c r="T75" i="4"/>
  <c r="R75" i="4"/>
  <c r="N75" i="4"/>
  <c r="EO74" i="4"/>
  <c r="EN74" i="4"/>
  <c r="EG74" i="4"/>
  <c r="EF74" i="4"/>
  <c r="DY74" i="4"/>
  <c r="DX74" i="4"/>
  <c r="DN74" i="4"/>
  <c r="DL74" i="4"/>
  <c r="DJ74" i="4"/>
  <c r="DI74" i="4"/>
  <c r="DH74" i="4"/>
  <c r="DA74" i="4"/>
  <c r="CZ74" i="4"/>
  <c r="CS74" i="4"/>
  <c r="CR74" i="4"/>
  <c r="CH74" i="4"/>
  <c r="CF74" i="4"/>
  <c r="CD74" i="4"/>
  <c r="CC74" i="4"/>
  <c r="CB74" i="4"/>
  <c r="BU74" i="4"/>
  <c r="BT74" i="4"/>
  <c r="BM74" i="4"/>
  <c r="BL74" i="4"/>
  <c r="BD74" i="4"/>
  <c r="BB74" i="4"/>
  <c r="AZ74" i="4"/>
  <c r="BE74" i="4" s="1"/>
  <c r="AX74" i="4"/>
  <c r="AW74" i="4"/>
  <c r="AV74" i="4"/>
  <c r="AO74" i="4"/>
  <c r="AN74" i="4"/>
  <c r="AG74" i="4"/>
  <c r="AF74" i="4"/>
  <c r="V74" i="4"/>
  <c r="N74" i="4" s="1"/>
  <c r="T74" i="4"/>
  <c r="X74" i="4" s="1"/>
  <c r="R74" i="4"/>
  <c r="Y74" i="4" s="1"/>
  <c r="EO73" i="4"/>
  <c r="EN73" i="4"/>
  <c r="EG73" i="4"/>
  <c r="EF73" i="4"/>
  <c r="DY73" i="4"/>
  <c r="DX73" i="4"/>
  <c r="DN73" i="4"/>
  <c r="N73" i="4" s="1"/>
  <c r="N81" i="4" s="1"/>
  <c r="DL73" i="4"/>
  <c r="DL81" i="4" s="1"/>
  <c r="DJ73" i="4"/>
  <c r="DQ73" i="4" s="1"/>
  <c r="DI73" i="4"/>
  <c r="DH73" i="4"/>
  <c r="DA73" i="4"/>
  <c r="CZ73" i="4"/>
  <c r="CS73" i="4"/>
  <c r="CR73" i="4"/>
  <c r="CH73" i="4"/>
  <c r="CF73" i="4"/>
  <c r="CD73" i="4"/>
  <c r="CC73" i="4"/>
  <c r="CB73" i="4"/>
  <c r="BU73" i="4"/>
  <c r="BT73" i="4"/>
  <c r="BM73" i="4"/>
  <c r="BL73" i="4"/>
  <c r="BB73" i="4"/>
  <c r="AZ73" i="4"/>
  <c r="AZ81" i="4" s="1"/>
  <c r="AX73" i="4"/>
  <c r="AW73" i="4"/>
  <c r="AV73" i="4"/>
  <c r="AO73" i="4"/>
  <c r="AN73" i="4"/>
  <c r="AG73" i="4"/>
  <c r="AF73" i="4"/>
  <c r="X73" i="4"/>
  <c r="V73" i="4"/>
  <c r="T73" i="4"/>
  <c r="T81" i="4" s="1"/>
  <c r="R73" i="4"/>
  <c r="J73" i="4"/>
  <c r="EO72" i="4"/>
  <c r="EN72" i="4"/>
  <c r="EG72" i="4"/>
  <c r="EF72" i="4"/>
  <c r="DY72" i="4"/>
  <c r="DX72" i="4"/>
  <c r="DP72" i="4"/>
  <c r="DN72" i="4"/>
  <c r="DL72" i="4"/>
  <c r="DQ72" i="4" s="1"/>
  <c r="DJ72" i="4"/>
  <c r="DI72" i="4"/>
  <c r="DH72" i="4"/>
  <c r="DA72" i="4"/>
  <c r="CZ72" i="4"/>
  <c r="CS72" i="4"/>
  <c r="CR72" i="4"/>
  <c r="CH72" i="4"/>
  <c r="CF72" i="4"/>
  <c r="CJ72" i="4" s="1"/>
  <c r="CD72" i="4"/>
  <c r="CK72" i="4" s="1"/>
  <c r="CC72" i="4"/>
  <c r="CB72" i="4"/>
  <c r="BU72" i="4"/>
  <c r="BT72" i="4"/>
  <c r="BM72" i="4"/>
  <c r="BL72" i="4"/>
  <c r="BB72" i="4"/>
  <c r="AZ72" i="4"/>
  <c r="AX72" i="4"/>
  <c r="AW72" i="4"/>
  <c r="AV72" i="4"/>
  <c r="AO72" i="4"/>
  <c r="AN72" i="4"/>
  <c r="AG72" i="4"/>
  <c r="AF72" i="4"/>
  <c r="Y72" i="4"/>
  <c r="V72" i="4"/>
  <c r="N72" i="4" s="1"/>
  <c r="T72" i="4"/>
  <c r="R72" i="4"/>
  <c r="L72" i="4"/>
  <c r="EO71" i="4"/>
  <c r="EN71" i="4"/>
  <c r="EG71" i="4"/>
  <c r="EF71" i="4"/>
  <c r="DY71" i="4"/>
  <c r="DX71" i="4"/>
  <c r="DQ71" i="4"/>
  <c r="DN71" i="4"/>
  <c r="DL71" i="4"/>
  <c r="DJ71" i="4"/>
  <c r="DI71" i="4"/>
  <c r="DH71" i="4"/>
  <c r="DA71" i="4"/>
  <c r="CZ71" i="4"/>
  <c r="CS71" i="4"/>
  <c r="CR71" i="4"/>
  <c r="CJ71" i="4"/>
  <c r="CH71" i="4"/>
  <c r="CF71" i="4"/>
  <c r="CK71" i="4" s="1"/>
  <c r="CD71" i="4"/>
  <c r="CC71" i="4"/>
  <c r="CB71" i="4"/>
  <c r="BU71" i="4"/>
  <c r="BT71" i="4"/>
  <c r="BM71" i="4"/>
  <c r="BL71" i="4"/>
  <c r="BB71" i="4"/>
  <c r="AZ71" i="4"/>
  <c r="BD71" i="4" s="1"/>
  <c r="AX71" i="4"/>
  <c r="BE71" i="4" s="1"/>
  <c r="AW71" i="4"/>
  <c r="AV71" i="4"/>
  <c r="AO71" i="4"/>
  <c r="AN71" i="4"/>
  <c r="AG71" i="4"/>
  <c r="AF71" i="4"/>
  <c r="V71" i="4"/>
  <c r="T71" i="4"/>
  <c r="R71" i="4"/>
  <c r="N71" i="4"/>
  <c r="EO70" i="4"/>
  <c r="EN70" i="4"/>
  <c r="EG70" i="4"/>
  <c r="EF70" i="4"/>
  <c r="DY70" i="4"/>
  <c r="DX70" i="4"/>
  <c r="DN70" i="4"/>
  <c r="DL70" i="4"/>
  <c r="DJ70" i="4"/>
  <c r="DI70" i="4"/>
  <c r="DH70" i="4"/>
  <c r="DA70" i="4"/>
  <c r="CZ70" i="4"/>
  <c r="CS70" i="4"/>
  <c r="CR70" i="4"/>
  <c r="CK70" i="4"/>
  <c r="CH70" i="4"/>
  <c r="CF70" i="4"/>
  <c r="CD70" i="4"/>
  <c r="CJ70" i="4" s="1"/>
  <c r="CC70" i="4"/>
  <c r="CB70" i="4"/>
  <c r="BU70" i="4"/>
  <c r="BT70" i="4"/>
  <c r="BM70" i="4"/>
  <c r="BL70" i="4"/>
  <c r="BD70" i="4"/>
  <c r="BB70" i="4"/>
  <c r="AZ70" i="4"/>
  <c r="BE70" i="4" s="1"/>
  <c r="AX70" i="4"/>
  <c r="AW70" i="4"/>
  <c r="AV70" i="4"/>
  <c r="AO70" i="4"/>
  <c r="AN70" i="4"/>
  <c r="AG70" i="4"/>
  <c r="AF70" i="4"/>
  <c r="V70" i="4"/>
  <c r="N70" i="4" s="1"/>
  <c r="T70" i="4"/>
  <c r="X70" i="4" s="1"/>
  <c r="R70" i="4"/>
  <c r="Y70" i="4" s="1"/>
  <c r="EO69" i="4"/>
  <c r="EN69" i="4"/>
  <c r="EG69" i="4"/>
  <c r="EF69" i="4"/>
  <c r="DY69" i="4"/>
  <c r="DX69" i="4"/>
  <c r="DN69" i="4"/>
  <c r="N69" i="4" s="1"/>
  <c r="DL69" i="4"/>
  <c r="DP69" i="4" s="1"/>
  <c r="DJ69" i="4"/>
  <c r="DQ69" i="4" s="1"/>
  <c r="DI69" i="4"/>
  <c r="DH69" i="4"/>
  <c r="DA69" i="4"/>
  <c r="CZ69" i="4"/>
  <c r="CS69" i="4"/>
  <c r="CR69" i="4"/>
  <c r="CH69" i="4"/>
  <c r="CF69" i="4"/>
  <c r="CD69" i="4"/>
  <c r="CC69" i="4"/>
  <c r="CB69" i="4"/>
  <c r="BU69" i="4"/>
  <c r="BT69" i="4"/>
  <c r="BM69" i="4"/>
  <c r="BL69" i="4"/>
  <c r="BE69" i="4"/>
  <c r="BB69" i="4"/>
  <c r="AZ69" i="4"/>
  <c r="AX69" i="4"/>
  <c r="BD69" i="4" s="1"/>
  <c r="AW69" i="4"/>
  <c r="AV69" i="4"/>
  <c r="AO69" i="4"/>
  <c r="AN69" i="4"/>
  <c r="AG69" i="4"/>
  <c r="AF69" i="4"/>
  <c r="X69" i="4"/>
  <c r="V69" i="4"/>
  <c r="T69" i="4"/>
  <c r="Y69" i="4" s="1"/>
  <c r="R69" i="4"/>
  <c r="J69" i="4"/>
  <c r="EO68" i="4"/>
  <c r="EN68" i="4"/>
  <c r="EG68" i="4"/>
  <c r="EF68" i="4"/>
  <c r="DY68" i="4"/>
  <c r="DX68" i="4"/>
  <c r="DP68" i="4"/>
  <c r="DN68" i="4"/>
  <c r="DL68" i="4"/>
  <c r="DQ68" i="4" s="1"/>
  <c r="DJ68" i="4"/>
  <c r="DI68" i="4"/>
  <c r="DH68" i="4"/>
  <c r="DA68" i="4"/>
  <c r="CZ68" i="4"/>
  <c r="CS68" i="4"/>
  <c r="CR68" i="4"/>
  <c r="CH68" i="4"/>
  <c r="CF68" i="4"/>
  <c r="CJ68" i="4" s="1"/>
  <c r="CD68" i="4"/>
  <c r="CK68" i="4" s="1"/>
  <c r="CC68" i="4"/>
  <c r="CB68" i="4"/>
  <c r="BU68" i="4"/>
  <c r="BT68" i="4"/>
  <c r="BM68" i="4"/>
  <c r="BL68" i="4"/>
  <c r="BB68" i="4"/>
  <c r="AZ68" i="4"/>
  <c r="AX68" i="4"/>
  <c r="AW68" i="4"/>
  <c r="AV68" i="4"/>
  <c r="AO68" i="4"/>
  <c r="AN68" i="4"/>
  <c r="AG68" i="4"/>
  <c r="AF68" i="4"/>
  <c r="Y68" i="4"/>
  <c r="V68" i="4"/>
  <c r="T68" i="4"/>
  <c r="R68" i="4"/>
  <c r="L68" i="4"/>
  <c r="EO67" i="4"/>
  <c r="EN67" i="4"/>
  <c r="EG67" i="4"/>
  <c r="EF67" i="4"/>
  <c r="DY67" i="4"/>
  <c r="DX67" i="4"/>
  <c r="DQ67" i="4"/>
  <c r="DN67" i="4"/>
  <c r="DL67" i="4"/>
  <c r="DJ67" i="4"/>
  <c r="DP67" i="4" s="1"/>
  <c r="DI67" i="4"/>
  <c r="DH67" i="4"/>
  <c r="DA67" i="4"/>
  <c r="CZ67" i="4"/>
  <c r="CS67" i="4"/>
  <c r="CR67" i="4"/>
  <c r="CH67" i="4"/>
  <c r="CF67" i="4"/>
  <c r="CK67" i="4" s="1"/>
  <c r="CD67" i="4"/>
  <c r="CC67" i="4"/>
  <c r="CB67" i="4"/>
  <c r="BU67" i="4"/>
  <c r="BT67" i="4"/>
  <c r="BM67" i="4"/>
  <c r="BL67" i="4"/>
  <c r="BE67" i="4"/>
  <c r="BB67" i="4"/>
  <c r="N67" i="4" s="1"/>
  <c r="AZ67" i="4"/>
  <c r="AX67" i="4"/>
  <c r="AW67" i="4"/>
  <c r="AV67" i="4"/>
  <c r="AO67" i="4"/>
  <c r="AN67" i="4"/>
  <c r="AG67" i="4"/>
  <c r="AF67" i="4"/>
  <c r="V67" i="4"/>
  <c r="T67" i="4"/>
  <c r="R67" i="4"/>
  <c r="J67" i="4"/>
  <c r="EO66" i="4"/>
  <c r="EN66" i="4"/>
  <c r="EG66" i="4"/>
  <c r="EF66" i="4"/>
  <c r="DY66" i="4"/>
  <c r="DX66" i="4"/>
  <c r="DN66" i="4"/>
  <c r="DL66" i="4"/>
  <c r="DJ66" i="4"/>
  <c r="DI66" i="4"/>
  <c r="DH66" i="4"/>
  <c r="DA66" i="4"/>
  <c r="CZ66" i="4"/>
  <c r="CS66" i="4"/>
  <c r="CR66" i="4"/>
  <c r="CK66" i="4"/>
  <c r="CH66" i="4"/>
  <c r="CF66" i="4"/>
  <c r="CD66" i="4"/>
  <c r="CC66" i="4"/>
  <c r="CB66" i="4"/>
  <c r="BU66" i="4"/>
  <c r="BT66" i="4"/>
  <c r="BM66" i="4"/>
  <c r="BL66" i="4"/>
  <c r="BB66" i="4"/>
  <c r="AZ66" i="4"/>
  <c r="AX66" i="4"/>
  <c r="AW66" i="4"/>
  <c r="AV66" i="4"/>
  <c r="AO66" i="4"/>
  <c r="AN66" i="4"/>
  <c r="AG66" i="4"/>
  <c r="AF66" i="4"/>
  <c r="Y66" i="4"/>
  <c r="V66" i="4"/>
  <c r="N66" i="4" s="1"/>
  <c r="T66" i="4"/>
  <c r="R66" i="4"/>
  <c r="J66" i="4" s="1"/>
  <c r="EO65" i="4"/>
  <c r="EN65" i="4"/>
  <c r="EG65" i="4"/>
  <c r="EF65" i="4"/>
  <c r="DY65" i="4"/>
  <c r="DX65" i="4"/>
  <c r="DQ65" i="4"/>
  <c r="DN65" i="4"/>
  <c r="DL65" i="4"/>
  <c r="DJ65" i="4"/>
  <c r="DI65" i="4"/>
  <c r="DH65" i="4"/>
  <c r="DA65" i="4"/>
  <c r="CZ65" i="4"/>
  <c r="CS65" i="4"/>
  <c r="CR65" i="4"/>
  <c r="CH65" i="4"/>
  <c r="CF65" i="4"/>
  <c r="CD65" i="4"/>
  <c r="CC65" i="4"/>
  <c r="CB65" i="4"/>
  <c r="BU65" i="4"/>
  <c r="BT65" i="4"/>
  <c r="BM65" i="4"/>
  <c r="BL65" i="4"/>
  <c r="BE65" i="4"/>
  <c r="BB65" i="4"/>
  <c r="AZ65" i="4"/>
  <c r="AX65" i="4"/>
  <c r="BD65" i="4" s="1"/>
  <c r="AW65" i="4"/>
  <c r="AV65" i="4"/>
  <c r="AO65" i="4"/>
  <c r="AN65" i="4"/>
  <c r="AG65" i="4"/>
  <c r="AF65" i="4"/>
  <c r="X65" i="4"/>
  <c r="V65" i="4"/>
  <c r="N65" i="4" s="1"/>
  <c r="T65" i="4"/>
  <c r="R65" i="4"/>
  <c r="Y65" i="4" s="1"/>
  <c r="J65" i="4"/>
  <c r="EO64" i="4"/>
  <c r="EN64" i="4"/>
  <c r="EG64" i="4"/>
  <c r="EF64" i="4"/>
  <c r="DY64" i="4"/>
  <c r="DX64" i="4"/>
  <c r="DP64" i="4"/>
  <c r="DN64" i="4"/>
  <c r="DL64" i="4"/>
  <c r="DJ64" i="4"/>
  <c r="DQ64" i="4" s="1"/>
  <c r="DI64" i="4"/>
  <c r="DH64" i="4"/>
  <c r="DA64" i="4"/>
  <c r="CZ64" i="4"/>
  <c r="CS64" i="4"/>
  <c r="CR64" i="4"/>
  <c r="CH64" i="4"/>
  <c r="N64" i="4" s="1"/>
  <c r="CF64" i="4"/>
  <c r="CD64" i="4"/>
  <c r="CC64" i="4"/>
  <c r="CB64" i="4"/>
  <c r="BU64" i="4"/>
  <c r="BT64" i="4"/>
  <c r="BM64" i="4"/>
  <c r="BL64" i="4"/>
  <c r="BB64" i="4"/>
  <c r="AZ64" i="4"/>
  <c r="AX64" i="4"/>
  <c r="BE64" i="4" s="1"/>
  <c r="AW64" i="4"/>
  <c r="AV64" i="4"/>
  <c r="AO64" i="4"/>
  <c r="AN64" i="4"/>
  <c r="AG64" i="4"/>
  <c r="AF64" i="4"/>
  <c r="X64" i="4"/>
  <c r="V64" i="4"/>
  <c r="T64" i="4"/>
  <c r="R64" i="4"/>
  <c r="Y64" i="4" s="1"/>
  <c r="J64" i="4"/>
  <c r="EO63" i="4"/>
  <c r="EN63" i="4"/>
  <c r="EG63" i="4"/>
  <c r="EF63" i="4"/>
  <c r="DY63" i="4"/>
  <c r="DX63" i="4"/>
  <c r="DP63" i="4"/>
  <c r="DN63" i="4"/>
  <c r="DL63" i="4"/>
  <c r="DJ63" i="4"/>
  <c r="DQ63" i="4" s="1"/>
  <c r="DI63" i="4"/>
  <c r="DH63" i="4"/>
  <c r="DA63" i="4"/>
  <c r="CZ63" i="4"/>
  <c r="CS63" i="4"/>
  <c r="CR63" i="4"/>
  <c r="CJ63" i="4"/>
  <c r="CH63" i="4"/>
  <c r="N63" i="4" s="1"/>
  <c r="CF63" i="4"/>
  <c r="CD63" i="4"/>
  <c r="CK63" i="4" s="1"/>
  <c r="CC63" i="4"/>
  <c r="CB63" i="4"/>
  <c r="BU63" i="4"/>
  <c r="BT63" i="4"/>
  <c r="BM63" i="4"/>
  <c r="BL63" i="4"/>
  <c r="BB63" i="4"/>
  <c r="AZ63" i="4"/>
  <c r="AX63" i="4"/>
  <c r="AW63" i="4"/>
  <c r="AV63" i="4"/>
  <c r="AO63" i="4"/>
  <c r="AN63" i="4"/>
  <c r="AG63" i="4"/>
  <c r="AF63" i="4"/>
  <c r="Y63" i="4"/>
  <c r="V63" i="4"/>
  <c r="T63" i="4"/>
  <c r="R63" i="4"/>
  <c r="J63" i="4" s="1"/>
  <c r="L63" i="4"/>
  <c r="EO62" i="4"/>
  <c r="EN62" i="4"/>
  <c r="EG62" i="4"/>
  <c r="EF62" i="4"/>
  <c r="DY62" i="4"/>
  <c r="DX62" i="4"/>
  <c r="DQ62" i="4"/>
  <c r="DN62" i="4"/>
  <c r="DL62" i="4"/>
  <c r="DP62" i="4" s="1"/>
  <c r="DJ62" i="4"/>
  <c r="DI62" i="4"/>
  <c r="DH62" i="4"/>
  <c r="DA62" i="4"/>
  <c r="CZ62" i="4"/>
  <c r="CS62" i="4"/>
  <c r="CR62" i="4"/>
  <c r="CJ62" i="4"/>
  <c r="CH62" i="4"/>
  <c r="CF62" i="4"/>
  <c r="CD62" i="4"/>
  <c r="J62" i="4" s="1"/>
  <c r="CC62" i="4"/>
  <c r="CB62" i="4"/>
  <c r="BU62" i="4"/>
  <c r="BT62" i="4"/>
  <c r="BM62" i="4"/>
  <c r="BL62" i="4"/>
  <c r="BD62" i="4"/>
  <c r="BB62" i="4"/>
  <c r="AZ62" i="4"/>
  <c r="AX62" i="4"/>
  <c r="BE62" i="4" s="1"/>
  <c r="AW62" i="4"/>
  <c r="AV62" i="4"/>
  <c r="AO62" i="4"/>
  <c r="AN62" i="4"/>
  <c r="AG62" i="4"/>
  <c r="AF62" i="4"/>
  <c r="V62" i="4"/>
  <c r="T62" i="4"/>
  <c r="R62" i="4"/>
  <c r="N62" i="4"/>
  <c r="EO61" i="4"/>
  <c r="EN61" i="4"/>
  <c r="EG61" i="4"/>
  <c r="EF61" i="4"/>
  <c r="DY61" i="4"/>
  <c r="DX61" i="4"/>
  <c r="DN61" i="4"/>
  <c r="DL61" i="4"/>
  <c r="DJ61" i="4"/>
  <c r="DI61" i="4"/>
  <c r="DH61" i="4"/>
  <c r="DA61" i="4"/>
  <c r="CZ61" i="4"/>
  <c r="CS61" i="4"/>
  <c r="CR61" i="4"/>
  <c r="CK61" i="4"/>
  <c r="CH61" i="4"/>
  <c r="CF61" i="4"/>
  <c r="CD61" i="4"/>
  <c r="J61" i="4" s="1"/>
  <c r="CC61" i="4"/>
  <c r="CB61" i="4"/>
  <c r="BU61" i="4"/>
  <c r="BT61" i="4"/>
  <c r="BM61" i="4"/>
  <c r="BL61" i="4"/>
  <c r="BD61" i="4"/>
  <c r="BB61" i="4"/>
  <c r="AZ61" i="4"/>
  <c r="AX61" i="4"/>
  <c r="BE61" i="4" s="1"/>
  <c r="AW61" i="4"/>
  <c r="AV61" i="4"/>
  <c r="AO61" i="4"/>
  <c r="AN61" i="4"/>
  <c r="AG61" i="4"/>
  <c r="AF61" i="4"/>
  <c r="X61" i="4"/>
  <c r="V61" i="4"/>
  <c r="N61" i="4" s="1"/>
  <c r="T61" i="4"/>
  <c r="R61" i="4"/>
  <c r="Y61" i="4" s="1"/>
  <c r="EO60" i="4"/>
  <c r="EN60" i="4"/>
  <c r="EG60" i="4"/>
  <c r="EF60" i="4"/>
  <c r="DY60" i="4"/>
  <c r="DX60" i="4"/>
  <c r="DP60" i="4"/>
  <c r="DN60" i="4"/>
  <c r="DL60" i="4"/>
  <c r="DJ60" i="4"/>
  <c r="DQ60" i="4" s="1"/>
  <c r="DI60" i="4"/>
  <c r="DH60" i="4"/>
  <c r="DA60" i="4"/>
  <c r="CZ60" i="4"/>
  <c r="CS60" i="4"/>
  <c r="CR60" i="4"/>
  <c r="CH60" i="4"/>
  <c r="CF60" i="4"/>
  <c r="CD60" i="4"/>
  <c r="CC60" i="4"/>
  <c r="CB60" i="4"/>
  <c r="BU60" i="4"/>
  <c r="BT60" i="4"/>
  <c r="BM60" i="4"/>
  <c r="BL60" i="4"/>
  <c r="BB60" i="4"/>
  <c r="AZ60" i="4"/>
  <c r="BD60" i="4" s="1"/>
  <c r="AX60" i="4"/>
  <c r="BE60" i="4" s="1"/>
  <c r="AW60" i="4"/>
  <c r="AV60" i="4"/>
  <c r="AO60" i="4"/>
  <c r="AN60" i="4"/>
  <c r="AG60" i="4"/>
  <c r="AF60" i="4"/>
  <c r="X60" i="4"/>
  <c r="V60" i="4"/>
  <c r="T60" i="4"/>
  <c r="R60" i="4"/>
  <c r="Y60" i="4" s="1"/>
  <c r="J60" i="4"/>
  <c r="EO59" i="4"/>
  <c r="EN59" i="4"/>
  <c r="EG59" i="4"/>
  <c r="EF59" i="4"/>
  <c r="DY59" i="4"/>
  <c r="DX59" i="4"/>
  <c r="DP59" i="4"/>
  <c r="DN59" i="4"/>
  <c r="DL59" i="4"/>
  <c r="DJ59" i="4"/>
  <c r="DQ59" i="4" s="1"/>
  <c r="DI59" i="4"/>
  <c r="DH59" i="4"/>
  <c r="DA59" i="4"/>
  <c r="CZ59" i="4"/>
  <c r="CS59" i="4"/>
  <c r="CR59" i="4"/>
  <c r="CJ59" i="4"/>
  <c r="CH59" i="4"/>
  <c r="CF59" i="4"/>
  <c r="CD59" i="4"/>
  <c r="CK59" i="4" s="1"/>
  <c r="CC59" i="4"/>
  <c r="CB59" i="4"/>
  <c r="BU59" i="4"/>
  <c r="BT59" i="4"/>
  <c r="BM59" i="4"/>
  <c r="BL59" i="4"/>
  <c r="BB59" i="4"/>
  <c r="N59" i="4" s="1"/>
  <c r="AZ59" i="4"/>
  <c r="AX59" i="4"/>
  <c r="AW59" i="4"/>
  <c r="AV59" i="4"/>
  <c r="AO59" i="4"/>
  <c r="AN59" i="4"/>
  <c r="AG59" i="4"/>
  <c r="AF59" i="4"/>
  <c r="V59" i="4"/>
  <c r="T59" i="4"/>
  <c r="R59" i="4"/>
  <c r="EO58" i="4"/>
  <c r="EN58" i="4"/>
  <c r="EG58" i="4"/>
  <c r="EF58" i="4"/>
  <c r="DY58" i="4"/>
  <c r="DX58" i="4"/>
  <c r="DN58" i="4"/>
  <c r="DL58" i="4"/>
  <c r="DJ58" i="4"/>
  <c r="DQ58" i="4" s="1"/>
  <c r="DI58" i="4"/>
  <c r="DH58" i="4"/>
  <c r="DA58" i="4"/>
  <c r="CZ58" i="4"/>
  <c r="CS58" i="4"/>
  <c r="CR58" i="4"/>
  <c r="CJ58" i="4"/>
  <c r="CH58" i="4"/>
  <c r="CF58" i="4"/>
  <c r="CD58" i="4"/>
  <c r="CC58" i="4"/>
  <c r="CB58" i="4"/>
  <c r="BU58" i="4"/>
  <c r="BT58" i="4"/>
  <c r="BM58" i="4"/>
  <c r="BL58" i="4"/>
  <c r="BD58" i="4"/>
  <c r="BB58" i="4"/>
  <c r="AZ58" i="4"/>
  <c r="AX58" i="4"/>
  <c r="BE58" i="4" s="1"/>
  <c r="AW58" i="4"/>
  <c r="AV58" i="4"/>
  <c r="AO58" i="4"/>
  <c r="AN58" i="4"/>
  <c r="AG58" i="4"/>
  <c r="AF58" i="4"/>
  <c r="V58" i="4"/>
  <c r="N58" i="4" s="1"/>
  <c r="T58" i="4"/>
  <c r="R58" i="4"/>
  <c r="EO57" i="4"/>
  <c r="EN57" i="4"/>
  <c r="EG57" i="4"/>
  <c r="EF57" i="4"/>
  <c r="DY57" i="4"/>
  <c r="DX57" i="4"/>
  <c r="DN57" i="4"/>
  <c r="DL57" i="4"/>
  <c r="DJ57" i="4"/>
  <c r="DI57" i="4"/>
  <c r="DH57" i="4"/>
  <c r="DA57" i="4"/>
  <c r="CZ57" i="4"/>
  <c r="CS57" i="4"/>
  <c r="CR57" i="4"/>
  <c r="CK57" i="4"/>
  <c r="CH57" i="4"/>
  <c r="CF57" i="4"/>
  <c r="CD57" i="4"/>
  <c r="CC57" i="4"/>
  <c r="CB57" i="4"/>
  <c r="BU57" i="4"/>
  <c r="BT57" i="4"/>
  <c r="BM57" i="4"/>
  <c r="BL57" i="4"/>
  <c r="BD57" i="4"/>
  <c r="BB57" i="4"/>
  <c r="AZ57" i="4"/>
  <c r="AX57" i="4"/>
  <c r="BE57" i="4" s="1"/>
  <c r="AW57" i="4"/>
  <c r="AV57" i="4"/>
  <c r="AO57" i="4"/>
  <c r="AN57" i="4"/>
  <c r="AG57" i="4"/>
  <c r="AF57" i="4"/>
  <c r="X57" i="4"/>
  <c r="V57" i="4"/>
  <c r="T57" i="4"/>
  <c r="R57" i="4"/>
  <c r="Y57" i="4" s="1"/>
  <c r="J57" i="4"/>
  <c r="EO56" i="4"/>
  <c r="EN56" i="4"/>
  <c r="EG56" i="4"/>
  <c r="EF56" i="4"/>
  <c r="DY56" i="4"/>
  <c r="DX56" i="4"/>
  <c r="DP56" i="4"/>
  <c r="DN56" i="4"/>
  <c r="DL56" i="4"/>
  <c r="DJ56" i="4"/>
  <c r="DQ56" i="4" s="1"/>
  <c r="DI56" i="4"/>
  <c r="DH56" i="4"/>
  <c r="DA56" i="4"/>
  <c r="CZ56" i="4"/>
  <c r="CS56" i="4"/>
  <c r="CR56" i="4"/>
  <c r="CH56" i="4"/>
  <c r="N56" i="4" s="1"/>
  <c r="CF56" i="4"/>
  <c r="CD56" i="4"/>
  <c r="CC56" i="4"/>
  <c r="CB56" i="4"/>
  <c r="BU56" i="4"/>
  <c r="BT56" i="4"/>
  <c r="BM56" i="4"/>
  <c r="BL56" i="4"/>
  <c r="BB56" i="4"/>
  <c r="AZ56" i="4"/>
  <c r="AX56" i="4"/>
  <c r="AW56" i="4"/>
  <c r="AV56" i="4"/>
  <c r="AO56" i="4"/>
  <c r="AN56" i="4"/>
  <c r="AG56" i="4"/>
  <c r="AF56" i="4"/>
  <c r="X56" i="4"/>
  <c r="V56" i="4"/>
  <c r="T56" i="4"/>
  <c r="R56" i="4"/>
  <c r="J56" i="4" s="1"/>
  <c r="EO55" i="4"/>
  <c r="EN55" i="4"/>
  <c r="EG55" i="4"/>
  <c r="EF55" i="4"/>
  <c r="DY55" i="4"/>
  <c r="DX55" i="4"/>
  <c r="DN55" i="4"/>
  <c r="DL55" i="4"/>
  <c r="DJ55" i="4"/>
  <c r="DQ55" i="4" s="1"/>
  <c r="DI55" i="4"/>
  <c r="DH55" i="4"/>
  <c r="DA55" i="4"/>
  <c r="CZ55" i="4"/>
  <c r="CS55" i="4"/>
  <c r="CR55" i="4"/>
  <c r="CJ55" i="4"/>
  <c r="CH55" i="4"/>
  <c r="CF55" i="4"/>
  <c r="CD55" i="4"/>
  <c r="CK55" i="4" s="1"/>
  <c r="CC55" i="4"/>
  <c r="CB55" i="4"/>
  <c r="BU55" i="4"/>
  <c r="BT55" i="4"/>
  <c r="BM55" i="4"/>
  <c r="BL55" i="4"/>
  <c r="BB55" i="4"/>
  <c r="AZ55" i="4"/>
  <c r="AX55" i="4"/>
  <c r="AW55" i="4"/>
  <c r="AV55" i="4"/>
  <c r="AO55" i="4"/>
  <c r="AN55" i="4"/>
  <c r="AG55" i="4"/>
  <c r="AF55" i="4"/>
  <c r="Y55" i="4"/>
  <c r="V55" i="4"/>
  <c r="T55" i="4"/>
  <c r="X55" i="4" s="1"/>
  <c r="R55" i="4"/>
  <c r="N55" i="4"/>
  <c r="L55" i="4"/>
  <c r="EO54" i="4"/>
  <c r="EN54" i="4"/>
  <c r="EG54" i="4"/>
  <c r="EF54" i="4"/>
  <c r="DY54" i="4"/>
  <c r="DX54" i="4"/>
  <c r="DQ54" i="4"/>
  <c r="DN54" i="4"/>
  <c r="DL54" i="4"/>
  <c r="DP54" i="4" s="1"/>
  <c r="DJ54" i="4"/>
  <c r="DI54" i="4"/>
  <c r="DH54" i="4"/>
  <c r="DA54" i="4"/>
  <c r="CZ54" i="4"/>
  <c r="CS54" i="4"/>
  <c r="CR54" i="4"/>
  <c r="CH54" i="4"/>
  <c r="CF54" i="4"/>
  <c r="CD54" i="4"/>
  <c r="J54" i="4" s="1"/>
  <c r="CC54" i="4"/>
  <c r="CB54" i="4"/>
  <c r="BU54" i="4"/>
  <c r="BT54" i="4"/>
  <c r="BM54" i="4"/>
  <c r="BL54" i="4"/>
  <c r="BD54" i="4"/>
  <c r="BB54" i="4"/>
  <c r="N54" i="4" s="1"/>
  <c r="AZ54" i="4"/>
  <c r="AX54" i="4"/>
  <c r="BE54" i="4" s="1"/>
  <c r="AW54" i="4"/>
  <c r="AV54" i="4"/>
  <c r="AO54" i="4"/>
  <c r="AN54" i="4"/>
  <c r="AG54" i="4"/>
  <c r="AF54" i="4"/>
  <c r="V54" i="4"/>
  <c r="T54" i="4"/>
  <c r="R54" i="4"/>
  <c r="EO53" i="4"/>
  <c r="EN53" i="4"/>
  <c r="EG53" i="4"/>
  <c r="EF53" i="4"/>
  <c r="DY53" i="4"/>
  <c r="DX53" i="4"/>
  <c r="DN53" i="4"/>
  <c r="DL53" i="4"/>
  <c r="DJ53" i="4"/>
  <c r="DI53" i="4"/>
  <c r="DH53" i="4"/>
  <c r="DA53" i="4"/>
  <c r="CZ53" i="4"/>
  <c r="CS53" i="4"/>
  <c r="CR53" i="4"/>
  <c r="CH53" i="4"/>
  <c r="CF53" i="4"/>
  <c r="CD53" i="4"/>
  <c r="CC53" i="4"/>
  <c r="CB53" i="4"/>
  <c r="BU53" i="4"/>
  <c r="BT53" i="4"/>
  <c r="BM53" i="4"/>
  <c r="BL53" i="4"/>
  <c r="BE53" i="4"/>
  <c r="BB53" i="4"/>
  <c r="AZ53" i="4"/>
  <c r="AX53" i="4"/>
  <c r="AW53" i="4"/>
  <c r="AV53" i="4"/>
  <c r="AO53" i="4"/>
  <c r="AN53" i="4"/>
  <c r="AG53" i="4"/>
  <c r="AF53" i="4"/>
  <c r="X53" i="4"/>
  <c r="V53" i="4"/>
  <c r="N53" i="4" s="1"/>
  <c r="T53" i="4"/>
  <c r="R53" i="4"/>
  <c r="Y53" i="4" s="1"/>
  <c r="EO52" i="4"/>
  <c r="EN52" i="4"/>
  <c r="EG52" i="4"/>
  <c r="EF52" i="4"/>
  <c r="DY52" i="4"/>
  <c r="DX52" i="4"/>
  <c r="DP52" i="4"/>
  <c r="DN52" i="4"/>
  <c r="DL52" i="4"/>
  <c r="DJ52" i="4"/>
  <c r="DQ52" i="4" s="1"/>
  <c r="DI52" i="4"/>
  <c r="DH52" i="4"/>
  <c r="DA52" i="4"/>
  <c r="CZ52" i="4"/>
  <c r="CS52" i="4"/>
  <c r="CR52" i="4"/>
  <c r="CH52" i="4"/>
  <c r="CF52" i="4"/>
  <c r="CD52" i="4"/>
  <c r="CC52" i="4"/>
  <c r="CB52" i="4"/>
  <c r="BU52" i="4"/>
  <c r="BT52" i="4"/>
  <c r="BM52" i="4"/>
  <c r="BL52" i="4"/>
  <c r="BB52" i="4"/>
  <c r="AZ52" i="4"/>
  <c r="BD52" i="4" s="1"/>
  <c r="AX52" i="4"/>
  <c r="AW52" i="4"/>
  <c r="AV52" i="4"/>
  <c r="AO52" i="4"/>
  <c r="AN52" i="4"/>
  <c r="AG52" i="4"/>
  <c r="AF52" i="4"/>
  <c r="V52" i="4"/>
  <c r="T52" i="4"/>
  <c r="R52" i="4"/>
  <c r="Y52" i="4" s="1"/>
  <c r="J52" i="4"/>
  <c r="EO51" i="4"/>
  <c r="EN51" i="4"/>
  <c r="EG51" i="4"/>
  <c r="EF51" i="4"/>
  <c r="DY51" i="4"/>
  <c r="DX51" i="4"/>
  <c r="DP51" i="4"/>
  <c r="DN51" i="4"/>
  <c r="DL51" i="4"/>
  <c r="DJ51" i="4"/>
  <c r="DQ51" i="4" s="1"/>
  <c r="DI51" i="4"/>
  <c r="DH51" i="4"/>
  <c r="DA51" i="4"/>
  <c r="CZ51" i="4"/>
  <c r="CS51" i="4"/>
  <c r="CR51" i="4"/>
  <c r="CJ51" i="4"/>
  <c r="CH51" i="4"/>
  <c r="CF51" i="4"/>
  <c r="CD51" i="4"/>
  <c r="CK51" i="4" s="1"/>
  <c r="CC51" i="4"/>
  <c r="CB51" i="4"/>
  <c r="BU51" i="4"/>
  <c r="BT51" i="4"/>
  <c r="BM51" i="4"/>
  <c r="BL51" i="4"/>
  <c r="BB51" i="4"/>
  <c r="N51" i="4" s="1"/>
  <c r="AZ51" i="4"/>
  <c r="AX51" i="4"/>
  <c r="AW51" i="4"/>
  <c r="AV51" i="4"/>
  <c r="AO51" i="4"/>
  <c r="AN51" i="4"/>
  <c r="AG51" i="4"/>
  <c r="AF51" i="4"/>
  <c r="V51" i="4"/>
  <c r="T51" i="4"/>
  <c r="R51" i="4"/>
  <c r="EO50" i="4"/>
  <c r="EN50" i="4"/>
  <c r="EG50" i="4"/>
  <c r="EF50" i="4"/>
  <c r="DY50" i="4"/>
  <c r="DX50" i="4"/>
  <c r="DN50" i="4"/>
  <c r="DL50" i="4"/>
  <c r="DJ50" i="4"/>
  <c r="DQ50" i="4" s="1"/>
  <c r="DI50" i="4"/>
  <c r="DH50" i="4"/>
  <c r="DA50" i="4"/>
  <c r="CZ50" i="4"/>
  <c r="CS50" i="4"/>
  <c r="CR50" i="4"/>
  <c r="CJ50" i="4"/>
  <c r="CH50" i="4"/>
  <c r="CF50" i="4"/>
  <c r="CD50" i="4"/>
  <c r="CC50" i="4"/>
  <c r="CB50" i="4"/>
  <c r="BU50" i="4"/>
  <c r="BT50" i="4"/>
  <c r="BM50" i="4"/>
  <c r="BL50" i="4"/>
  <c r="BD50" i="4"/>
  <c r="BB50" i="4"/>
  <c r="AZ50" i="4"/>
  <c r="AX50" i="4"/>
  <c r="BE50" i="4" s="1"/>
  <c r="AW50" i="4"/>
  <c r="AV50" i="4"/>
  <c r="AO50" i="4"/>
  <c r="AN50" i="4"/>
  <c r="AG50" i="4"/>
  <c r="AF50" i="4"/>
  <c r="V50" i="4"/>
  <c r="T50" i="4"/>
  <c r="R50" i="4"/>
  <c r="N50" i="4"/>
  <c r="EO49" i="4"/>
  <c r="EN49" i="4"/>
  <c r="EG49" i="4"/>
  <c r="EF49" i="4"/>
  <c r="DY49" i="4"/>
  <c r="DX49" i="4"/>
  <c r="DN49" i="4"/>
  <c r="DL49" i="4"/>
  <c r="DJ49" i="4"/>
  <c r="DI49" i="4"/>
  <c r="DH49" i="4"/>
  <c r="DA49" i="4"/>
  <c r="CZ49" i="4"/>
  <c r="CS49" i="4"/>
  <c r="CR49" i="4"/>
  <c r="CK49" i="4"/>
  <c r="CH49" i="4"/>
  <c r="CF49" i="4"/>
  <c r="CD49" i="4"/>
  <c r="CC49" i="4"/>
  <c r="CB49" i="4"/>
  <c r="BU49" i="4"/>
  <c r="BT49" i="4"/>
  <c r="BM49" i="4"/>
  <c r="BL49" i="4"/>
  <c r="BD49" i="4"/>
  <c r="BB49" i="4"/>
  <c r="AZ49" i="4"/>
  <c r="AX49" i="4"/>
  <c r="BE49" i="4" s="1"/>
  <c r="AW49" i="4"/>
  <c r="AV49" i="4"/>
  <c r="AO49" i="4"/>
  <c r="AN49" i="4"/>
  <c r="AG49" i="4"/>
  <c r="AF49" i="4"/>
  <c r="X49" i="4"/>
  <c r="V49" i="4"/>
  <c r="T49" i="4"/>
  <c r="R49" i="4"/>
  <c r="Y49" i="4" s="1"/>
  <c r="J49" i="4"/>
  <c r="EO48" i="4"/>
  <c r="EN48" i="4"/>
  <c r="EG48" i="4"/>
  <c r="EF48" i="4"/>
  <c r="DY48" i="4"/>
  <c r="DX48" i="4"/>
  <c r="DP48" i="4"/>
  <c r="DN48" i="4"/>
  <c r="DL48" i="4"/>
  <c r="DJ48" i="4"/>
  <c r="DQ48" i="4" s="1"/>
  <c r="DI48" i="4"/>
  <c r="DH48" i="4"/>
  <c r="DA48" i="4"/>
  <c r="CZ48" i="4"/>
  <c r="CS48" i="4"/>
  <c r="CR48" i="4"/>
  <c r="CH48" i="4"/>
  <c r="N48" i="4" s="1"/>
  <c r="CF48" i="4"/>
  <c r="CD48" i="4"/>
  <c r="CC48" i="4"/>
  <c r="CB48" i="4"/>
  <c r="BU48" i="4"/>
  <c r="BT48" i="4"/>
  <c r="BM48" i="4"/>
  <c r="BL48" i="4"/>
  <c r="BE48" i="4"/>
  <c r="BB48" i="4"/>
  <c r="AZ48" i="4"/>
  <c r="AX48" i="4"/>
  <c r="AW48" i="4"/>
  <c r="AV48" i="4"/>
  <c r="AO48" i="4"/>
  <c r="AN48" i="4"/>
  <c r="AG48" i="4"/>
  <c r="AF48" i="4"/>
  <c r="X48" i="4"/>
  <c r="V48" i="4"/>
  <c r="T48" i="4"/>
  <c r="R48" i="4"/>
  <c r="J48" i="4" s="1"/>
  <c r="Q48" i="4"/>
  <c r="L48" i="4"/>
  <c r="EO47" i="4"/>
  <c r="EN47" i="4"/>
  <c r="EG47" i="4"/>
  <c r="EF47" i="4"/>
  <c r="DY47" i="4"/>
  <c r="DX47" i="4"/>
  <c r="DQ47" i="4"/>
  <c r="DN47" i="4"/>
  <c r="DL47" i="4"/>
  <c r="DJ47" i="4"/>
  <c r="DP47" i="4" s="1"/>
  <c r="DI47" i="4"/>
  <c r="DH47" i="4"/>
  <c r="DA47" i="4"/>
  <c r="CZ47" i="4"/>
  <c r="CS47" i="4"/>
  <c r="CR47" i="4"/>
  <c r="CJ47" i="4"/>
  <c r="CH47" i="4"/>
  <c r="N47" i="4" s="1"/>
  <c r="CF47" i="4"/>
  <c r="CD47" i="4"/>
  <c r="CK47" i="4" s="1"/>
  <c r="CC47" i="4"/>
  <c r="CB47" i="4"/>
  <c r="BU47" i="4"/>
  <c r="BT47" i="4"/>
  <c r="BM47" i="4"/>
  <c r="BL47" i="4"/>
  <c r="BB47" i="4"/>
  <c r="AZ47" i="4"/>
  <c r="AX47" i="4"/>
  <c r="AW47" i="4"/>
  <c r="AV47" i="4"/>
  <c r="AO47" i="4"/>
  <c r="AN47" i="4"/>
  <c r="AG47" i="4"/>
  <c r="AF47" i="4"/>
  <c r="V47" i="4"/>
  <c r="T47" i="4"/>
  <c r="R47" i="4"/>
  <c r="L47" i="4"/>
  <c r="EO46" i="4"/>
  <c r="EN46" i="4"/>
  <c r="EG46" i="4"/>
  <c r="EF46" i="4"/>
  <c r="DY46" i="4"/>
  <c r="DX46" i="4"/>
  <c r="DN46" i="4"/>
  <c r="DL46" i="4"/>
  <c r="DJ46" i="4"/>
  <c r="DI46" i="4"/>
  <c r="DH46" i="4"/>
  <c r="DA46" i="4"/>
  <c r="CZ46" i="4"/>
  <c r="CS46" i="4"/>
  <c r="CR46" i="4"/>
  <c r="CK46" i="4"/>
  <c r="CH46" i="4"/>
  <c r="CF46" i="4"/>
  <c r="CD46" i="4"/>
  <c r="CC46" i="4"/>
  <c r="CB46" i="4"/>
  <c r="BU46" i="4"/>
  <c r="BT46" i="4"/>
  <c r="BM46" i="4"/>
  <c r="BL46" i="4"/>
  <c r="BD46" i="4"/>
  <c r="BB46" i="4"/>
  <c r="N46" i="4" s="1"/>
  <c r="AZ46" i="4"/>
  <c r="AX46" i="4"/>
  <c r="BE46" i="4" s="1"/>
  <c r="AW46" i="4"/>
  <c r="AV46" i="4"/>
  <c r="AO46" i="4"/>
  <c r="AN46" i="4"/>
  <c r="AG46" i="4"/>
  <c r="AF46" i="4"/>
  <c r="V46" i="4"/>
  <c r="T46" i="4"/>
  <c r="R46" i="4"/>
  <c r="EO45" i="4"/>
  <c r="EN45" i="4"/>
  <c r="EG45" i="4"/>
  <c r="EF45" i="4"/>
  <c r="DY45" i="4"/>
  <c r="DX45" i="4"/>
  <c r="DN45" i="4"/>
  <c r="DL45" i="4"/>
  <c r="DJ45" i="4"/>
  <c r="DI45" i="4"/>
  <c r="DH45" i="4"/>
  <c r="DA45" i="4"/>
  <c r="CZ45" i="4"/>
  <c r="CS45" i="4"/>
  <c r="CR45" i="4"/>
  <c r="CK45" i="4"/>
  <c r="CH45" i="4"/>
  <c r="N45" i="4" s="1"/>
  <c r="CF45" i="4"/>
  <c r="CD45" i="4"/>
  <c r="CC45" i="4"/>
  <c r="CB45" i="4"/>
  <c r="BU45" i="4"/>
  <c r="BT45" i="4"/>
  <c r="BM45" i="4"/>
  <c r="BL45" i="4"/>
  <c r="BB45" i="4"/>
  <c r="AZ45" i="4"/>
  <c r="AX45" i="4"/>
  <c r="AW45" i="4"/>
  <c r="AV45" i="4"/>
  <c r="AO45" i="4"/>
  <c r="AN45" i="4"/>
  <c r="AG45" i="4"/>
  <c r="AF45" i="4"/>
  <c r="V45" i="4"/>
  <c r="T45" i="4"/>
  <c r="R45" i="4"/>
  <c r="J45" i="4" s="1"/>
  <c r="L45" i="4"/>
  <c r="EO44" i="4"/>
  <c r="EN44" i="4"/>
  <c r="EG44" i="4"/>
  <c r="EF44" i="4"/>
  <c r="DY44" i="4"/>
  <c r="DX44" i="4"/>
  <c r="DN44" i="4"/>
  <c r="DL44" i="4"/>
  <c r="DJ44" i="4"/>
  <c r="DI44" i="4"/>
  <c r="DH44" i="4"/>
  <c r="DA44" i="4"/>
  <c r="CZ44" i="4"/>
  <c r="CS44" i="4"/>
  <c r="CR44" i="4"/>
  <c r="CK44" i="4"/>
  <c r="CH44" i="4"/>
  <c r="CF44" i="4"/>
  <c r="CD44" i="4"/>
  <c r="CC44" i="4"/>
  <c r="CB44" i="4"/>
  <c r="BU44" i="4"/>
  <c r="BT44" i="4"/>
  <c r="BM44" i="4"/>
  <c r="BL44" i="4"/>
  <c r="BD44" i="4"/>
  <c r="BB44" i="4"/>
  <c r="N44" i="4" s="1"/>
  <c r="AZ44" i="4"/>
  <c r="AX44" i="4"/>
  <c r="BE44" i="4" s="1"/>
  <c r="AW44" i="4"/>
  <c r="AV44" i="4"/>
  <c r="AO44" i="4"/>
  <c r="AN44" i="4"/>
  <c r="AG44" i="4"/>
  <c r="AF44" i="4"/>
  <c r="V44" i="4"/>
  <c r="T44" i="4"/>
  <c r="R44" i="4"/>
  <c r="EO43" i="4"/>
  <c r="EN43" i="4"/>
  <c r="EG43" i="4"/>
  <c r="EF43" i="4"/>
  <c r="DY43" i="4"/>
  <c r="DX43" i="4"/>
  <c r="DN43" i="4"/>
  <c r="DL43" i="4"/>
  <c r="DJ43" i="4"/>
  <c r="DI43" i="4"/>
  <c r="DH43" i="4"/>
  <c r="DA43" i="4"/>
  <c r="CZ43" i="4"/>
  <c r="CS43" i="4"/>
  <c r="CR43" i="4"/>
  <c r="CH43" i="4"/>
  <c r="CF43" i="4"/>
  <c r="CD43" i="4"/>
  <c r="CC43" i="4"/>
  <c r="CB43" i="4"/>
  <c r="BU43" i="4"/>
  <c r="BT43" i="4"/>
  <c r="BM43" i="4"/>
  <c r="BL43" i="4"/>
  <c r="BD43" i="4"/>
  <c r="BB43" i="4"/>
  <c r="AZ43" i="4"/>
  <c r="AX43" i="4"/>
  <c r="BE43" i="4" s="1"/>
  <c r="AW43" i="4"/>
  <c r="AV43" i="4"/>
  <c r="AO43" i="4"/>
  <c r="AN43" i="4"/>
  <c r="AG43" i="4"/>
  <c r="AF43" i="4"/>
  <c r="X43" i="4"/>
  <c r="V43" i="4"/>
  <c r="N43" i="4" s="1"/>
  <c r="T43" i="4"/>
  <c r="R43" i="4"/>
  <c r="Y43" i="4" s="1"/>
  <c r="EO42" i="4"/>
  <c r="EN42" i="4"/>
  <c r="EG42" i="4"/>
  <c r="EF42" i="4"/>
  <c r="DY42" i="4"/>
  <c r="DX42" i="4"/>
  <c r="DP42" i="4"/>
  <c r="DN42" i="4"/>
  <c r="DL42" i="4"/>
  <c r="DJ42" i="4"/>
  <c r="DQ42" i="4" s="1"/>
  <c r="DI42" i="4"/>
  <c r="DH42" i="4"/>
  <c r="DA42" i="4"/>
  <c r="CZ42" i="4"/>
  <c r="CS42" i="4"/>
  <c r="CR42" i="4"/>
  <c r="CH42" i="4"/>
  <c r="CF42" i="4"/>
  <c r="CD42" i="4"/>
  <c r="CC42" i="4"/>
  <c r="CB42" i="4"/>
  <c r="BU42" i="4"/>
  <c r="BT42" i="4"/>
  <c r="BM42" i="4"/>
  <c r="BL42" i="4"/>
  <c r="BB42" i="4"/>
  <c r="AZ42" i="4"/>
  <c r="AX42" i="4"/>
  <c r="AW42" i="4"/>
  <c r="AV42" i="4"/>
  <c r="AO42" i="4"/>
  <c r="AN42" i="4"/>
  <c r="AG42" i="4"/>
  <c r="AF42" i="4"/>
  <c r="Y42" i="4"/>
  <c r="V42" i="4"/>
  <c r="T42" i="4"/>
  <c r="R42" i="4"/>
  <c r="X42" i="4" s="1"/>
  <c r="J42" i="4"/>
  <c r="EO41" i="4"/>
  <c r="EN41" i="4"/>
  <c r="EG41" i="4"/>
  <c r="EF41" i="4"/>
  <c r="DY41" i="4"/>
  <c r="DX41" i="4"/>
  <c r="DP41" i="4"/>
  <c r="DN41" i="4"/>
  <c r="DL41" i="4"/>
  <c r="DJ41" i="4"/>
  <c r="DQ41" i="4" s="1"/>
  <c r="DI41" i="4"/>
  <c r="DH41" i="4"/>
  <c r="DA41" i="4"/>
  <c r="CZ41" i="4"/>
  <c r="CS41" i="4"/>
  <c r="CR41" i="4"/>
  <c r="CJ41" i="4"/>
  <c r="CH41" i="4"/>
  <c r="CF41" i="4"/>
  <c r="CD41" i="4"/>
  <c r="CK41" i="4" s="1"/>
  <c r="CC41" i="4"/>
  <c r="CB41" i="4"/>
  <c r="BU41" i="4"/>
  <c r="BT41" i="4"/>
  <c r="BM41" i="4"/>
  <c r="BL41" i="4"/>
  <c r="BB41" i="4"/>
  <c r="AZ41" i="4"/>
  <c r="AX41" i="4"/>
  <c r="AW41" i="4"/>
  <c r="AV41" i="4"/>
  <c r="AO41" i="4"/>
  <c r="AN41" i="4"/>
  <c r="AG41" i="4"/>
  <c r="AF41" i="4"/>
  <c r="Y41" i="4"/>
  <c r="V41" i="4"/>
  <c r="T41" i="4"/>
  <c r="R41" i="4"/>
  <c r="J41" i="4" s="1"/>
  <c r="N41" i="4"/>
  <c r="EO40" i="4"/>
  <c r="EN40" i="4"/>
  <c r="EG40" i="4"/>
  <c r="EF40" i="4"/>
  <c r="DY40" i="4"/>
  <c r="DX40" i="4"/>
  <c r="DN40" i="4"/>
  <c r="DL40" i="4"/>
  <c r="DJ40" i="4"/>
  <c r="DQ40" i="4" s="1"/>
  <c r="DI40" i="4"/>
  <c r="DH40" i="4"/>
  <c r="DA40" i="4"/>
  <c r="CZ40" i="4"/>
  <c r="CS40" i="4"/>
  <c r="CR40" i="4"/>
  <c r="CJ40" i="4"/>
  <c r="CH40" i="4"/>
  <c r="CF40" i="4"/>
  <c r="CD40" i="4"/>
  <c r="CC40" i="4"/>
  <c r="CB40" i="4"/>
  <c r="BU40" i="4"/>
  <c r="BT40" i="4"/>
  <c r="BM40" i="4"/>
  <c r="BL40" i="4"/>
  <c r="BD40" i="4"/>
  <c r="BB40" i="4"/>
  <c r="AZ40" i="4"/>
  <c r="AX40" i="4"/>
  <c r="BE40" i="4" s="1"/>
  <c r="AW40" i="4"/>
  <c r="AV40" i="4"/>
  <c r="AO40" i="4"/>
  <c r="AN40" i="4"/>
  <c r="AG40" i="4"/>
  <c r="AF40" i="4"/>
  <c r="V40" i="4"/>
  <c r="N40" i="4" s="1"/>
  <c r="T40" i="4"/>
  <c r="R40" i="4"/>
  <c r="EO39" i="4"/>
  <c r="EN39" i="4"/>
  <c r="EG39" i="4"/>
  <c r="EF39" i="4"/>
  <c r="DY39" i="4"/>
  <c r="DX39" i="4"/>
  <c r="DN39" i="4"/>
  <c r="DL39" i="4"/>
  <c r="DJ39" i="4"/>
  <c r="DI39" i="4"/>
  <c r="DH39" i="4"/>
  <c r="DA39" i="4"/>
  <c r="CZ39" i="4"/>
  <c r="CS39" i="4"/>
  <c r="CR39" i="4"/>
  <c r="CK39" i="4"/>
  <c r="CH39" i="4"/>
  <c r="CF39" i="4"/>
  <c r="CD39" i="4"/>
  <c r="CC39" i="4"/>
  <c r="CB39" i="4"/>
  <c r="BU39" i="4"/>
  <c r="BT39" i="4"/>
  <c r="BM39" i="4"/>
  <c r="BL39" i="4"/>
  <c r="BD39" i="4"/>
  <c r="BB39" i="4"/>
  <c r="AZ39" i="4"/>
  <c r="AX39" i="4"/>
  <c r="BE39" i="4" s="1"/>
  <c r="AW39" i="4"/>
  <c r="AV39" i="4"/>
  <c r="AO39" i="4"/>
  <c r="AN39" i="4"/>
  <c r="AG39" i="4"/>
  <c r="AF39" i="4"/>
  <c r="X39" i="4"/>
  <c r="V39" i="4"/>
  <c r="T39" i="4"/>
  <c r="Y39" i="4" s="1"/>
  <c r="R39" i="4"/>
  <c r="J39" i="4"/>
  <c r="EO38" i="4"/>
  <c r="EN38" i="4"/>
  <c r="EG38" i="4"/>
  <c r="EF38" i="4"/>
  <c r="DY38" i="4"/>
  <c r="DX38" i="4"/>
  <c r="DP38" i="4"/>
  <c r="DN38" i="4"/>
  <c r="DL38" i="4"/>
  <c r="DQ38" i="4" s="1"/>
  <c r="DJ38" i="4"/>
  <c r="DI38" i="4"/>
  <c r="DH38" i="4"/>
  <c r="DA38" i="4"/>
  <c r="CZ38" i="4"/>
  <c r="CS38" i="4"/>
  <c r="CR38" i="4"/>
  <c r="CH38" i="4"/>
  <c r="N38" i="4" s="1"/>
  <c r="CF38" i="4"/>
  <c r="CD38" i="4"/>
  <c r="CC38" i="4"/>
  <c r="CB38" i="4"/>
  <c r="BU38" i="4"/>
  <c r="BT38" i="4"/>
  <c r="BM38" i="4"/>
  <c r="BL38" i="4"/>
  <c r="BB38" i="4"/>
  <c r="AZ38" i="4"/>
  <c r="AX38" i="4"/>
  <c r="BE38" i="4" s="1"/>
  <c r="AW38" i="4"/>
  <c r="AV38" i="4"/>
  <c r="AO38" i="4"/>
  <c r="AN38" i="4"/>
  <c r="AG38" i="4"/>
  <c r="AF38" i="4"/>
  <c r="X38" i="4"/>
  <c r="V38" i="4"/>
  <c r="T38" i="4"/>
  <c r="R38" i="4"/>
  <c r="L38" i="4"/>
  <c r="EO37" i="4"/>
  <c r="EN37" i="4"/>
  <c r="EG37" i="4"/>
  <c r="EF37" i="4"/>
  <c r="DY37" i="4"/>
  <c r="DX37" i="4"/>
  <c r="DQ37" i="4"/>
  <c r="DN37" i="4"/>
  <c r="DL37" i="4"/>
  <c r="DJ37" i="4"/>
  <c r="DP37" i="4" s="1"/>
  <c r="DI37" i="4"/>
  <c r="DH37" i="4"/>
  <c r="DA37" i="4"/>
  <c r="CZ37" i="4"/>
  <c r="CS37" i="4"/>
  <c r="CR37" i="4"/>
  <c r="CJ37" i="4"/>
  <c r="CH37" i="4"/>
  <c r="N37" i="4" s="1"/>
  <c r="CF37" i="4"/>
  <c r="CK37" i="4" s="1"/>
  <c r="CD37" i="4"/>
  <c r="CC37" i="4"/>
  <c r="CB37" i="4"/>
  <c r="BU37" i="4"/>
  <c r="BT37" i="4"/>
  <c r="BM37" i="4"/>
  <c r="BL37" i="4"/>
  <c r="BB37" i="4"/>
  <c r="AZ37" i="4"/>
  <c r="AX37" i="4"/>
  <c r="AW37" i="4"/>
  <c r="AV37" i="4"/>
  <c r="AO37" i="4"/>
  <c r="AN37" i="4"/>
  <c r="AG37" i="4"/>
  <c r="AF37" i="4"/>
  <c r="V37" i="4"/>
  <c r="T37" i="4"/>
  <c r="R37" i="4"/>
  <c r="L37" i="4"/>
  <c r="EO36" i="4"/>
  <c r="EN36" i="4"/>
  <c r="EG36" i="4"/>
  <c r="EF36" i="4"/>
  <c r="DY36" i="4"/>
  <c r="DX36" i="4"/>
  <c r="DN36" i="4"/>
  <c r="DL36" i="4"/>
  <c r="DJ36" i="4"/>
  <c r="DI36" i="4"/>
  <c r="DH36" i="4"/>
  <c r="DA36" i="4"/>
  <c r="CZ36" i="4"/>
  <c r="CS36" i="4"/>
  <c r="CR36" i="4"/>
  <c r="CK36" i="4"/>
  <c r="CH36" i="4"/>
  <c r="CF36" i="4"/>
  <c r="CD36" i="4"/>
  <c r="CJ36" i="4" s="1"/>
  <c r="CC36" i="4"/>
  <c r="CB36" i="4"/>
  <c r="BU36" i="4"/>
  <c r="BT36" i="4"/>
  <c r="BM36" i="4"/>
  <c r="BL36" i="4"/>
  <c r="BD36" i="4"/>
  <c r="BB36" i="4"/>
  <c r="N36" i="4" s="1"/>
  <c r="AZ36" i="4"/>
  <c r="BE36" i="4" s="1"/>
  <c r="AX36" i="4"/>
  <c r="AW36" i="4"/>
  <c r="AV36" i="4"/>
  <c r="AO36" i="4"/>
  <c r="AN36" i="4"/>
  <c r="AG36" i="4"/>
  <c r="AF36" i="4"/>
  <c r="V36" i="4"/>
  <c r="T36" i="4"/>
  <c r="R36" i="4"/>
  <c r="EO35" i="4"/>
  <c r="EN35" i="4"/>
  <c r="EG35" i="4"/>
  <c r="EF35" i="4"/>
  <c r="DY35" i="4"/>
  <c r="DX35" i="4"/>
  <c r="DN35" i="4"/>
  <c r="DL35" i="4"/>
  <c r="DJ35" i="4"/>
  <c r="DI35" i="4"/>
  <c r="DH35" i="4"/>
  <c r="DA35" i="4"/>
  <c r="CZ35" i="4"/>
  <c r="CS35" i="4"/>
  <c r="CR35" i="4"/>
  <c r="CH35" i="4"/>
  <c r="CF35" i="4"/>
  <c r="CD35" i="4"/>
  <c r="CC35" i="4"/>
  <c r="CB35" i="4"/>
  <c r="BU35" i="4"/>
  <c r="BT35" i="4"/>
  <c r="BM35" i="4"/>
  <c r="BL35" i="4"/>
  <c r="BB35" i="4"/>
  <c r="AZ35" i="4"/>
  <c r="AX35" i="4"/>
  <c r="BD35" i="4" s="1"/>
  <c r="AW35" i="4"/>
  <c r="AV35" i="4"/>
  <c r="AO35" i="4"/>
  <c r="AN35" i="4"/>
  <c r="AG35" i="4"/>
  <c r="AF35" i="4"/>
  <c r="X35" i="4"/>
  <c r="V35" i="4"/>
  <c r="N35" i="4" s="1"/>
  <c r="T35" i="4"/>
  <c r="Y35" i="4" s="1"/>
  <c r="R35" i="4"/>
  <c r="J35" i="4"/>
  <c r="EO34" i="4"/>
  <c r="EN34" i="4"/>
  <c r="EG34" i="4"/>
  <c r="EF34" i="4"/>
  <c r="DY34" i="4"/>
  <c r="DX34" i="4"/>
  <c r="DP34" i="4"/>
  <c r="DN34" i="4"/>
  <c r="DL34" i="4"/>
  <c r="DQ34" i="4" s="1"/>
  <c r="DJ34" i="4"/>
  <c r="DI34" i="4"/>
  <c r="DH34" i="4"/>
  <c r="DA34" i="4"/>
  <c r="CZ34" i="4"/>
  <c r="CS34" i="4"/>
  <c r="CR34" i="4"/>
  <c r="CH34" i="4"/>
  <c r="CF34" i="4"/>
  <c r="CD34" i="4"/>
  <c r="CC34" i="4"/>
  <c r="CB34" i="4"/>
  <c r="BU34" i="4"/>
  <c r="BT34" i="4"/>
  <c r="BM34" i="4"/>
  <c r="BL34" i="4"/>
  <c r="BB34" i="4"/>
  <c r="AZ34" i="4"/>
  <c r="AX34" i="4"/>
  <c r="AW34" i="4"/>
  <c r="AV34" i="4"/>
  <c r="AO34" i="4"/>
  <c r="AN34" i="4"/>
  <c r="AG34" i="4"/>
  <c r="AF34" i="4"/>
  <c r="Y34" i="4"/>
  <c r="V34" i="4"/>
  <c r="T34" i="4"/>
  <c r="R34" i="4"/>
  <c r="X34" i="4" s="1"/>
  <c r="J34" i="4"/>
  <c r="EO33" i="4"/>
  <c r="EN33" i="4"/>
  <c r="EG33" i="4"/>
  <c r="EF33" i="4"/>
  <c r="DY33" i="4"/>
  <c r="DX33" i="4"/>
  <c r="DP33" i="4"/>
  <c r="DN33" i="4"/>
  <c r="DL33" i="4"/>
  <c r="DJ33" i="4"/>
  <c r="DQ33" i="4" s="1"/>
  <c r="DI33" i="4"/>
  <c r="DH33" i="4"/>
  <c r="DA33" i="4"/>
  <c r="CZ33" i="4"/>
  <c r="CS33" i="4"/>
  <c r="CR33" i="4"/>
  <c r="CJ33" i="4"/>
  <c r="CH33" i="4"/>
  <c r="CF33" i="4"/>
  <c r="CK33" i="4" s="1"/>
  <c r="CD33" i="4"/>
  <c r="CC33" i="4"/>
  <c r="CB33" i="4"/>
  <c r="BU33" i="4"/>
  <c r="BT33" i="4"/>
  <c r="BM33" i="4"/>
  <c r="BL33" i="4"/>
  <c r="BB33" i="4"/>
  <c r="AZ33" i="4"/>
  <c r="AX33" i="4"/>
  <c r="AW33" i="4"/>
  <c r="AV33" i="4"/>
  <c r="AO33" i="4"/>
  <c r="AN33" i="4"/>
  <c r="AG33" i="4"/>
  <c r="AF33" i="4"/>
  <c r="Y33" i="4"/>
  <c r="V33" i="4"/>
  <c r="T33" i="4"/>
  <c r="R33" i="4"/>
  <c r="J33" i="4" s="1"/>
  <c r="N33" i="4"/>
  <c r="EO32" i="4"/>
  <c r="EN32" i="4"/>
  <c r="EG32" i="4"/>
  <c r="EF32" i="4"/>
  <c r="DY32" i="4"/>
  <c r="DX32" i="4"/>
  <c r="DN32" i="4"/>
  <c r="DL32" i="4"/>
  <c r="DJ32" i="4"/>
  <c r="DQ32" i="4" s="1"/>
  <c r="DI32" i="4"/>
  <c r="DH32" i="4"/>
  <c r="DA32" i="4"/>
  <c r="CZ32" i="4"/>
  <c r="CS32" i="4"/>
  <c r="CR32" i="4"/>
  <c r="CJ32" i="4"/>
  <c r="CH32" i="4"/>
  <c r="CF32" i="4"/>
  <c r="CD32" i="4"/>
  <c r="CC32" i="4"/>
  <c r="CB32" i="4"/>
  <c r="BU32" i="4"/>
  <c r="BT32" i="4"/>
  <c r="BM32" i="4"/>
  <c r="BL32" i="4"/>
  <c r="BD32" i="4"/>
  <c r="BB32" i="4"/>
  <c r="AZ32" i="4"/>
  <c r="BE32" i="4" s="1"/>
  <c r="AX32" i="4"/>
  <c r="AW32" i="4"/>
  <c r="AV32" i="4"/>
  <c r="AO32" i="4"/>
  <c r="AN32" i="4"/>
  <c r="AG32" i="4"/>
  <c r="AF32" i="4"/>
  <c r="V32" i="4"/>
  <c r="N32" i="4" s="1"/>
  <c r="T32" i="4"/>
  <c r="R32" i="4"/>
  <c r="EO31" i="4"/>
  <c r="EN31" i="4"/>
  <c r="EG31" i="4"/>
  <c r="EF31" i="4"/>
  <c r="DY31" i="4"/>
  <c r="DX31" i="4"/>
  <c r="DN31" i="4"/>
  <c r="DL31" i="4"/>
  <c r="DJ31" i="4"/>
  <c r="DI31" i="4"/>
  <c r="DH31" i="4"/>
  <c r="DA31" i="4"/>
  <c r="CZ31" i="4"/>
  <c r="CS31" i="4"/>
  <c r="CR31" i="4"/>
  <c r="CK31" i="4"/>
  <c r="CH31" i="4"/>
  <c r="CF31" i="4"/>
  <c r="CD31" i="4"/>
  <c r="CC31" i="4"/>
  <c r="CB31" i="4"/>
  <c r="BU31" i="4"/>
  <c r="BT31" i="4"/>
  <c r="BM31" i="4"/>
  <c r="BL31" i="4"/>
  <c r="BD31" i="4"/>
  <c r="BB31" i="4"/>
  <c r="AZ31" i="4"/>
  <c r="AX31" i="4"/>
  <c r="BE31" i="4" s="1"/>
  <c r="AW31" i="4"/>
  <c r="AV31" i="4"/>
  <c r="AO31" i="4"/>
  <c r="AN31" i="4"/>
  <c r="AG31" i="4"/>
  <c r="AF31" i="4"/>
  <c r="X31" i="4"/>
  <c r="V31" i="4"/>
  <c r="T31" i="4"/>
  <c r="Y31" i="4" s="1"/>
  <c r="R31" i="4"/>
  <c r="J31" i="4"/>
  <c r="EO30" i="4"/>
  <c r="EN30" i="4"/>
  <c r="EG30" i="4"/>
  <c r="EF30" i="4"/>
  <c r="DY30" i="4"/>
  <c r="DX30" i="4"/>
  <c r="DP30" i="4"/>
  <c r="DN30" i="4"/>
  <c r="DL30" i="4"/>
  <c r="DQ30" i="4" s="1"/>
  <c r="DJ30" i="4"/>
  <c r="DI30" i="4"/>
  <c r="DH30" i="4"/>
  <c r="DA30" i="4"/>
  <c r="CZ30" i="4"/>
  <c r="CS30" i="4"/>
  <c r="CR30" i="4"/>
  <c r="CH30" i="4"/>
  <c r="N30" i="4" s="1"/>
  <c r="CF30" i="4"/>
  <c r="CD30" i="4"/>
  <c r="CC30" i="4"/>
  <c r="CB30" i="4"/>
  <c r="BU30" i="4"/>
  <c r="BT30" i="4"/>
  <c r="BM30" i="4"/>
  <c r="BL30" i="4"/>
  <c r="BB30" i="4"/>
  <c r="AZ30" i="4"/>
  <c r="AX30" i="4"/>
  <c r="BE30" i="4" s="1"/>
  <c r="AW30" i="4"/>
  <c r="AV30" i="4"/>
  <c r="AO30" i="4"/>
  <c r="AN30" i="4"/>
  <c r="AG30" i="4"/>
  <c r="AF30" i="4"/>
  <c r="X30" i="4"/>
  <c r="V30" i="4"/>
  <c r="T30" i="4"/>
  <c r="R30" i="4"/>
  <c r="L30" i="4"/>
  <c r="EO29" i="4"/>
  <c r="EN29" i="4"/>
  <c r="EG29" i="4"/>
  <c r="EF29" i="4"/>
  <c r="DY29" i="4"/>
  <c r="DX29" i="4"/>
  <c r="DQ29" i="4"/>
  <c r="DN29" i="4"/>
  <c r="DL29" i="4"/>
  <c r="DJ29" i="4"/>
  <c r="DP29" i="4" s="1"/>
  <c r="DI29" i="4"/>
  <c r="DH29" i="4"/>
  <c r="DA29" i="4"/>
  <c r="CZ29" i="4"/>
  <c r="CS29" i="4"/>
  <c r="CR29" i="4"/>
  <c r="CJ29" i="4"/>
  <c r="CH29" i="4"/>
  <c r="N29" i="4" s="1"/>
  <c r="CF29" i="4"/>
  <c r="CK29" i="4" s="1"/>
  <c r="CD29" i="4"/>
  <c r="CC29" i="4"/>
  <c r="CB29" i="4"/>
  <c r="BU29" i="4"/>
  <c r="BT29" i="4"/>
  <c r="BM29" i="4"/>
  <c r="BL29" i="4"/>
  <c r="BB29" i="4"/>
  <c r="AZ29" i="4"/>
  <c r="AX29" i="4"/>
  <c r="AW29" i="4"/>
  <c r="AV29" i="4"/>
  <c r="AO29" i="4"/>
  <c r="AN29" i="4"/>
  <c r="AG29" i="4"/>
  <c r="AF29" i="4"/>
  <c r="V29" i="4"/>
  <c r="T29" i="4"/>
  <c r="R29" i="4"/>
  <c r="L29" i="4"/>
  <c r="EO28" i="4"/>
  <c r="EN28" i="4"/>
  <c r="EG28" i="4"/>
  <c r="EF28" i="4"/>
  <c r="DY28" i="4"/>
  <c r="DX28" i="4"/>
  <c r="DN28" i="4"/>
  <c r="DL28" i="4"/>
  <c r="DJ28" i="4"/>
  <c r="DI28" i="4"/>
  <c r="DH28" i="4"/>
  <c r="DA28" i="4"/>
  <c r="CZ28" i="4"/>
  <c r="CS28" i="4"/>
  <c r="CR28" i="4"/>
  <c r="CK28" i="4"/>
  <c r="CH28" i="4"/>
  <c r="CF28" i="4"/>
  <c r="CD28" i="4"/>
  <c r="CJ28" i="4" s="1"/>
  <c r="CC28" i="4"/>
  <c r="CB28" i="4"/>
  <c r="BU28" i="4"/>
  <c r="BT28" i="4"/>
  <c r="BM28" i="4"/>
  <c r="BL28" i="4"/>
  <c r="BD28" i="4"/>
  <c r="BB28" i="4"/>
  <c r="N28" i="4" s="1"/>
  <c r="AZ28" i="4"/>
  <c r="AX28" i="4"/>
  <c r="BE28" i="4" s="1"/>
  <c r="AW28" i="4"/>
  <c r="AV28" i="4"/>
  <c r="AO28" i="4"/>
  <c r="AN28" i="4"/>
  <c r="AG28" i="4"/>
  <c r="AF28" i="4"/>
  <c r="V28" i="4"/>
  <c r="T28" i="4"/>
  <c r="R28" i="4"/>
  <c r="J28" i="4"/>
  <c r="EO27" i="4"/>
  <c r="EN27" i="4"/>
  <c r="EG27" i="4"/>
  <c r="EF27" i="4"/>
  <c r="DY27" i="4"/>
  <c r="DX27" i="4"/>
  <c r="DP27" i="4"/>
  <c r="DN27" i="4"/>
  <c r="DL27" i="4"/>
  <c r="DJ27" i="4"/>
  <c r="DQ27" i="4" s="1"/>
  <c r="DI27" i="4"/>
  <c r="DH27" i="4"/>
  <c r="DA27" i="4"/>
  <c r="CZ27" i="4"/>
  <c r="CS27" i="4"/>
  <c r="CR27" i="4"/>
  <c r="CH27" i="4"/>
  <c r="N27" i="4" s="1"/>
  <c r="CF27" i="4"/>
  <c r="CD27" i="4"/>
  <c r="CC27" i="4"/>
  <c r="CB27" i="4"/>
  <c r="BU27" i="4"/>
  <c r="BT27" i="4"/>
  <c r="BM27" i="4"/>
  <c r="BL27" i="4"/>
  <c r="BB27" i="4"/>
  <c r="AZ27" i="4"/>
  <c r="AX27" i="4"/>
  <c r="AW27" i="4"/>
  <c r="AV27" i="4"/>
  <c r="AO27" i="4"/>
  <c r="AN27" i="4"/>
  <c r="AG27" i="4"/>
  <c r="AF27" i="4"/>
  <c r="V27" i="4"/>
  <c r="T27" i="4"/>
  <c r="R27" i="4"/>
  <c r="J27" i="4" s="1"/>
  <c r="EO26" i="4"/>
  <c r="EN26" i="4"/>
  <c r="EG26" i="4"/>
  <c r="EF26" i="4"/>
  <c r="DY26" i="4"/>
  <c r="DX26" i="4"/>
  <c r="DP26" i="4"/>
  <c r="DN26" i="4"/>
  <c r="DL26" i="4"/>
  <c r="DJ26" i="4"/>
  <c r="DQ26" i="4" s="1"/>
  <c r="DI26" i="4"/>
  <c r="DH26" i="4"/>
  <c r="DA26" i="4"/>
  <c r="CZ26" i="4"/>
  <c r="CS26" i="4"/>
  <c r="CR26" i="4"/>
  <c r="CJ26" i="4"/>
  <c r="CH26" i="4"/>
  <c r="CF26" i="4"/>
  <c r="CD26" i="4"/>
  <c r="CK26" i="4" s="1"/>
  <c r="CC26" i="4"/>
  <c r="CB26" i="4"/>
  <c r="BU26" i="4"/>
  <c r="BT26" i="4"/>
  <c r="BM26" i="4"/>
  <c r="BL26" i="4"/>
  <c r="BB26" i="4"/>
  <c r="AZ26" i="4"/>
  <c r="AX26" i="4"/>
  <c r="AW26" i="4"/>
  <c r="AV26" i="4"/>
  <c r="AO26" i="4"/>
  <c r="AN26" i="4"/>
  <c r="AG26" i="4"/>
  <c r="AF26" i="4"/>
  <c r="Y26" i="4"/>
  <c r="V26" i="4"/>
  <c r="T26" i="4"/>
  <c r="R26" i="4"/>
  <c r="J26" i="4" s="1"/>
  <c r="N26" i="4"/>
  <c r="L26" i="4"/>
  <c r="EO25" i="4"/>
  <c r="EN25" i="4"/>
  <c r="EG25" i="4"/>
  <c r="EF25" i="4"/>
  <c r="DY25" i="4"/>
  <c r="DX25" i="4"/>
  <c r="DQ25" i="4"/>
  <c r="DN25" i="4"/>
  <c r="DL25" i="4"/>
  <c r="DJ25" i="4"/>
  <c r="DI25" i="4"/>
  <c r="DH25" i="4"/>
  <c r="DA25" i="4"/>
  <c r="CZ25" i="4"/>
  <c r="CS25" i="4"/>
  <c r="CR25" i="4"/>
  <c r="CJ25" i="4"/>
  <c r="CH25" i="4"/>
  <c r="CF25" i="4"/>
  <c r="CD25" i="4"/>
  <c r="CC25" i="4"/>
  <c r="CB25" i="4"/>
  <c r="BU25" i="4"/>
  <c r="BT25" i="4"/>
  <c r="BM25" i="4"/>
  <c r="BL25" i="4"/>
  <c r="BD25" i="4"/>
  <c r="BB25" i="4"/>
  <c r="AZ25" i="4"/>
  <c r="AX25" i="4"/>
  <c r="BE25" i="4" s="1"/>
  <c r="AW25" i="4"/>
  <c r="AV25" i="4"/>
  <c r="AO25" i="4"/>
  <c r="AN25" i="4"/>
  <c r="AG25" i="4"/>
  <c r="AF25" i="4"/>
  <c r="V25" i="4"/>
  <c r="T25" i="4"/>
  <c r="R25" i="4"/>
  <c r="N25" i="4"/>
  <c r="EO24" i="4"/>
  <c r="EN24" i="4"/>
  <c r="EG24" i="4"/>
  <c r="EF24" i="4"/>
  <c r="DY24" i="4"/>
  <c r="DX24" i="4"/>
  <c r="DN24" i="4"/>
  <c r="DL24" i="4"/>
  <c r="DJ24" i="4"/>
  <c r="DI24" i="4"/>
  <c r="DH24" i="4"/>
  <c r="DA24" i="4"/>
  <c r="CZ24" i="4"/>
  <c r="CS24" i="4"/>
  <c r="CR24" i="4"/>
  <c r="CH24" i="4"/>
  <c r="CF24" i="4"/>
  <c r="CD24" i="4"/>
  <c r="CC24" i="4"/>
  <c r="CB24" i="4"/>
  <c r="BU24" i="4"/>
  <c r="BT24" i="4"/>
  <c r="BM24" i="4"/>
  <c r="BL24" i="4"/>
  <c r="BB24" i="4"/>
  <c r="AZ24" i="4"/>
  <c r="AX24" i="4"/>
  <c r="BE24" i="4" s="1"/>
  <c r="AW24" i="4"/>
  <c r="AV24" i="4"/>
  <c r="AO24" i="4"/>
  <c r="AN24" i="4"/>
  <c r="AG24" i="4"/>
  <c r="AF24" i="4"/>
  <c r="X24" i="4"/>
  <c r="V24" i="4"/>
  <c r="N24" i="4" s="1"/>
  <c r="T24" i="4"/>
  <c r="R24" i="4"/>
  <c r="Y24" i="4" s="1"/>
  <c r="J24" i="4"/>
  <c r="EO23" i="4"/>
  <c r="EN23" i="4"/>
  <c r="EG23" i="4"/>
  <c r="EF23" i="4"/>
  <c r="DY23" i="4"/>
  <c r="DX23" i="4"/>
  <c r="DP23" i="4"/>
  <c r="DN23" i="4"/>
  <c r="DL23" i="4"/>
  <c r="DJ23" i="4"/>
  <c r="DQ23" i="4" s="1"/>
  <c r="DI23" i="4"/>
  <c r="DH23" i="4"/>
  <c r="DA23" i="4"/>
  <c r="CZ23" i="4"/>
  <c r="CS23" i="4"/>
  <c r="CR23" i="4"/>
  <c r="CH23" i="4"/>
  <c r="CF23" i="4"/>
  <c r="CD23" i="4"/>
  <c r="CC23" i="4"/>
  <c r="CB23" i="4"/>
  <c r="BU23" i="4"/>
  <c r="BT23" i="4"/>
  <c r="BM23" i="4"/>
  <c r="BL23" i="4"/>
  <c r="BE23" i="4"/>
  <c r="BB23" i="4"/>
  <c r="AZ23" i="4"/>
  <c r="AX23" i="4"/>
  <c r="J23" i="4" s="1"/>
  <c r="AW23" i="4"/>
  <c r="AV23" i="4"/>
  <c r="AO23" i="4"/>
  <c r="AN23" i="4"/>
  <c r="AG23" i="4"/>
  <c r="AF23" i="4"/>
  <c r="V23" i="4"/>
  <c r="T23" i="4"/>
  <c r="R23" i="4"/>
  <c r="N23" i="4"/>
  <c r="L23" i="4"/>
  <c r="EO22" i="4"/>
  <c r="EN22" i="4"/>
  <c r="EG22" i="4"/>
  <c r="EF22" i="4"/>
  <c r="DY22" i="4"/>
  <c r="DX22" i="4"/>
  <c r="DQ22" i="4"/>
  <c r="DN22" i="4"/>
  <c r="DL22" i="4"/>
  <c r="DJ22" i="4"/>
  <c r="DI22" i="4"/>
  <c r="DH22" i="4"/>
  <c r="DA22" i="4"/>
  <c r="CZ22" i="4"/>
  <c r="CS22" i="4"/>
  <c r="CR22" i="4"/>
  <c r="CJ22" i="4"/>
  <c r="CH22" i="4"/>
  <c r="CF22" i="4"/>
  <c r="CD22" i="4"/>
  <c r="CK22" i="4" s="1"/>
  <c r="CC22" i="4"/>
  <c r="CB22" i="4"/>
  <c r="BU22" i="4"/>
  <c r="BT22" i="4"/>
  <c r="BM22" i="4"/>
  <c r="BL22" i="4"/>
  <c r="BB22" i="4"/>
  <c r="N22" i="4" s="1"/>
  <c r="AZ22" i="4"/>
  <c r="AX22" i="4"/>
  <c r="AW22" i="4"/>
  <c r="AV22" i="4"/>
  <c r="AO22" i="4"/>
  <c r="AN22" i="4"/>
  <c r="AG22" i="4"/>
  <c r="AF22" i="4"/>
  <c r="V22" i="4"/>
  <c r="T22" i="4"/>
  <c r="R22" i="4"/>
  <c r="EN21" i="4"/>
  <c r="EL21" i="4"/>
  <c r="DV21" i="4"/>
  <c r="DN21" i="4" s="1"/>
  <c r="DR21" i="4"/>
  <c r="DF21" i="4"/>
  <c r="CV21" i="4"/>
  <c r="CP21" i="4"/>
  <c r="CN21" i="4"/>
  <c r="CL21" i="4"/>
  <c r="CH21" i="4"/>
  <c r="BZ21" i="4"/>
  <c r="BN21" i="4"/>
  <c r="BF21" i="4"/>
  <c r="AT21" i="4"/>
  <c r="AP21" i="4"/>
  <c r="AH21" i="4"/>
  <c r="Z21" i="4"/>
  <c r="EO20" i="4"/>
  <c r="EN20" i="4"/>
  <c r="EG20" i="4"/>
  <c r="EF20" i="4"/>
  <c r="DY20" i="4"/>
  <c r="DX20" i="4"/>
  <c r="DN20" i="4"/>
  <c r="DL20" i="4"/>
  <c r="DJ20" i="4"/>
  <c r="DI20" i="4"/>
  <c r="DH20" i="4"/>
  <c r="DA20" i="4"/>
  <c r="CZ20" i="4"/>
  <c r="CS20" i="4"/>
  <c r="CR20" i="4"/>
  <c r="CK20" i="4"/>
  <c r="CH20" i="4"/>
  <c r="CF20" i="4"/>
  <c r="CD20" i="4"/>
  <c r="CC20" i="4"/>
  <c r="CB20" i="4"/>
  <c r="BU20" i="4"/>
  <c r="BT20" i="4"/>
  <c r="BM20" i="4"/>
  <c r="BL20" i="4"/>
  <c r="BB20" i="4"/>
  <c r="AZ20" i="4"/>
  <c r="AX20" i="4"/>
  <c r="AW20" i="4"/>
  <c r="AV20" i="4"/>
  <c r="AO20" i="4"/>
  <c r="AN20" i="4"/>
  <c r="AG20" i="4"/>
  <c r="AF20" i="4"/>
  <c r="V20" i="4"/>
  <c r="T20" i="4"/>
  <c r="R20" i="4"/>
  <c r="L20" i="4"/>
  <c r="EO19" i="4"/>
  <c r="EN19" i="4"/>
  <c r="EG19" i="4"/>
  <c r="EF19" i="4"/>
  <c r="DY19" i="4"/>
  <c r="DX19" i="4"/>
  <c r="DQ19" i="4"/>
  <c r="DN19" i="4"/>
  <c r="DL19" i="4"/>
  <c r="DJ19" i="4"/>
  <c r="DP19" i="4" s="1"/>
  <c r="DI19" i="4"/>
  <c r="DH19" i="4"/>
  <c r="DA19" i="4"/>
  <c r="CZ19" i="4"/>
  <c r="CS19" i="4"/>
  <c r="CR19" i="4"/>
  <c r="CH19" i="4"/>
  <c r="CF19" i="4"/>
  <c r="CD19" i="4"/>
  <c r="CC19" i="4"/>
  <c r="CB19" i="4"/>
  <c r="BU19" i="4"/>
  <c r="BT19" i="4"/>
  <c r="BM19" i="4"/>
  <c r="BL19" i="4"/>
  <c r="BE19" i="4"/>
  <c r="BB19" i="4"/>
  <c r="AZ19" i="4"/>
  <c r="AX19" i="4"/>
  <c r="AW19" i="4"/>
  <c r="AV19" i="4"/>
  <c r="AO19" i="4"/>
  <c r="AN19" i="4"/>
  <c r="AG19" i="4"/>
  <c r="AF19" i="4"/>
  <c r="X19" i="4"/>
  <c r="V19" i="4"/>
  <c r="T19" i="4"/>
  <c r="R19" i="4"/>
  <c r="Y19" i="4" s="1"/>
  <c r="N19" i="4"/>
  <c r="EO18" i="4"/>
  <c r="EN18" i="4"/>
  <c r="EG18" i="4"/>
  <c r="EF18" i="4"/>
  <c r="DY18" i="4"/>
  <c r="DX18" i="4"/>
  <c r="DN18" i="4"/>
  <c r="DL18" i="4"/>
  <c r="DJ18" i="4"/>
  <c r="DI18" i="4"/>
  <c r="DH18" i="4"/>
  <c r="DA18" i="4"/>
  <c r="CZ18" i="4"/>
  <c r="CS18" i="4"/>
  <c r="CR18" i="4"/>
  <c r="CK18" i="4"/>
  <c r="CH18" i="4"/>
  <c r="CF18" i="4"/>
  <c r="CD18" i="4"/>
  <c r="CJ18" i="4" s="1"/>
  <c r="CC18" i="4"/>
  <c r="CB18" i="4"/>
  <c r="BU18" i="4"/>
  <c r="BT18" i="4"/>
  <c r="BM18" i="4"/>
  <c r="BL18" i="4"/>
  <c r="BD18" i="4"/>
  <c r="BB18" i="4"/>
  <c r="N18" i="4" s="1"/>
  <c r="AZ18" i="4"/>
  <c r="BE18" i="4" s="1"/>
  <c r="AX18" i="4"/>
  <c r="AW18" i="4"/>
  <c r="AV18" i="4"/>
  <c r="AO18" i="4"/>
  <c r="AN18" i="4"/>
  <c r="AG18" i="4"/>
  <c r="AF18" i="4"/>
  <c r="V18" i="4"/>
  <c r="T18" i="4"/>
  <c r="R18" i="4"/>
  <c r="J18" i="4" s="1"/>
  <c r="EO17" i="4"/>
  <c r="EN17" i="4"/>
  <c r="EG17" i="4"/>
  <c r="EF17" i="4"/>
  <c r="DY17" i="4"/>
  <c r="DX17" i="4"/>
  <c r="DN17" i="4"/>
  <c r="DL17" i="4"/>
  <c r="DJ17" i="4"/>
  <c r="DI17" i="4"/>
  <c r="DH17" i="4"/>
  <c r="DA17" i="4"/>
  <c r="CZ17" i="4"/>
  <c r="CS17" i="4"/>
  <c r="CR17" i="4"/>
  <c r="CH17" i="4"/>
  <c r="CF17" i="4"/>
  <c r="CD17" i="4"/>
  <c r="CC17" i="4"/>
  <c r="CB17" i="4"/>
  <c r="BU17" i="4"/>
  <c r="BT17" i="4"/>
  <c r="BM17" i="4"/>
  <c r="BL17" i="4"/>
  <c r="BE17" i="4"/>
  <c r="BB17" i="4"/>
  <c r="AZ17" i="4"/>
  <c r="AX17" i="4"/>
  <c r="AW17" i="4"/>
  <c r="AV17" i="4"/>
  <c r="AO17" i="4"/>
  <c r="AN17" i="4"/>
  <c r="AG17" i="4"/>
  <c r="AF17" i="4"/>
  <c r="V17" i="4"/>
  <c r="T17" i="4"/>
  <c r="R17" i="4"/>
  <c r="N17" i="4"/>
  <c r="EN16" i="4"/>
  <c r="EL16" i="4"/>
  <c r="EJ16" i="4"/>
  <c r="EJ21" i="4" s="1"/>
  <c r="EH16" i="4"/>
  <c r="EH21" i="4" s="1"/>
  <c r="EO21" i="4" s="1"/>
  <c r="EG16" i="4"/>
  <c r="ED16" i="4"/>
  <c r="ED21" i="4" s="1"/>
  <c r="EB16" i="4"/>
  <c r="DZ16" i="4"/>
  <c r="DZ21" i="4" s="1"/>
  <c r="DX16" i="4"/>
  <c r="DV16" i="4"/>
  <c r="DN16" i="4" s="1"/>
  <c r="DT16" i="4"/>
  <c r="DR16" i="4"/>
  <c r="DJ16" i="4"/>
  <c r="DF16" i="4"/>
  <c r="DD16" i="4"/>
  <c r="DD21" i="4" s="1"/>
  <c r="DB16" i="4"/>
  <c r="DB21" i="4" s="1"/>
  <c r="DH21" i="4" s="1"/>
  <c r="CX16" i="4"/>
  <c r="CX21" i="4" s="1"/>
  <c r="CV16" i="4"/>
  <c r="CT16" i="4"/>
  <c r="CR16" i="4"/>
  <c r="CP16" i="4"/>
  <c r="CN16" i="4"/>
  <c r="CL16" i="4"/>
  <c r="CH16" i="4"/>
  <c r="CC16" i="4"/>
  <c r="BZ16" i="4"/>
  <c r="BX16" i="4"/>
  <c r="BV16" i="4"/>
  <c r="BV21" i="4" s="1"/>
  <c r="BR16" i="4"/>
  <c r="BR21" i="4" s="1"/>
  <c r="BP16" i="4"/>
  <c r="BN16" i="4"/>
  <c r="AX16" i="4" s="1"/>
  <c r="BJ16" i="4"/>
  <c r="BJ21" i="4" s="1"/>
  <c r="BB21" i="4" s="1"/>
  <c r="BH16" i="4"/>
  <c r="BF16" i="4"/>
  <c r="BB16" i="4"/>
  <c r="AT16" i="4"/>
  <c r="AR16" i="4"/>
  <c r="AP16" i="4"/>
  <c r="AL16" i="4"/>
  <c r="AL21" i="4" s="1"/>
  <c r="AJ16" i="4"/>
  <c r="AH16" i="4"/>
  <c r="AD16" i="4"/>
  <c r="AD21" i="4" s="1"/>
  <c r="V21" i="4" s="1"/>
  <c r="AB16" i="4"/>
  <c r="Z16" i="4"/>
  <c r="V16" i="4"/>
  <c r="N16" i="4" s="1"/>
  <c r="R16" i="4"/>
  <c r="EO15" i="4"/>
  <c r="EN15" i="4"/>
  <c r="EG15" i="4"/>
  <c r="EF15" i="4"/>
  <c r="DY15" i="4"/>
  <c r="DX15" i="4"/>
  <c r="DQ15" i="4"/>
  <c r="DN15" i="4"/>
  <c r="DL15" i="4"/>
  <c r="DJ15" i="4"/>
  <c r="DP15" i="4" s="1"/>
  <c r="DI15" i="4"/>
  <c r="DH15" i="4"/>
  <c r="DA15" i="4"/>
  <c r="CZ15" i="4"/>
  <c r="CS15" i="4"/>
  <c r="CR15" i="4"/>
  <c r="CJ15" i="4"/>
  <c r="CH15" i="4"/>
  <c r="CF15" i="4"/>
  <c r="CK15" i="4" s="1"/>
  <c r="CD15" i="4"/>
  <c r="CC15" i="4"/>
  <c r="CB15" i="4"/>
  <c r="BU15" i="4"/>
  <c r="BT15" i="4"/>
  <c r="BM15" i="4"/>
  <c r="BL15" i="4"/>
  <c r="BB15" i="4"/>
  <c r="N15" i="4" s="1"/>
  <c r="AZ15" i="4"/>
  <c r="AX15" i="4"/>
  <c r="AW15" i="4"/>
  <c r="AV15" i="4"/>
  <c r="AO15" i="4"/>
  <c r="AN15" i="4"/>
  <c r="AG15" i="4"/>
  <c r="AF15" i="4"/>
  <c r="Y15" i="4"/>
  <c r="V15" i="4"/>
  <c r="T15" i="4"/>
  <c r="R15" i="4"/>
  <c r="EO14" i="4"/>
  <c r="EN14" i="4"/>
  <c r="EG14" i="4"/>
  <c r="EF14" i="4"/>
  <c r="DY14" i="4"/>
  <c r="DX14" i="4"/>
  <c r="DP14" i="4"/>
  <c r="DN14" i="4"/>
  <c r="DL14" i="4"/>
  <c r="DJ14" i="4"/>
  <c r="DQ14" i="4" s="1"/>
  <c r="DI14" i="4"/>
  <c r="DH14" i="4"/>
  <c r="DA14" i="4"/>
  <c r="CZ14" i="4"/>
  <c r="CS14" i="4"/>
  <c r="CR14" i="4"/>
  <c r="CJ14" i="4"/>
  <c r="CH14" i="4"/>
  <c r="CF14" i="4"/>
  <c r="CD14" i="4"/>
  <c r="CK14" i="4" s="1"/>
  <c r="CC14" i="4"/>
  <c r="CB14" i="4"/>
  <c r="BU14" i="4"/>
  <c r="BT14" i="4"/>
  <c r="BM14" i="4"/>
  <c r="BL14" i="4"/>
  <c r="BD14" i="4"/>
  <c r="BB14" i="4"/>
  <c r="AZ14" i="4"/>
  <c r="BE14" i="4" s="1"/>
  <c r="AX14" i="4"/>
  <c r="AW14" i="4"/>
  <c r="AV14" i="4"/>
  <c r="AO14" i="4"/>
  <c r="AN14" i="4"/>
  <c r="AG14" i="4"/>
  <c r="AF14" i="4"/>
  <c r="V14" i="4"/>
  <c r="T14" i="4"/>
  <c r="L14" i="4" s="1"/>
  <c r="R14" i="4"/>
  <c r="EO13" i="4"/>
  <c r="EN13" i="4"/>
  <c r="EG13" i="4"/>
  <c r="EF13" i="4"/>
  <c r="DY13" i="4"/>
  <c r="DX13" i="4"/>
  <c r="DQ13" i="4"/>
  <c r="DN13" i="4"/>
  <c r="DL13" i="4"/>
  <c r="DJ13" i="4"/>
  <c r="DI13" i="4"/>
  <c r="DH13" i="4"/>
  <c r="DA13" i="4"/>
  <c r="CZ13" i="4"/>
  <c r="CS13" i="4"/>
  <c r="CR13" i="4"/>
  <c r="CH13" i="4"/>
  <c r="CF13" i="4"/>
  <c r="CD13" i="4"/>
  <c r="CC13" i="4"/>
  <c r="CB13" i="4"/>
  <c r="BU13" i="4"/>
  <c r="BT13" i="4"/>
  <c r="BM13" i="4"/>
  <c r="BL13" i="4"/>
  <c r="BB13" i="4"/>
  <c r="AZ13" i="4"/>
  <c r="AX13" i="4"/>
  <c r="AW13" i="4"/>
  <c r="AV13" i="4"/>
  <c r="AO13" i="4"/>
  <c r="AN13" i="4"/>
  <c r="AG13" i="4"/>
  <c r="AF13" i="4"/>
  <c r="X13" i="4"/>
  <c r="V13" i="4"/>
  <c r="N13" i="4" s="1"/>
  <c r="T13" i="4"/>
  <c r="R13" i="4"/>
  <c r="EL12" i="4"/>
  <c r="EJ12" i="4"/>
  <c r="EH12" i="4"/>
  <c r="ED12" i="4"/>
  <c r="EB12" i="4"/>
  <c r="EG12" i="4" s="1"/>
  <c r="DZ12" i="4"/>
  <c r="EF12" i="4" s="1"/>
  <c r="DX12" i="4"/>
  <c r="DV12" i="4"/>
  <c r="DT12" i="4"/>
  <c r="DR12" i="4"/>
  <c r="DN12" i="4"/>
  <c r="DF12" i="4"/>
  <c r="DD12" i="4"/>
  <c r="DB12" i="4"/>
  <c r="CX12" i="4"/>
  <c r="CV12" i="4"/>
  <c r="DA12" i="4" s="1"/>
  <c r="CT12" i="4"/>
  <c r="CZ12" i="4" s="1"/>
  <c r="CR12" i="4"/>
  <c r="CP12" i="4"/>
  <c r="CN12" i="4"/>
  <c r="CL12" i="4"/>
  <c r="CH12" i="4"/>
  <c r="BZ12" i="4"/>
  <c r="BX12" i="4"/>
  <c r="BV12" i="4"/>
  <c r="BR12" i="4"/>
  <c r="BP12" i="4"/>
  <c r="BU12" i="4" s="1"/>
  <c r="BN12" i="4"/>
  <c r="BT12" i="4" s="1"/>
  <c r="BL12" i="4"/>
  <c r="BJ12" i="4"/>
  <c r="BH12" i="4"/>
  <c r="BF12" i="4"/>
  <c r="BB12" i="4"/>
  <c r="AT12" i="4"/>
  <c r="AR12" i="4"/>
  <c r="AP12" i="4"/>
  <c r="R12" i="4" s="1"/>
  <c r="AL12" i="4"/>
  <c r="AJ12" i="4"/>
  <c r="AO12" i="4" s="1"/>
  <c r="AH12" i="4"/>
  <c r="AN12" i="4" s="1"/>
  <c r="AF12" i="4"/>
  <c r="AD12" i="4"/>
  <c r="AB12" i="4"/>
  <c r="Z12" i="4"/>
  <c r="V12" i="4"/>
  <c r="EO11" i="4"/>
  <c r="EN11" i="4"/>
  <c r="EG11" i="4"/>
  <c r="EF11" i="4"/>
  <c r="DY11" i="4"/>
  <c r="DX11" i="4"/>
  <c r="DP11" i="4"/>
  <c r="DN11" i="4"/>
  <c r="DL11" i="4"/>
  <c r="DQ11" i="4" s="1"/>
  <c r="DJ11" i="4"/>
  <c r="DI11" i="4"/>
  <c r="DH11" i="4"/>
  <c r="DA11" i="4"/>
  <c r="CZ11" i="4"/>
  <c r="CS11" i="4"/>
  <c r="CR11" i="4"/>
  <c r="CH11" i="4"/>
  <c r="CF11" i="4"/>
  <c r="CD11" i="4"/>
  <c r="CC11" i="4"/>
  <c r="CB11" i="4"/>
  <c r="BU11" i="4"/>
  <c r="BT11" i="4"/>
  <c r="BM11" i="4"/>
  <c r="BL11" i="4"/>
  <c r="BB11" i="4"/>
  <c r="AZ11" i="4"/>
  <c r="AX11" i="4"/>
  <c r="BE11" i="4" s="1"/>
  <c r="AW11" i="4"/>
  <c r="AV11" i="4"/>
  <c r="AO11" i="4"/>
  <c r="AN11" i="4"/>
  <c r="AG11" i="4"/>
  <c r="AF11" i="4"/>
  <c r="V11" i="4"/>
  <c r="T11" i="4"/>
  <c r="Y11" i="4" s="1"/>
  <c r="R11" i="4"/>
  <c r="X11" i="4" s="1"/>
  <c r="J11" i="4"/>
  <c r="EN10" i="4"/>
  <c r="EL10" i="4"/>
  <c r="EJ10" i="4"/>
  <c r="EO10" i="4" s="1"/>
  <c r="EH10" i="4"/>
  <c r="EG10" i="4"/>
  <c r="ED10" i="4"/>
  <c r="EB10" i="4"/>
  <c r="EF10" i="4" s="1"/>
  <c r="DZ10" i="4"/>
  <c r="DX10" i="4"/>
  <c r="DV10" i="4"/>
  <c r="DN10" i="4" s="1"/>
  <c r="DT10" i="4"/>
  <c r="DR10" i="4"/>
  <c r="DJ10" i="4"/>
  <c r="DF10" i="4"/>
  <c r="DD10" i="4"/>
  <c r="DB10" i="4"/>
  <c r="DH10" i="4" s="1"/>
  <c r="CX10" i="4"/>
  <c r="CV10" i="4"/>
  <c r="CT10" i="4"/>
  <c r="DA10" i="4" s="1"/>
  <c r="CR10" i="4"/>
  <c r="CP10" i="4"/>
  <c r="CH10" i="4" s="1"/>
  <c r="CN10" i="4"/>
  <c r="CL10" i="4"/>
  <c r="BZ10" i="4"/>
  <c r="BX10" i="4"/>
  <c r="CB10" i="4" s="1"/>
  <c r="BV10" i="4"/>
  <c r="BR10" i="4"/>
  <c r="BP10" i="4"/>
  <c r="BN10" i="4"/>
  <c r="AX10" i="4" s="1"/>
  <c r="BJ10" i="4"/>
  <c r="BH10" i="4"/>
  <c r="BF10" i="4"/>
  <c r="BB10" i="4"/>
  <c r="AT10" i="4"/>
  <c r="AR10" i="4"/>
  <c r="AP10" i="4"/>
  <c r="AW10" i="4" s="1"/>
  <c r="AN10" i="4"/>
  <c r="AL10" i="4"/>
  <c r="AJ10" i="4"/>
  <c r="AO10" i="4" s="1"/>
  <c r="AH10" i="4"/>
  <c r="AD10" i="4"/>
  <c r="AB10" i="4"/>
  <c r="Z10" i="4"/>
  <c r="AF10" i="4" s="1"/>
  <c r="T10" i="4"/>
  <c r="R10" i="4"/>
  <c r="EO9" i="4"/>
  <c r="EN9" i="4"/>
  <c r="EG9" i="4"/>
  <c r="EF9" i="4"/>
  <c r="DY9" i="4"/>
  <c r="DX9" i="4"/>
  <c r="DN9" i="4"/>
  <c r="DL9" i="4"/>
  <c r="DJ9" i="4"/>
  <c r="DP9" i="4" s="1"/>
  <c r="DI9" i="4"/>
  <c r="DH9" i="4"/>
  <c r="DA9" i="4"/>
  <c r="CZ9" i="4"/>
  <c r="CS9" i="4"/>
  <c r="CR9" i="4"/>
  <c r="CJ9" i="4"/>
  <c r="CH9" i="4"/>
  <c r="N9" i="4" s="1"/>
  <c r="CF9" i="4"/>
  <c r="CD9" i="4"/>
  <c r="CK9" i="4" s="1"/>
  <c r="CC9" i="4"/>
  <c r="CB9" i="4"/>
  <c r="BU9" i="4"/>
  <c r="BT9" i="4"/>
  <c r="BM9" i="4"/>
  <c r="BL9" i="4"/>
  <c r="BB9" i="4"/>
  <c r="AZ9" i="4"/>
  <c r="AX9" i="4"/>
  <c r="AW9" i="4"/>
  <c r="AV9" i="4"/>
  <c r="AO9" i="4"/>
  <c r="AN9" i="4"/>
  <c r="AG9" i="4"/>
  <c r="AF9" i="4"/>
  <c r="Y9" i="4"/>
  <c r="V9" i="4"/>
  <c r="T9" i="4"/>
  <c r="R9" i="4"/>
  <c r="EO8" i="4"/>
  <c r="EN8" i="4"/>
  <c r="EM8" i="4"/>
  <c r="EG8" i="4"/>
  <c r="EF8" i="4"/>
  <c r="DY8" i="4"/>
  <c r="DX8" i="4"/>
  <c r="DP8" i="4"/>
  <c r="DN8" i="4"/>
  <c r="DL8" i="4"/>
  <c r="DJ8" i="4"/>
  <c r="DI8" i="4"/>
  <c r="DH8" i="4"/>
  <c r="DG8" i="4"/>
  <c r="DA8" i="4"/>
  <c r="CZ8" i="4"/>
  <c r="CS8" i="4"/>
  <c r="CR8" i="4"/>
  <c r="CO8" i="4"/>
  <c r="CH8" i="4"/>
  <c r="CF8" i="4"/>
  <c r="CD8" i="4"/>
  <c r="CK8" i="4" s="1"/>
  <c r="CC8" i="4"/>
  <c r="CB8" i="4"/>
  <c r="BU8" i="4"/>
  <c r="BT8" i="4"/>
  <c r="BM8" i="4"/>
  <c r="BL8" i="4"/>
  <c r="BB8" i="4"/>
  <c r="N8" i="4" s="1"/>
  <c r="AZ8" i="4"/>
  <c r="BE8" i="4" s="1"/>
  <c r="AX8" i="4"/>
  <c r="AW8" i="4"/>
  <c r="AV8" i="4"/>
  <c r="AO8" i="4"/>
  <c r="AN8" i="4"/>
  <c r="AI8" i="4"/>
  <c r="AG8" i="4"/>
  <c r="AF8" i="4"/>
  <c r="Y8" i="4"/>
  <c r="V8" i="4"/>
  <c r="T8" i="4"/>
  <c r="X8" i="4" s="1"/>
  <c r="R8" i="4"/>
  <c r="L8" i="4"/>
  <c r="EO7" i="4"/>
  <c r="EN7" i="4"/>
  <c r="EG7" i="4"/>
  <c r="EF7" i="4"/>
  <c r="DY7" i="4"/>
  <c r="DX7" i="4"/>
  <c r="DN7" i="4"/>
  <c r="DL7" i="4"/>
  <c r="DJ7" i="4"/>
  <c r="DQ7" i="4" s="1"/>
  <c r="DI7" i="4"/>
  <c r="DH7" i="4"/>
  <c r="DA7" i="4"/>
  <c r="CZ7" i="4"/>
  <c r="CS7" i="4"/>
  <c r="CR7" i="4"/>
  <c r="CJ7" i="4"/>
  <c r="CH7" i="4"/>
  <c r="CF7" i="4"/>
  <c r="CD7" i="4"/>
  <c r="CK7" i="4" s="1"/>
  <c r="CC7" i="4"/>
  <c r="CB7" i="4"/>
  <c r="BU7" i="4"/>
  <c r="BT7" i="4"/>
  <c r="BM7" i="4"/>
  <c r="BL7" i="4"/>
  <c r="BD7" i="4"/>
  <c r="BB7" i="4"/>
  <c r="N7" i="4" s="1"/>
  <c r="AZ7" i="4"/>
  <c r="AX7" i="4"/>
  <c r="BE7" i="4" s="1"/>
  <c r="AW7" i="4"/>
  <c r="AV7" i="4"/>
  <c r="AO7" i="4"/>
  <c r="AN7" i="4"/>
  <c r="AG7" i="4"/>
  <c r="AF7" i="4"/>
  <c r="X7" i="4"/>
  <c r="V7" i="4"/>
  <c r="T7" i="4"/>
  <c r="R7" i="4"/>
  <c r="J7" i="4"/>
  <c r="EL6" i="4"/>
  <c r="EJ6" i="4"/>
  <c r="EH6" i="4"/>
  <c r="EF6" i="4"/>
  <c r="ED6" i="4"/>
  <c r="EB6" i="4"/>
  <c r="EG6" i="4" s="1"/>
  <c r="DZ6" i="4"/>
  <c r="DY6" i="4"/>
  <c r="DV6" i="4"/>
  <c r="DU6" i="4"/>
  <c r="DT6" i="4"/>
  <c r="DR6" i="4"/>
  <c r="DJ6" i="4"/>
  <c r="DF6" i="4"/>
  <c r="DD6" i="4"/>
  <c r="DB6" i="4"/>
  <c r="CZ6" i="4"/>
  <c r="CX6" i="4"/>
  <c r="CV6" i="4"/>
  <c r="DA6" i="4" s="1"/>
  <c r="CT6" i="4"/>
  <c r="CP6" i="4"/>
  <c r="CO6" i="4"/>
  <c r="CN6" i="4"/>
  <c r="CL6" i="4"/>
  <c r="CF6" i="4"/>
  <c r="CF82" i="4" s="1"/>
  <c r="BZ6" i="4"/>
  <c r="BX6" i="4"/>
  <c r="BX82" i="4" s="1"/>
  <c r="BV6" i="4"/>
  <c r="BW8" i="4" s="1"/>
  <c r="BR6" i="4"/>
  <c r="BP6" i="4"/>
  <c r="BP82" i="4" s="1"/>
  <c r="BN6" i="4"/>
  <c r="BJ6" i="4"/>
  <c r="BH6" i="4"/>
  <c r="BF6" i="4"/>
  <c r="BG8" i="4" s="1"/>
  <c r="AZ6" i="4"/>
  <c r="AZ82" i="4" s="1"/>
  <c r="AT6" i="4"/>
  <c r="AR6" i="4"/>
  <c r="AP6" i="4"/>
  <c r="AL6" i="4"/>
  <c r="AJ6" i="4"/>
  <c r="AO6" i="4" s="1"/>
  <c r="AH6" i="4"/>
  <c r="AD6" i="4"/>
  <c r="AB6" i="4"/>
  <c r="AB82" i="4" s="1"/>
  <c r="Z6" i="4"/>
  <c r="T6" i="4"/>
  <c r="T82" i="4" s="1"/>
  <c r="CP16" i="3"/>
  <c r="CN16" i="3"/>
  <c r="CM16" i="3"/>
  <c r="CO16" i="3" s="1"/>
  <c r="CL16" i="3"/>
  <c r="CI16" i="3"/>
  <c r="CH16" i="3"/>
  <c r="CG16" i="3"/>
  <c r="CD16" i="3"/>
  <c r="CC16" i="3"/>
  <c r="CB16" i="3"/>
  <c r="BY16" i="3"/>
  <c r="BW16" i="3"/>
  <c r="BT16" i="3"/>
  <c r="BS16" i="3"/>
  <c r="BV16" i="3" s="1"/>
  <c r="BR16" i="3"/>
  <c r="BO16" i="3"/>
  <c r="BN16" i="3"/>
  <c r="BP16" i="3" s="1"/>
  <c r="BM16" i="3"/>
  <c r="BJ16" i="3"/>
  <c r="BI16" i="3"/>
  <c r="BH16" i="3"/>
  <c r="BE16" i="3"/>
  <c r="BC16" i="3"/>
  <c r="BA16" i="3"/>
  <c r="AZ16" i="3"/>
  <c r="AY16" i="3"/>
  <c r="AX16" i="3"/>
  <c r="BB16" i="3" s="1"/>
  <c r="AW16" i="3"/>
  <c r="AU16" i="3"/>
  <c r="AT16" i="3"/>
  <c r="AS16" i="3"/>
  <c r="AQ16" i="3"/>
  <c r="AP16" i="3"/>
  <c r="AK16" i="3" s="1"/>
  <c r="AO16" i="3"/>
  <c r="AN16" i="3"/>
  <c r="AI16" i="3"/>
  <c r="AG16" i="3"/>
  <c r="AF16" i="3"/>
  <c r="AE16" i="3"/>
  <c r="AD16" i="3"/>
  <c r="AH16" i="3" s="1"/>
  <c r="AC16" i="3"/>
  <c r="AA16" i="3"/>
  <c r="Z16" i="3"/>
  <c r="Y16" i="3"/>
  <c r="W16" i="3"/>
  <c r="V16" i="3"/>
  <c r="U16" i="3"/>
  <c r="T16" i="3"/>
  <c r="Q16" i="3"/>
  <c r="O16" i="3"/>
  <c r="J16" i="3" s="1"/>
  <c r="CP15" i="3"/>
  <c r="CO15" i="3"/>
  <c r="CK15" i="3"/>
  <c r="CJ15" i="3"/>
  <c r="CF15" i="3"/>
  <c r="CE15" i="3"/>
  <c r="BZ15" i="3"/>
  <c r="BY15" i="3"/>
  <c r="BX15" i="3"/>
  <c r="BW15" i="3"/>
  <c r="CA15" i="3" s="1"/>
  <c r="BV15" i="3"/>
  <c r="BU15" i="3"/>
  <c r="BQ15" i="3"/>
  <c r="BP15" i="3"/>
  <c r="BL15" i="3"/>
  <c r="BK15" i="3"/>
  <c r="BE15" i="3"/>
  <c r="BD15" i="3"/>
  <c r="BG15" i="3" s="1"/>
  <c r="BC15" i="3"/>
  <c r="BB15" i="3"/>
  <c r="BA15" i="3"/>
  <c r="AW15" i="3"/>
  <c r="AV15" i="3"/>
  <c r="AR15" i="3"/>
  <c r="AQ15" i="3"/>
  <c r="AM15" i="3"/>
  <c r="AK15" i="3"/>
  <c r="L15" i="3" s="1"/>
  <c r="AJ15" i="3"/>
  <c r="AI15" i="3"/>
  <c r="J15" i="3" s="1"/>
  <c r="AH15" i="3"/>
  <c r="AG15" i="3"/>
  <c r="AC15" i="3"/>
  <c r="AB15" i="3"/>
  <c r="X15" i="3"/>
  <c r="W15" i="3"/>
  <c r="Q15" i="3"/>
  <c r="P15" i="3"/>
  <c r="S15" i="3" s="1"/>
  <c r="O15" i="3"/>
  <c r="CP14" i="3"/>
  <c r="CO14" i="3"/>
  <c r="CK14" i="3"/>
  <c r="CJ14" i="3"/>
  <c r="CF14" i="3"/>
  <c r="CE14" i="3"/>
  <c r="BY14" i="3"/>
  <c r="BX14" i="3"/>
  <c r="BZ14" i="3" s="1"/>
  <c r="BW14" i="3"/>
  <c r="CA14" i="3" s="1"/>
  <c r="BV14" i="3"/>
  <c r="BU14" i="3"/>
  <c r="BQ14" i="3"/>
  <c r="BP14" i="3"/>
  <c r="BL14" i="3"/>
  <c r="BK14" i="3"/>
  <c r="BF14" i="3"/>
  <c r="BE14" i="3"/>
  <c r="BD14" i="3"/>
  <c r="BC14" i="3"/>
  <c r="BG14" i="3" s="1"/>
  <c r="BB14" i="3"/>
  <c r="BA14" i="3"/>
  <c r="AW14" i="3"/>
  <c r="AV14" i="3"/>
  <c r="AR14" i="3"/>
  <c r="AQ14" i="3"/>
  <c r="AK14" i="3"/>
  <c r="L14" i="3" s="1"/>
  <c r="AJ14" i="3"/>
  <c r="AM14" i="3" s="1"/>
  <c r="AI14" i="3"/>
  <c r="AH14" i="3"/>
  <c r="AG14" i="3"/>
  <c r="AC14" i="3"/>
  <c r="AB14" i="3"/>
  <c r="X14" i="3"/>
  <c r="W14" i="3"/>
  <c r="Q14" i="3"/>
  <c r="P14" i="3"/>
  <c r="S14" i="3" s="1"/>
  <c r="O14" i="3"/>
  <c r="CP13" i="3"/>
  <c r="CO13" i="3"/>
  <c r="CK13" i="3"/>
  <c r="CJ13" i="3"/>
  <c r="CF13" i="3"/>
  <c r="CE13" i="3"/>
  <c r="BY13" i="3"/>
  <c r="BX13" i="3"/>
  <c r="BW13" i="3"/>
  <c r="BV13" i="3"/>
  <c r="BU13" i="3"/>
  <c r="BQ13" i="3"/>
  <c r="BP13" i="3"/>
  <c r="BL13" i="3"/>
  <c r="BK13" i="3"/>
  <c r="BF13" i="3"/>
  <c r="BE13" i="3"/>
  <c r="BD13" i="3"/>
  <c r="BC13" i="3"/>
  <c r="BG13" i="3" s="1"/>
  <c r="BB13" i="3"/>
  <c r="BA13" i="3"/>
  <c r="AW13" i="3"/>
  <c r="AV13" i="3"/>
  <c r="AR13" i="3"/>
  <c r="AQ13" i="3"/>
  <c r="AL13" i="3"/>
  <c r="AK13" i="3"/>
  <c r="L13" i="3" s="1"/>
  <c r="AJ13" i="3"/>
  <c r="AI13" i="3"/>
  <c r="AM13" i="3" s="1"/>
  <c r="AH13" i="3"/>
  <c r="AG13" i="3"/>
  <c r="AC13" i="3"/>
  <c r="AB13" i="3"/>
  <c r="X13" i="3"/>
  <c r="W13" i="3"/>
  <c r="Q13" i="3"/>
  <c r="P13" i="3"/>
  <c r="O13" i="3"/>
  <c r="J13" i="3"/>
  <c r="CN12" i="3"/>
  <c r="CM12" i="3"/>
  <c r="CP12" i="3" s="1"/>
  <c r="CL12" i="3"/>
  <c r="CI12" i="3"/>
  <c r="CH12" i="3"/>
  <c r="CJ12" i="3" s="1"/>
  <c r="CG12" i="3"/>
  <c r="CD12" i="3"/>
  <c r="CC12" i="3"/>
  <c r="CB12" i="3"/>
  <c r="BY12" i="3"/>
  <c r="BW12" i="3"/>
  <c r="BU12" i="3"/>
  <c r="BT12" i="3"/>
  <c r="BS12" i="3"/>
  <c r="BR12" i="3"/>
  <c r="BV12" i="3" s="1"/>
  <c r="BQ12" i="3"/>
  <c r="BO12" i="3"/>
  <c r="BN12" i="3"/>
  <c r="BM12" i="3"/>
  <c r="BK12" i="3"/>
  <c r="BJ12" i="3"/>
  <c r="BE12" i="3" s="1"/>
  <c r="BI12" i="3"/>
  <c r="BH12" i="3"/>
  <c r="BC12" i="3"/>
  <c r="BA12" i="3"/>
  <c r="AZ12" i="3"/>
  <c r="AY12" i="3"/>
  <c r="AX12" i="3"/>
  <c r="BB12" i="3" s="1"/>
  <c r="AW12" i="3"/>
  <c r="AU12" i="3"/>
  <c r="AT12" i="3"/>
  <c r="AS12" i="3"/>
  <c r="AI12" i="3" s="1"/>
  <c r="AQ12" i="3"/>
  <c r="AP12" i="3"/>
  <c r="AO12" i="3"/>
  <c r="AN12" i="3"/>
  <c r="AK12" i="3"/>
  <c r="AF12" i="3"/>
  <c r="AE12" i="3"/>
  <c r="AG12" i="3" s="1"/>
  <c r="AD12" i="3"/>
  <c r="AH12" i="3" s="1"/>
  <c r="AA12" i="3"/>
  <c r="Z12" i="3"/>
  <c r="Y12" i="3"/>
  <c r="V12" i="3"/>
  <c r="U12" i="3"/>
  <c r="T12" i="3"/>
  <c r="Q12" i="3"/>
  <c r="O12" i="3"/>
  <c r="J12" i="3" s="1"/>
  <c r="CN11" i="3"/>
  <c r="CM11" i="3"/>
  <c r="CL11" i="3"/>
  <c r="BW11" i="3" s="1"/>
  <c r="CI11" i="3"/>
  <c r="CH11" i="3"/>
  <c r="CK11" i="3" s="1"/>
  <c r="CG11" i="3"/>
  <c r="CE11" i="3"/>
  <c r="CD11" i="3"/>
  <c r="BY11" i="3" s="1"/>
  <c r="CC11" i="3"/>
  <c r="CB11" i="3"/>
  <c r="CF11" i="3" s="1"/>
  <c r="BX11" i="3"/>
  <c r="BT11" i="3"/>
  <c r="BS11" i="3"/>
  <c r="BU11" i="3" s="1"/>
  <c r="BR11" i="3"/>
  <c r="BO11" i="3"/>
  <c r="BN11" i="3"/>
  <c r="BQ11" i="3" s="1"/>
  <c r="BM11" i="3"/>
  <c r="BK11" i="3"/>
  <c r="BJ11" i="3"/>
  <c r="BE11" i="3" s="1"/>
  <c r="BI11" i="3"/>
  <c r="BH11" i="3"/>
  <c r="BL11" i="3" s="1"/>
  <c r="BC11" i="3"/>
  <c r="BB11" i="3"/>
  <c r="AZ11" i="3"/>
  <c r="AY11" i="3"/>
  <c r="AX11" i="3"/>
  <c r="AX9" i="3" s="1"/>
  <c r="AV11" i="3"/>
  <c r="AU11" i="3"/>
  <c r="AT11" i="3"/>
  <c r="AW11" i="3" s="1"/>
  <c r="AS11" i="3"/>
  <c r="AQ11" i="3"/>
  <c r="AP11" i="3"/>
  <c r="AO11" i="3"/>
  <c r="AN11" i="3"/>
  <c r="AR11" i="3" s="1"/>
  <c r="AJ11" i="3"/>
  <c r="AH11" i="3"/>
  <c r="AF11" i="3"/>
  <c r="AE11" i="3"/>
  <c r="AD11" i="3"/>
  <c r="AB11" i="3"/>
  <c r="AA11" i="3"/>
  <c r="Z11" i="3"/>
  <c r="AC11" i="3" s="1"/>
  <c r="Y11" i="3"/>
  <c r="V11" i="3"/>
  <c r="Q11" i="3" s="1"/>
  <c r="U11" i="3"/>
  <c r="T11" i="3"/>
  <c r="W11" i="3" s="1"/>
  <c r="P11" i="3"/>
  <c r="CN10" i="3"/>
  <c r="CM10" i="3"/>
  <c r="CL10" i="3"/>
  <c r="CJ10" i="3"/>
  <c r="CI10" i="3"/>
  <c r="CI9" i="3" s="1"/>
  <c r="CH10" i="3"/>
  <c r="CG10" i="3"/>
  <c r="CK10" i="3" s="1"/>
  <c r="CE10" i="3"/>
  <c r="CD10" i="3"/>
  <c r="CC10" i="3"/>
  <c r="CB10" i="3"/>
  <c r="CF10" i="3" s="1"/>
  <c r="BY10" i="3"/>
  <c r="BW10" i="3"/>
  <c r="BU10" i="3"/>
  <c r="BT10" i="3"/>
  <c r="BT9" i="3" s="1"/>
  <c r="BS10" i="3"/>
  <c r="BR10" i="3"/>
  <c r="BP10" i="3"/>
  <c r="BO10" i="3"/>
  <c r="BN10" i="3"/>
  <c r="BM10" i="3"/>
  <c r="BM9" i="3" s="1"/>
  <c r="BJ10" i="3"/>
  <c r="BI10" i="3"/>
  <c r="BK10" i="3" s="1"/>
  <c r="BH10" i="3"/>
  <c r="BH9" i="3" s="1"/>
  <c r="AZ10" i="3"/>
  <c r="AY10" i="3"/>
  <c r="AX10" i="3"/>
  <c r="AV10" i="3"/>
  <c r="AU10" i="3"/>
  <c r="AT10" i="3"/>
  <c r="AS10" i="3"/>
  <c r="AW10" i="3" s="1"/>
  <c r="AQ10" i="3"/>
  <c r="AP10" i="3"/>
  <c r="AO10" i="3"/>
  <c r="AN10" i="3"/>
  <c r="AN9" i="3" s="1"/>
  <c r="AI9" i="3" s="1"/>
  <c r="AK10" i="3"/>
  <c r="AI10" i="3"/>
  <c r="AG10" i="3"/>
  <c r="AF10" i="3"/>
  <c r="Q10" i="3" s="1"/>
  <c r="AE10" i="3"/>
  <c r="AD10" i="3"/>
  <c r="AB10" i="3"/>
  <c r="AA10" i="3"/>
  <c r="AA9" i="3" s="1"/>
  <c r="Z10" i="3"/>
  <c r="Y10" i="3"/>
  <c r="AC10" i="3" s="1"/>
  <c r="V10" i="3"/>
  <c r="U10" i="3"/>
  <c r="W10" i="3" s="1"/>
  <c r="T10" i="3"/>
  <c r="X10" i="3" s="1"/>
  <c r="P10" i="3"/>
  <c r="CN9" i="3"/>
  <c r="CG9" i="3"/>
  <c r="CF9" i="3"/>
  <c r="CC9" i="3"/>
  <c r="CB9" i="3"/>
  <c r="BR9" i="3"/>
  <c r="BJ9" i="3"/>
  <c r="AZ9" i="3"/>
  <c r="AT9" i="3"/>
  <c r="AW9" i="3" s="1"/>
  <c r="AS9" i="3"/>
  <c r="AP9" i="3"/>
  <c r="AO9" i="3"/>
  <c r="AD9" i="3"/>
  <c r="Z9" i="3"/>
  <c r="AC9" i="3" s="1"/>
  <c r="Y9" i="3"/>
  <c r="V9" i="3"/>
  <c r="U9" i="3"/>
  <c r="T9" i="3"/>
  <c r="F9" i="3"/>
  <c r="CP8" i="3"/>
  <c r="CO8" i="3"/>
  <c r="CK8" i="3"/>
  <c r="CJ8" i="3"/>
  <c r="CF8" i="3"/>
  <c r="CE8" i="3"/>
  <c r="BZ8" i="3"/>
  <c r="BY8" i="3"/>
  <c r="BX8" i="3"/>
  <c r="BW8" i="3"/>
  <c r="CA8" i="3" s="1"/>
  <c r="BV8" i="3"/>
  <c r="BU8" i="3"/>
  <c r="BQ8" i="3"/>
  <c r="BP8" i="3"/>
  <c r="BL8" i="3"/>
  <c r="BK8" i="3"/>
  <c r="BE8" i="3"/>
  <c r="BD8" i="3"/>
  <c r="BG8" i="3" s="1"/>
  <c r="BC8" i="3"/>
  <c r="BB8" i="3"/>
  <c r="BA8" i="3"/>
  <c r="AW8" i="3"/>
  <c r="AV8" i="3"/>
  <c r="AR8" i="3"/>
  <c r="AQ8" i="3"/>
  <c r="AM8" i="3"/>
  <c r="AK8" i="3"/>
  <c r="AJ8" i="3"/>
  <c r="AI8" i="3"/>
  <c r="J8" i="3" s="1"/>
  <c r="AH8" i="3"/>
  <c r="AG8" i="3"/>
  <c r="AC8" i="3"/>
  <c r="AB8" i="3"/>
  <c r="X8" i="3"/>
  <c r="W8" i="3"/>
  <c r="R8" i="3"/>
  <c r="Q8" i="3"/>
  <c r="P8" i="3"/>
  <c r="O8" i="3"/>
  <c r="S8" i="3" s="1"/>
  <c r="L8" i="3"/>
  <c r="CP7" i="3"/>
  <c r="CO7" i="3"/>
  <c r="CK7" i="3"/>
  <c r="CJ7" i="3"/>
  <c r="CF7" i="3"/>
  <c r="CE7" i="3"/>
  <c r="BY7" i="3"/>
  <c r="BX7" i="3"/>
  <c r="CA7" i="3" s="1"/>
  <c r="BW7" i="3"/>
  <c r="BV7" i="3"/>
  <c r="BU7" i="3"/>
  <c r="BQ7" i="3"/>
  <c r="BP7" i="3"/>
  <c r="BL7" i="3"/>
  <c r="BK7" i="3"/>
  <c r="BE7" i="3"/>
  <c r="BD7" i="3"/>
  <c r="BC7" i="3"/>
  <c r="BF7" i="3" s="1"/>
  <c r="BB7" i="3"/>
  <c r="BA7" i="3"/>
  <c r="AW7" i="3"/>
  <c r="AV7" i="3"/>
  <c r="AR7" i="3"/>
  <c r="AQ7" i="3"/>
  <c r="AL7" i="3"/>
  <c r="AK7" i="3"/>
  <c r="L7" i="3" s="1"/>
  <c r="AJ7" i="3"/>
  <c r="AM7" i="3" s="1"/>
  <c r="AI7" i="3"/>
  <c r="AH7" i="3"/>
  <c r="AG7" i="3"/>
  <c r="AC7" i="3"/>
  <c r="AB7" i="3"/>
  <c r="X7" i="3"/>
  <c r="W7" i="3"/>
  <c r="Q7" i="3"/>
  <c r="P7" i="3"/>
  <c r="O7" i="3"/>
  <c r="J7" i="3" s="1"/>
  <c r="CN6" i="3"/>
  <c r="CM6" i="3"/>
  <c r="CL6" i="3"/>
  <c r="CO6" i="3" s="1"/>
  <c r="CI6" i="3"/>
  <c r="CH6" i="3"/>
  <c r="CK6" i="3" s="1"/>
  <c r="CG6" i="3"/>
  <c r="CD6" i="3"/>
  <c r="BY6" i="3" s="1"/>
  <c r="CC6" i="3"/>
  <c r="CE6" i="3" s="1"/>
  <c r="CB6" i="3"/>
  <c r="BX6" i="3"/>
  <c r="BU6" i="3"/>
  <c r="BT6" i="3"/>
  <c r="BS6" i="3"/>
  <c r="BR6" i="3"/>
  <c r="BV6" i="3" s="1"/>
  <c r="BP6" i="3"/>
  <c r="BO6" i="3"/>
  <c r="BN6" i="3"/>
  <c r="BM6" i="3"/>
  <c r="BQ6" i="3" s="1"/>
  <c r="BL6" i="3"/>
  <c r="BJ6" i="3"/>
  <c r="BE6" i="3" s="1"/>
  <c r="BI6" i="3"/>
  <c r="BH6" i="3"/>
  <c r="BC6" i="3" s="1"/>
  <c r="BF6" i="3"/>
  <c r="BD6" i="3"/>
  <c r="BA6" i="3"/>
  <c r="AZ6" i="3"/>
  <c r="AK6" i="3" s="1"/>
  <c r="AY6" i="3"/>
  <c r="AX6" i="3"/>
  <c r="BB6" i="3" s="1"/>
  <c r="AV6" i="3"/>
  <c r="AU6" i="3"/>
  <c r="AT6" i="3"/>
  <c r="AS6" i="3"/>
  <c r="AW6" i="3" s="1"/>
  <c r="AR6" i="3"/>
  <c r="AP6" i="3"/>
  <c r="AO6" i="3"/>
  <c r="AN6" i="3"/>
  <c r="AI6" i="3" s="1"/>
  <c r="AL6" i="3"/>
  <c r="AJ6" i="3"/>
  <c r="AG6" i="3"/>
  <c r="AF6" i="3"/>
  <c r="AE6" i="3"/>
  <c r="AD6" i="3"/>
  <c r="AH6" i="3" s="1"/>
  <c r="AA6" i="3"/>
  <c r="Z6" i="3"/>
  <c r="AB6" i="3" s="1"/>
  <c r="Y6" i="3"/>
  <c r="AC6" i="3" s="1"/>
  <c r="V6" i="3"/>
  <c r="U6" i="3"/>
  <c r="T6" i="3"/>
  <c r="O6" i="3" s="1"/>
  <c r="Q6" i="3"/>
  <c r="K9" i="2"/>
  <c r="I9" i="2"/>
  <c r="H9" i="2"/>
  <c r="K8" i="2"/>
  <c r="I8" i="2"/>
  <c r="H8" i="2"/>
  <c r="BC9" i="3" l="1"/>
  <c r="J6" i="3"/>
  <c r="CA11" i="3"/>
  <c r="P14" i="4"/>
  <c r="L6" i="3"/>
  <c r="CP6" i="3"/>
  <c r="BG7" i="3"/>
  <c r="O10" i="3"/>
  <c r="K15" i="3"/>
  <c r="AF84" i="4"/>
  <c r="AD82" i="4"/>
  <c r="AE6" i="4"/>
  <c r="AE8" i="4"/>
  <c r="AV84" i="4"/>
  <c r="AT82" i="4"/>
  <c r="AU8" i="4"/>
  <c r="AU6" i="4"/>
  <c r="BU6" i="4"/>
  <c r="CB84" i="4"/>
  <c r="BZ82" i="4"/>
  <c r="CA6" i="4"/>
  <c r="CA8" i="4"/>
  <c r="CR84" i="4"/>
  <c r="CP82" i="4"/>
  <c r="CQ8" i="4"/>
  <c r="CQ6" i="4"/>
  <c r="DD82" i="4"/>
  <c r="DH6" i="4"/>
  <c r="DX84" i="4"/>
  <c r="DV82" i="4"/>
  <c r="DW6" i="4"/>
  <c r="EJ82" i="4"/>
  <c r="EK8" i="4"/>
  <c r="EN6" i="4"/>
  <c r="DW8" i="4"/>
  <c r="Y32" i="4"/>
  <c r="L32" i="4"/>
  <c r="X32" i="4"/>
  <c r="DP44" i="4"/>
  <c r="DQ44" i="4"/>
  <c r="W6" i="3"/>
  <c r="R7" i="3"/>
  <c r="AF9" i="3"/>
  <c r="Q9" i="3" s="1"/>
  <c r="AV9" i="3"/>
  <c r="CL9" i="3"/>
  <c r="AU9" i="3"/>
  <c r="AK9" i="3" s="1"/>
  <c r="BD10" i="3"/>
  <c r="BQ10" i="3"/>
  <c r="CP10" i="3"/>
  <c r="CM9" i="3"/>
  <c r="BZ11" i="3"/>
  <c r="L12" i="3"/>
  <c r="AB12" i="3"/>
  <c r="BZ13" i="3"/>
  <c r="CJ16" i="3"/>
  <c r="Z82" i="4"/>
  <c r="AA8" i="4"/>
  <c r="AA6" i="4"/>
  <c r="AP82" i="4"/>
  <c r="AQ6" i="4"/>
  <c r="AQ8" i="4"/>
  <c r="BA6" i="4"/>
  <c r="BL6" i="4"/>
  <c r="BQ6" i="4"/>
  <c r="CL82" i="4"/>
  <c r="CM6" i="4"/>
  <c r="CS6" i="4"/>
  <c r="DL6" i="4"/>
  <c r="EK6" i="4"/>
  <c r="O9" i="3"/>
  <c r="AQ9" i="3"/>
  <c r="BC10" i="3"/>
  <c r="BL10" i="3"/>
  <c r="O11" i="3"/>
  <c r="J11" i="3" s="1"/>
  <c r="X11" i="3"/>
  <c r="CC6" i="4"/>
  <c r="CH6" i="4"/>
  <c r="CN82" i="4"/>
  <c r="CR6" i="4"/>
  <c r="CT82" i="4"/>
  <c r="CU6" i="4"/>
  <c r="DH84" i="4"/>
  <c r="DF82" i="4"/>
  <c r="DG6" i="4"/>
  <c r="DN6" i="4"/>
  <c r="DT82" i="4"/>
  <c r="DU8" i="4"/>
  <c r="DX6" i="4"/>
  <c r="DZ82" i="4"/>
  <c r="EA6" i="4"/>
  <c r="EA8" i="4"/>
  <c r="AC8" i="4"/>
  <c r="BQ8" i="4"/>
  <c r="CM8" i="4"/>
  <c r="CU8" i="4"/>
  <c r="DE8" i="4"/>
  <c r="BE9" i="4"/>
  <c r="BD9" i="4"/>
  <c r="L9" i="4"/>
  <c r="X10" i="4"/>
  <c r="Y10" i="4"/>
  <c r="AG10" i="4"/>
  <c r="BM10" i="4"/>
  <c r="AZ10" i="4"/>
  <c r="BL10" i="4"/>
  <c r="CC10" i="4"/>
  <c r="DI10" i="4"/>
  <c r="CK11" i="4"/>
  <c r="L11" i="4"/>
  <c r="CJ11" i="4"/>
  <c r="N12" i="4"/>
  <c r="CB12" i="4"/>
  <c r="CC12" i="4"/>
  <c r="BD13" i="4"/>
  <c r="J13" i="4"/>
  <c r="BE13" i="4"/>
  <c r="J15" i="4"/>
  <c r="X15" i="4"/>
  <c r="AN16" i="4"/>
  <c r="AJ21" i="4"/>
  <c r="AO16" i="4"/>
  <c r="X18" i="4"/>
  <c r="Y18" i="4"/>
  <c r="L18" i="4"/>
  <c r="J19" i="4"/>
  <c r="CJ24" i="4"/>
  <c r="CK24" i="4"/>
  <c r="BE35" i="4"/>
  <c r="CJ35" i="4"/>
  <c r="L35" i="4"/>
  <c r="CK35" i="4"/>
  <c r="CK65" i="4"/>
  <c r="CJ65" i="4"/>
  <c r="L65" i="4"/>
  <c r="CF12" i="3"/>
  <c r="BX12" i="3"/>
  <c r="BL16" i="3"/>
  <c r="BD16" i="3"/>
  <c r="AJ82" i="4"/>
  <c r="AK8" i="4"/>
  <c r="BL84" i="4"/>
  <c r="BJ82" i="4"/>
  <c r="BK6" i="4"/>
  <c r="CX82" i="4"/>
  <c r="CZ84" i="4"/>
  <c r="CY6" i="4"/>
  <c r="DJ82" i="4"/>
  <c r="DK6" i="4"/>
  <c r="ED82" i="4"/>
  <c r="EF84" i="4"/>
  <c r="EE8" i="4"/>
  <c r="EE6" i="4"/>
  <c r="BA8" i="4"/>
  <c r="CG8" i="4"/>
  <c r="DQ9" i="4"/>
  <c r="EN12" i="4"/>
  <c r="EO12" i="4"/>
  <c r="X14" i="4"/>
  <c r="Y14" i="4"/>
  <c r="BT16" i="4"/>
  <c r="BU16" i="4"/>
  <c r="CT21" i="4"/>
  <c r="CZ21" i="4" s="1"/>
  <c r="CD16" i="4"/>
  <c r="DI16" i="4"/>
  <c r="CJ17" i="4"/>
  <c r="CK17" i="4"/>
  <c r="X20" i="4"/>
  <c r="J20" i="4"/>
  <c r="DP28" i="4"/>
  <c r="DQ28" i="4"/>
  <c r="Q45" i="4"/>
  <c r="P45" i="4"/>
  <c r="P6" i="3"/>
  <c r="K7" i="3"/>
  <c r="W9" i="3"/>
  <c r="BW9" i="3"/>
  <c r="R10" i="3"/>
  <c r="BB10" i="3"/>
  <c r="AY9" i="3"/>
  <c r="AI11" i="3"/>
  <c r="AM11" i="3" s="1"/>
  <c r="CO11" i="3"/>
  <c r="X12" i="3"/>
  <c r="P12" i="3"/>
  <c r="S13" i="3"/>
  <c r="K13" i="3"/>
  <c r="J14" i="3"/>
  <c r="CF16" i="3"/>
  <c r="BX16" i="3"/>
  <c r="U6" i="4"/>
  <c r="AF6" i="4"/>
  <c r="AK6" i="4"/>
  <c r="AV6" i="4"/>
  <c r="BF82" i="4"/>
  <c r="BG6" i="4"/>
  <c r="BV82" i="4"/>
  <c r="BW6" i="4"/>
  <c r="CB6" i="4"/>
  <c r="CG6" i="4"/>
  <c r="DE6" i="4"/>
  <c r="BT10" i="4"/>
  <c r="BU10" i="4"/>
  <c r="AV12" i="4"/>
  <c r="AW12" i="4"/>
  <c r="N14" i="4"/>
  <c r="BD15" i="4"/>
  <c r="BE15" i="4"/>
  <c r="L15" i="4"/>
  <c r="AR21" i="4"/>
  <c r="AW16" i="4"/>
  <c r="AV16" i="4"/>
  <c r="BM16" i="4"/>
  <c r="AZ16" i="4"/>
  <c r="BL16" i="4"/>
  <c r="BH21" i="4"/>
  <c r="Y17" i="4"/>
  <c r="L17" i="4"/>
  <c r="X17" i="4"/>
  <c r="J17" i="4"/>
  <c r="BD17" i="4"/>
  <c r="CK19" i="4"/>
  <c r="CJ19" i="4"/>
  <c r="BP21" i="4"/>
  <c r="J22" i="4"/>
  <c r="Y22" i="4"/>
  <c r="AM6" i="3"/>
  <c r="AQ6" i="3"/>
  <c r="BZ6" i="3"/>
  <c r="CF6" i="3"/>
  <c r="CJ6" i="3"/>
  <c r="BZ7" i="3"/>
  <c r="AL8" i="3"/>
  <c r="BF8" i="3"/>
  <c r="AB9" i="3"/>
  <c r="AR9" i="3"/>
  <c r="CE9" i="3"/>
  <c r="CH9" i="3"/>
  <c r="AR10" i="3"/>
  <c r="BE10" i="3"/>
  <c r="L10" i="3" s="1"/>
  <c r="R11" i="3"/>
  <c r="AG11" i="3"/>
  <c r="BP11" i="3"/>
  <c r="BV11" i="3"/>
  <c r="AR12" i="3"/>
  <c r="AJ12" i="3"/>
  <c r="AV12" i="3"/>
  <c r="CE12" i="3"/>
  <c r="CK12" i="3"/>
  <c r="CO12" i="3"/>
  <c r="K14" i="3"/>
  <c r="R14" i="3"/>
  <c r="AL14" i="3"/>
  <c r="R15" i="3"/>
  <c r="L16" i="3"/>
  <c r="X16" i="3"/>
  <c r="P16" i="3"/>
  <c r="AB16" i="3"/>
  <c r="BK16" i="3"/>
  <c r="BQ16" i="3"/>
  <c r="BU16" i="3"/>
  <c r="L6" i="4"/>
  <c r="V6" i="4"/>
  <c r="AG6" i="4"/>
  <c r="AL82" i="4"/>
  <c r="AN84" i="4"/>
  <c r="AM6" i="4"/>
  <c r="AM8" i="4"/>
  <c r="AR82" i="4"/>
  <c r="AS8" i="4"/>
  <c r="AW6" i="4"/>
  <c r="BB6" i="4"/>
  <c r="BH82" i="4"/>
  <c r="BI8" i="4"/>
  <c r="BM6" i="4"/>
  <c r="BR82" i="4"/>
  <c r="BT84" i="4"/>
  <c r="BS6" i="4"/>
  <c r="X6" i="3"/>
  <c r="BG6" i="3"/>
  <c r="BK6" i="3"/>
  <c r="BW6" i="3"/>
  <c r="CA6" i="3" s="1"/>
  <c r="S7" i="3"/>
  <c r="K8" i="3"/>
  <c r="X9" i="3"/>
  <c r="BI9" i="3"/>
  <c r="BN9" i="3"/>
  <c r="CD9" i="3"/>
  <c r="BY9" i="3" s="1"/>
  <c r="S10" i="3"/>
  <c r="AH10" i="3"/>
  <c r="AE9" i="3"/>
  <c r="AJ10" i="3"/>
  <c r="BA10" i="3"/>
  <c r="BO9" i="3"/>
  <c r="BE9" i="3" s="1"/>
  <c r="BV10" i="3"/>
  <c r="BS9" i="3"/>
  <c r="BX10" i="3"/>
  <c r="CO10" i="3"/>
  <c r="AK11" i="3"/>
  <c r="L11" i="3" s="1"/>
  <c r="BA11" i="3"/>
  <c r="BD11" i="3"/>
  <c r="K11" i="3" s="1"/>
  <c r="CJ11" i="3"/>
  <c r="CP11" i="3"/>
  <c r="W12" i="3"/>
  <c r="AC12" i="3"/>
  <c r="BL12" i="3"/>
  <c r="BD12" i="3"/>
  <c r="BP12" i="3"/>
  <c r="R13" i="3"/>
  <c r="CA13" i="3"/>
  <c r="AL15" i="3"/>
  <c r="BF15" i="3"/>
  <c r="AR16" i="3"/>
  <c r="AJ16" i="3"/>
  <c r="AV16" i="3"/>
  <c r="CE16" i="3"/>
  <c r="CK16" i="3"/>
  <c r="R6" i="4"/>
  <c r="X6" i="4" s="1"/>
  <c r="AC6" i="4"/>
  <c r="AH82" i="4"/>
  <c r="AI6" i="4"/>
  <c r="AN6" i="4"/>
  <c r="AS6" i="4"/>
  <c r="AX6" i="4"/>
  <c r="BI6" i="4"/>
  <c r="BN82" i="4"/>
  <c r="BO8" i="4"/>
  <c r="BO6" i="4"/>
  <c r="BT6" i="4"/>
  <c r="BY6" i="4"/>
  <c r="CD6" i="4"/>
  <c r="CO11" i="4"/>
  <c r="CO12" i="4"/>
  <c r="CV82" i="4"/>
  <c r="CW8" i="4"/>
  <c r="CW6" i="4"/>
  <c r="DI6" i="4"/>
  <c r="DU11" i="4"/>
  <c r="DU12" i="4"/>
  <c r="EB82" i="4"/>
  <c r="EC6" i="4"/>
  <c r="EO6" i="4"/>
  <c r="U8" i="4"/>
  <c r="BK8" i="4"/>
  <c r="BS8" i="4"/>
  <c r="BY8" i="4"/>
  <c r="CY8" i="4"/>
  <c r="DK8" i="4"/>
  <c r="EC8" i="4"/>
  <c r="CD10" i="4"/>
  <c r="J10" i="4" s="1"/>
  <c r="N11" i="4"/>
  <c r="DH12" i="4"/>
  <c r="DI12" i="4"/>
  <c r="J16" i="4"/>
  <c r="DA16" i="4"/>
  <c r="DH16" i="4"/>
  <c r="DQ18" i="4"/>
  <c r="DP18" i="4"/>
  <c r="Q20" i="4"/>
  <c r="P20" i="4"/>
  <c r="Y20" i="4"/>
  <c r="BE20" i="4"/>
  <c r="BD20" i="4"/>
  <c r="CF21" i="4"/>
  <c r="P23" i="4"/>
  <c r="Q23" i="4"/>
  <c r="Q26" i="4"/>
  <c r="P26" i="4"/>
  <c r="Q55" i="4"/>
  <c r="DB82" i="4"/>
  <c r="DC8" i="4"/>
  <c r="DC6" i="4"/>
  <c r="DR82" i="4"/>
  <c r="DS6" i="4"/>
  <c r="EH82" i="4"/>
  <c r="EI6" i="4"/>
  <c r="CJ8" i="4"/>
  <c r="EI8" i="4"/>
  <c r="X9" i="4"/>
  <c r="T12" i="4"/>
  <c r="AZ12" i="4"/>
  <c r="CF12" i="4"/>
  <c r="DL12" i="4"/>
  <c r="CK13" i="4"/>
  <c r="CJ13" i="4"/>
  <c r="N21" i="4"/>
  <c r="BX21" i="4"/>
  <c r="CB16" i="4"/>
  <c r="DQ20" i="4"/>
  <c r="DP20" i="4"/>
  <c r="CR21" i="4"/>
  <c r="CS21" i="4"/>
  <c r="BE22" i="4"/>
  <c r="BD22" i="4"/>
  <c r="L22" i="4"/>
  <c r="DP22" i="4"/>
  <c r="Y23" i="4"/>
  <c r="X23" i="4"/>
  <c r="Y25" i="4"/>
  <c r="L25" i="4"/>
  <c r="X25" i="4"/>
  <c r="Y27" i="4"/>
  <c r="BD27" i="4"/>
  <c r="BE27" i="4"/>
  <c r="L27" i="4"/>
  <c r="DP36" i="4"/>
  <c r="DQ36" i="4"/>
  <c r="Q37" i="4"/>
  <c r="Y40" i="4"/>
  <c r="L40" i="4"/>
  <c r="X40" i="4"/>
  <c r="J43" i="4"/>
  <c r="DQ61" i="4"/>
  <c r="DP61" i="4"/>
  <c r="Q63" i="4"/>
  <c r="P63" i="4"/>
  <c r="BE63" i="4"/>
  <c r="BD63" i="4"/>
  <c r="Q68" i="4"/>
  <c r="BE68" i="4"/>
  <c r="BD68" i="4"/>
  <c r="EN84" i="4"/>
  <c r="EL82" i="4"/>
  <c r="EM6" i="4"/>
  <c r="Y7" i="4"/>
  <c r="L7" i="4"/>
  <c r="DP7" i="4"/>
  <c r="J8" i="4"/>
  <c r="Q8" i="4" s="1"/>
  <c r="BD8" i="4"/>
  <c r="DQ8" i="4"/>
  <c r="DS8" i="4"/>
  <c r="J9" i="4"/>
  <c r="V10" i="4"/>
  <c r="N10" i="4" s="1"/>
  <c r="AV10" i="4"/>
  <c r="DY10" i="4"/>
  <c r="DL10" i="4"/>
  <c r="AG12" i="4"/>
  <c r="AX12" i="4"/>
  <c r="J12" i="4" s="1"/>
  <c r="BM12" i="4"/>
  <c r="CD12" i="4"/>
  <c r="CS12" i="4"/>
  <c r="DJ12" i="4"/>
  <c r="DY12" i="4"/>
  <c r="AG16" i="4"/>
  <c r="T16" i="4"/>
  <c r="AB21" i="4"/>
  <c r="AF16" i="4"/>
  <c r="DI21" i="4"/>
  <c r="DP17" i="4"/>
  <c r="DQ17" i="4"/>
  <c r="R21" i="4"/>
  <c r="AX21" i="4"/>
  <c r="CK23" i="4"/>
  <c r="CJ23" i="4"/>
  <c r="BD24" i="4"/>
  <c r="L24" i="4"/>
  <c r="BE26" i="4"/>
  <c r="BD26" i="4"/>
  <c r="X27" i="4"/>
  <c r="CJ43" i="4"/>
  <c r="L43" i="4"/>
  <c r="CK43" i="4"/>
  <c r="CS16" i="4"/>
  <c r="CF16" i="4"/>
  <c r="CZ16" i="4"/>
  <c r="EO16" i="4"/>
  <c r="BD19" i="4"/>
  <c r="N20" i="4"/>
  <c r="DJ21" i="4"/>
  <c r="X22" i="4"/>
  <c r="DQ24" i="4"/>
  <c r="DP24" i="4"/>
  <c r="J30" i="4"/>
  <c r="Q30" i="4" s="1"/>
  <c r="DQ31" i="4"/>
  <c r="DP31" i="4"/>
  <c r="BE33" i="4"/>
  <c r="BD33" i="4"/>
  <c r="BD34" i="4"/>
  <c r="BE34" i="4"/>
  <c r="L34" i="4"/>
  <c r="J38" i="4"/>
  <c r="P38" i="4" s="1"/>
  <c r="DQ39" i="4"/>
  <c r="DP39" i="4"/>
  <c r="BE41" i="4"/>
  <c r="BD41" i="4"/>
  <c r="BD42" i="4"/>
  <c r="BE42" i="4"/>
  <c r="L42" i="4"/>
  <c r="J44" i="4"/>
  <c r="CJ44" i="4"/>
  <c r="DP46" i="4"/>
  <c r="DQ46" i="4"/>
  <c r="Q47" i="4"/>
  <c r="DQ49" i="4"/>
  <c r="DP49" i="4"/>
  <c r="CJ53" i="4"/>
  <c r="L53" i="4"/>
  <c r="CK53" i="4"/>
  <c r="CS10" i="4"/>
  <c r="CF10" i="4"/>
  <c r="CZ10" i="4"/>
  <c r="BD11" i="4"/>
  <c r="Y13" i="4"/>
  <c r="L13" i="4"/>
  <c r="DP13" i="4"/>
  <c r="J14" i="4"/>
  <c r="Q14" i="4" s="1"/>
  <c r="DY16" i="4"/>
  <c r="DL16" i="4"/>
  <c r="EF16" i="4"/>
  <c r="L19" i="4"/>
  <c r="CJ20" i="4"/>
  <c r="CD21" i="4"/>
  <c r="DT21" i="4"/>
  <c r="EB21" i="4"/>
  <c r="BD23" i="4"/>
  <c r="J25" i="4"/>
  <c r="CK25" i="4"/>
  <c r="DP25" i="4"/>
  <c r="X26" i="4"/>
  <c r="CK27" i="4"/>
  <c r="CJ27" i="4"/>
  <c r="X29" i="4"/>
  <c r="Y29" i="4"/>
  <c r="CK30" i="4"/>
  <c r="CJ30" i="4"/>
  <c r="J36" i="4"/>
  <c r="X37" i="4"/>
  <c r="Y37" i="4"/>
  <c r="CK38" i="4"/>
  <c r="CJ38" i="4"/>
  <c r="X45" i="4"/>
  <c r="Y45" i="4"/>
  <c r="DQ45" i="4"/>
  <c r="DP45" i="4"/>
  <c r="CJ46" i="4"/>
  <c r="J46" i="4"/>
  <c r="Y28" i="4"/>
  <c r="L28" i="4"/>
  <c r="X28" i="4"/>
  <c r="BE29" i="4"/>
  <c r="BD29" i="4"/>
  <c r="Y30" i="4"/>
  <c r="BD30" i="4"/>
  <c r="J32" i="4"/>
  <c r="CK32" i="4"/>
  <c r="DP32" i="4"/>
  <c r="X33" i="4"/>
  <c r="CK34" i="4"/>
  <c r="CJ34" i="4"/>
  <c r="Y36" i="4"/>
  <c r="L36" i="4"/>
  <c r="X36" i="4"/>
  <c r="BE37" i="4"/>
  <c r="BD37" i="4"/>
  <c r="Y38" i="4"/>
  <c r="BD38" i="4"/>
  <c r="J40" i="4"/>
  <c r="CK40" i="4"/>
  <c r="DP40" i="4"/>
  <c r="X41" i="4"/>
  <c r="CK42" i="4"/>
  <c r="CJ42" i="4"/>
  <c r="Y44" i="4"/>
  <c r="L44" i="4"/>
  <c r="X44" i="4"/>
  <c r="BE45" i="4"/>
  <c r="BD45" i="4"/>
  <c r="X47" i="4"/>
  <c r="Y47" i="4"/>
  <c r="BD53" i="4"/>
  <c r="J53" i="4"/>
  <c r="J59" i="4"/>
  <c r="Y59" i="4"/>
  <c r="J29" i="4"/>
  <c r="Q29" i="4" s="1"/>
  <c r="N31" i="4"/>
  <c r="CJ31" i="4"/>
  <c r="L33" i="4"/>
  <c r="N34" i="4"/>
  <c r="DQ35" i="4"/>
  <c r="DP35" i="4"/>
  <c r="J37" i="4"/>
  <c r="P37" i="4" s="1"/>
  <c r="N39" i="4"/>
  <c r="CJ39" i="4"/>
  <c r="L39" i="4"/>
  <c r="L41" i="4"/>
  <c r="N42" i="4"/>
  <c r="DQ43" i="4"/>
  <c r="DP43" i="4"/>
  <c r="P48" i="4"/>
  <c r="J51" i="4"/>
  <c r="Y51" i="4"/>
  <c r="DQ57" i="4"/>
  <c r="DP57" i="4"/>
  <c r="DP75" i="4"/>
  <c r="J75" i="4"/>
  <c r="DQ75" i="4"/>
  <c r="L31" i="4"/>
  <c r="Y46" i="4"/>
  <c r="L46" i="4"/>
  <c r="X46" i="4"/>
  <c r="BE47" i="4"/>
  <c r="BD47" i="4"/>
  <c r="Y48" i="4"/>
  <c r="BD48" i="4"/>
  <c r="J50" i="4"/>
  <c r="CK50" i="4"/>
  <c r="DP50" i="4"/>
  <c r="X51" i="4"/>
  <c r="L52" i="4"/>
  <c r="BE52" i="4"/>
  <c r="CK52" i="4"/>
  <c r="CJ52" i="4"/>
  <c r="Y54" i="4"/>
  <c r="L54" i="4"/>
  <c r="X54" i="4"/>
  <c r="BE55" i="4"/>
  <c r="BD55" i="4"/>
  <c r="Y56" i="4"/>
  <c r="BD56" i="4"/>
  <c r="J58" i="4"/>
  <c r="CK58" i="4"/>
  <c r="DP58" i="4"/>
  <c r="X59" i="4"/>
  <c r="BD64" i="4"/>
  <c r="DQ66" i="4"/>
  <c r="DP66" i="4"/>
  <c r="DQ81" i="4"/>
  <c r="DP81" i="4"/>
  <c r="CK74" i="4"/>
  <c r="CD81" i="4"/>
  <c r="DQ78" i="4"/>
  <c r="DP78" i="4"/>
  <c r="L78" i="4"/>
  <c r="J80" i="4"/>
  <c r="Y80" i="4"/>
  <c r="CJ45" i="4"/>
  <c r="J47" i="4"/>
  <c r="P47" i="4" s="1"/>
  <c r="N49" i="4"/>
  <c r="CJ49" i="4"/>
  <c r="L49" i="4"/>
  <c r="L51" i="4"/>
  <c r="X52" i="4"/>
  <c r="N52" i="4"/>
  <c r="DQ53" i="4"/>
  <c r="DP53" i="4"/>
  <c r="CJ54" i="4"/>
  <c r="J55" i="4"/>
  <c r="P55" i="4" s="1"/>
  <c r="DP55" i="4"/>
  <c r="N57" i="4"/>
  <c r="CJ57" i="4"/>
  <c r="L57" i="4"/>
  <c r="L59" i="4"/>
  <c r="CK60" i="4"/>
  <c r="CJ60" i="4"/>
  <c r="L60" i="4"/>
  <c r="CJ61" i="4"/>
  <c r="Y62" i="4"/>
  <c r="L62" i="4"/>
  <c r="X62" i="4"/>
  <c r="X63" i="4"/>
  <c r="BE66" i="4"/>
  <c r="L66" i="4"/>
  <c r="BD66" i="4"/>
  <c r="BD73" i="4"/>
  <c r="BE73" i="4"/>
  <c r="AX81" i="4"/>
  <c r="CK77" i="4"/>
  <c r="CJ77" i="4"/>
  <c r="CK48" i="4"/>
  <c r="CJ48" i="4"/>
  <c r="Y50" i="4"/>
  <c r="L50" i="4"/>
  <c r="X50" i="4"/>
  <c r="BE51" i="4"/>
  <c r="BD51" i="4"/>
  <c r="CK54" i="4"/>
  <c r="L56" i="4"/>
  <c r="BE56" i="4"/>
  <c r="CK56" i="4"/>
  <c r="CJ56" i="4"/>
  <c r="Y58" i="4"/>
  <c r="L58" i="4"/>
  <c r="X58" i="4"/>
  <c r="BE59" i="4"/>
  <c r="BD59" i="4"/>
  <c r="N60" i="4"/>
  <c r="CK64" i="4"/>
  <c r="CJ64" i="4"/>
  <c r="L64" i="4"/>
  <c r="Y71" i="4"/>
  <c r="L71" i="4"/>
  <c r="X71" i="4"/>
  <c r="CK62" i="4"/>
  <c r="Y67" i="4"/>
  <c r="L67" i="4"/>
  <c r="X68" i="4"/>
  <c r="J68" i="4"/>
  <c r="P68" i="4" s="1"/>
  <c r="Q72" i="4"/>
  <c r="P72" i="4"/>
  <c r="BE72" i="4"/>
  <c r="BD72" i="4"/>
  <c r="BE81" i="4"/>
  <c r="BD81" i="4"/>
  <c r="CJ74" i="4"/>
  <c r="Y75" i="4"/>
  <c r="L75" i="4"/>
  <c r="X75" i="4"/>
  <c r="N76" i="4"/>
  <c r="X80" i="4"/>
  <c r="L61" i="4"/>
  <c r="DP65" i="4"/>
  <c r="X66" i="4"/>
  <c r="CJ66" i="4"/>
  <c r="CK69" i="4"/>
  <c r="CJ69" i="4"/>
  <c r="DQ70" i="4"/>
  <c r="DP70" i="4"/>
  <c r="L70" i="4"/>
  <c r="X72" i="4"/>
  <c r="J72" i="4"/>
  <c r="BE76" i="4"/>
  <c r="BD76" i="4"/>
  <c r="BD77" i="4"/>
  <c r="CJ78" i="4"/>
  <c r="Y79" i="4"/>
  <c r="L79" i="4"/>
  <c r="X79" i="4"/>
  <c r="DP79" i="4"/>
  <c r="V81" i="4"/>
  <c r="AG81" i="4"/>
  <c r="AW81" i="4"/>
  <c r="DA81" i="4"/>
  <c r="X67" i="4"/>
  <c r="BD67" i="4"/>
  <c r="CJ67" i="4"/>
  <c r="N68" i="4"/>
  <c r="DP71" i="4"/>
  <c r="J71" i="4"/>
  <c r="Y81" i="4"/>
  <c r="X81" i="4"/>
  <c r="CK73" i="4"/>
  <c r="CF81" i="4"/>
  <c r="CJ73" i="4"/>
  <c r="DQ74" i="4"/>
  <c r="DP74" i="4"/>
  <c r="L74" i="4"/>
  <c r="X76" i="4"/>
  <c r="J76" i="4"/>
  <c r="Q76" i="4" s="1"/>
  <c r="Q80" i="4"/>
  <c r="P80" i="4"/>
  <c r="BE80" i="4"/>
  <c r="BD80" i="4"/>
  <c r="BU81" i="4"/>
  <c r="DN81" i="4"/>
  <c r="DY81" i="4"/>
  <c r="EO81" i="4"/>
  <c r="L69" i="4"/>
  <c r="J70" i="4"/>
  <c r="L73" i="4"/>
  <c r="Y73" i="4"/>
  <c r="DP73" i="4"/>
  <c r="J74" i="4"/>
  <c r="J81" i="4" s="1"/>
  <c r="L77" i="4"/>
  <c r="J78" i="4"/>
  <c r="BD79" i="4"/>
  <c r="CJ80" i="4"/>
  <c r="AF81" i="4"/>
  <c r="AN81" i="4"/>
  <c r="AV81" i="4"/>
  <c r="BL81" i="4"/>
  <c r="BT81" i="4"/>
  <c r="CB81" i="4"/>
  <c r="CR81" i="4"/>
  <c r="CZ81" i="4"/>
  <c r="DH81" i="4"/>
  <c r="DX81" i="4"/>
  <c r="EF81" i="4"/>
  <c r="EN81" i="4"/>
  <c r="M11" i="3" l="1"/>
  <c r="N11" i="3"/>
  <c r="CA12" i="3"/>
  <c r="BZ12" i="3"/>
  <c r="EC12" i="4"/>
  <c r="EC11" i="4"/>
  <c r="BY12" i="4"/>
  <c r="BY11" i="4"/>
  <c r="AS12" i="4"/>
  <c r="AS11" i="4"/>
  <c r="AC11" i="4"/>
  <c r="AC12" i="4"/>
  <c r="BV9" i="3"/>
  <c r="BU9" i="3"/>
  <c r="AL10" i="3"/>
  <c r="AM10" i="3"/>
  <c r="M8" i="3"/>
  <c r="N8" i="3"/>
  <c r="BB82" i="4"/>
  <c r="BD84" i="4"/>
  <c r="BC8" i="4"/>
  <c r="BC6" i="4"/>
  <c r="BU21" i="4"/>
  <c r="BT21" i="4"/>
  <c r="BL21" i="4"/>
  <c r="BM21" i="4"/>
  <c r="AZ21" i="4"/>
  <c r="CG11" i="4"/>
  <c r="CG12" i="4"/>
  <c r="BG12" i="4"/>
  <c r="BG11" i="4"/>
  <c r="BB9" i="3"/>
  <c r="BA9" i="3"/>
  <c r="DA21" i="4"/>
  <c r="Q18" i="4"/>
  <c r="P18" i="4"/>
  <c r="AN21" i="4"/>
  <c r="AO21" i="4"/>
  <c r="BD10" i="4"/>
  <c r="BE10" i="4"/>
  <c r="L10" i="4"/>
  <c r="DN82" i="4"/>
  <c r="DP84" i="4"/>
  <c r="DO6" i="4"/>
  <c r="DO8" i="4"/>
  <c r="CU12" i="4"/>
  <c r="CU11" i="4"/>
  <c r="CH82" i="4"/>
  <c r="CJ84" i="4"/>
  <c r="CI6" i="4"/>
  <c r="CI8" i="4"/>
  <c r="CM12" i="4"/>
  <c r="CM11" i="4"/>
  <c r="BA11" i="4"/>
  <c r="BA12" i="4"/>
  <c r="AA12" i="4"/>
  <c r="AA11" i="4"/>
  <c r="CO9" i="3"/>
  <c r="CP9" i="3"/>
  <c r="Q38" i="4"/>
  <c r="P29" i="4"/>
  <c r="CA12" i="4"/>
  <c r="CA11" i="4"/>
  <c r="AU12" i="4"/>
  <c r="AU11" i="4"/>
  <c r="Y6" i="4"/>
  <c r="P69" i="4"/>
  <c r="Q69" i="4"/>
  <c r="P67" i="4"/>
  <c r="Q67" i="4"/>
  <c r="Q50" i="4"/>
  <c r="P50" i="4"/>
  <c r="Q59" i="4"/>
  <c r="P59" i="4"/>
  <c r="P39" i="4"/>
  <c r="Q39" i="4"/>
  <c r="Q13" i="4"/>
  <c r="P13" i="4"/>
  <c r="CJ10" i="4"/>
  <c r="CK10" i="4"/>
  <c r="EI12" i="4"/>
  <c r="EI11" i="4"/>
  <c r="BZ10" i="3"/>
  <c r="CA10" i="3"/>
  <c r="AK11" i="4"/>
  <c r="AK12" i="4"/>
  <c r="CY12" i="4"/>
  <c r="CY11" i="4"/>
  <c r="Q11" i="4"/>
  <c r="P11" i="4"/>
  <c r="EA12" i="4"/>
  <c r="EA11" i="4"/>
  <c r="J9" i="3"/>
  <c r="BF10" i="3"/>
  <c r="BG10" i="3"/>
  <c r="CQ12" i="4"/>
  <c r="CQ11" i="4"/>
  <c r="P76" i="4"/>
  <c r="Q61" i="4"/>
  <c r="P61" i="4"/>
  <c r="Q57" i="4"/>
  <c r="P57" i="4"/>
  <c r="P42" i="4"/>
  <c r="Q42" i="4"/>
  <c r="P34" i="4"/>
  <c r="Q34" i="4"/>
  <c r="CJ16" i="4"/>
  <c r="CK16" i="4"/>
  <c r="Y16" i="4"/>
  <c r="X16" i="4"/>
  <c r="L16" i="4"/>
  <c r="Q40" i="4"/>
  <c r="P40" i="4"/>
  <c r="DQ12" i="4"/>
  <c r="DP12" i="4"/>
  <c r="P77" i="4"/>
  <c r="Q77" i="4"/>
  <c r="P73" i="4"/>
  <c r="L81" i="4"/>
  <c r="Q73" i="4"/>
  <c r="Q58" i="4"/>
  <c r="P58" i="4"/>
  <c r="Q66" i="4"/>
  <c r="P66" i="4"/>
  <c r="Q62" i="4"/>
  <c r="P62" i="4"/>
  <c r="Q54" i="4"/>
  <c r="P54" i="4"/>
  <c r="P28" i="4"/>
  <c r="Q28" i="4"/>
  <c r="EF21" i="4"/>
  <c r="EG21" i="4"/>
  <c r="P19" i="4"/>
  <c r="Q19" i="4"/>
  <c r="P24" i="4"/>
  <c r="Q24" i="4"/>
  <c r="DP10" i="4"/>
  <c r="DQ10" i="4"/>
  <c r="EM12" i="4"/>
  <c r="EM11" i="4"/>
  <c r="CK12" i="4"/>
  <c r="CJ12" i="4"/>
  <c r="DS12" i="4"/>
  <c r="DS11" i="4"/>
  <c r="CK21" i="4"/>
  <c r="CJ21" i="4"/>
  <c r="CW12" i="4"/>
  <c r="CW11" i="4"/>
  <c r="BI12" i="4"/>
  <c r="BI11" i="4"/>
  <c r="BG12" i="3"/>
  <c r="BF12" i="3"/>
  <c r="AH9" i="3"/>
  <c r="AG9" i="3"/>
  <c r="P9" i="3"/>
  <c r="BP9" i="3"/>
  <c r="BQ9" i="3"/>
  <c r="AM12" i="4"/>
  <c r="AM11" i="4"/>
  <c r="V82" i="4"/>
  <c r="X84" i="4"/>
  <c r="W6" i="4"/>
  <c r="W8" i="4"/>
  <c r="N6" i="4"/>
  <c r="N14" i="3"/>
  <c r="M14" i="3"/>
  <c r="U12" i="4"/>
  <c r="U11" i="4"/>
  <c r="N13" i="3"/>
  <c r="M13" i="3"/>
  <c r="N7" i="3"/>
  <c r="M7" i="3"/>
  <c r="EE12" i="4"/>
  <c r="EE11" i="4"/>
  <c r="DK12" i="4"/>
  <c r="DK11" i="4"/>
  <c r="BG16" i="3"/>
  <c r="BF16" i="3"/>
  <c r="AJ9" i="3"/>
  <c r="Q9" i="4"/>
  <c r="P9" i="4"/>
  <c r="P8" i="4"/>
  <c r="DG12" i="4"/>
  <c r="DG11" i="4"/>
  <c r="EK12" i="4"/>
  <c r="EK11" i="4"/>
  <c r="AE12" i="4"/>
  <c r="AE11" i="4"/>
  <c r="M15" i="3"/>
  <c r="N15" i="3"/>
  <c r="Q49" i="4"/>
  <c r="P49" i="4"/>
  <c r="Q44" i="4"/>
  <c r="P44" i="4"/>
  <c r="DP16" i="4"/>
  <c r="DQ16" i="4"/>
  <c r="Q43" i="4"/>
  <c r="P43" i="4"/>
  <c r="AF21" i="4"/>
  <c r="T21" i="4"/>
  <c r="AG21" i="4"/>
  <c r="P7" i="4"/>
  <c r="Q7" i="4"/>
  <c r="Q25" i="4"/>
  <c r="P25" i="4"/>
  <c r="Y12" i="4"/>
  <c r="L12" i="4"/>
  <c r="X12" i="4"/>
  <c r="DC12" i="4"/>
  <c r="DC11" i="4"/>
  <c r="CD82" i="4"/>
  <c r="CE6" i="4"/>
  <c r="CE8" i="4"/>
  <c r="AX82" i="4"/>
  <c r="AY8" i="4"/>
  <c r="AY6" i="4"/>
  <c r="BG11" i="3"/>
  <c r="BF11" i="3"/>
  <c r="R16" i="3"/>
  <c r="K16" i="3"/>
  <c r="S16" i="3"/>
  <c r="P15" i="4"/>
  <c r="Q15" i="4"/>
  <c r="DE11" i="4"/>
  <c r="DE12" i="4"/>
  <c r="S12" i="3"/>
  <c r="R12" i="3"/>
  <c r="K12" i="3"/>
  <c r="BK12" i="4"/>
  <c r="BK11" i="4"/>
  <c r="L9" i="3"/>
  <c r="S11" i="3"/>
  <c r="Q70" i="4"/>
  <c r="P70" i="4"/>
  <c r="Q75" i="4"/>
  <c r="P75" i="4"/>
  <c r="Q71" i="4"/>
  <c r="P71" i="4"/>
  <c r="P60" i="4"/>
  <c r="Q60" i="4"/>
  <c r="Q46" i="4"/>
  <c r="P46" i="4"/>
  <c r="Q36" i="4"/>
  <c r="P36" i="4"/>
  <c r="Q22" i="4"/>
  <c r="P22" i="4"/>
  <c r="CC21" i="4"/>
  <c r="CB21" i="4"/>
  <c r="P30" i="4"/>
  <c r="Q74" i="4"/>
  <c r="P74" i="4"/>
  <c r="CK81" i="4"/>
  <c r="CJ81" i="4"/>
  <c r="Q79" i="4"/>
  <c r="P79" i="4"/>
  <c r="P64" i="4"/>
  <c r="Q64" i="4"/>
  <c r="P56" i="4"/>
  <c r="Q56" i="4"/>
  <c r="Q51" i="4"/>
  <c r="P51" i="4"/>
  <c r="Q78" i="4"/>
  <c r="P78" i="4"/>
  <c r="P52" i="4"/>
  <c r="Q52" i="4"/>
  <c r="P31" i="4"/>
  <c r="Q31" i="4"/>
  <c r="Q41" i="4"/>
  <c r="P41" i="4"/>
  <c r="Q33" i="4"/>
  <c r="P33" i="4"/>
  <c r="DX21" i="4"/>
  <c r="DL21" i="4"/>
  <c r="DY21" i="4"/>
  <c r="Q53" i="4"/>
  <c r="P53" i="4"/>
  <c r="J21" i="4"/>
  <c r="P27" i="4"/>
  <c r="Q27" i="4"/>
  <c r="BE12" i="4"/>
  <c r="BD12" i="4"/>
  <c r="CJ6" i="4"/>
  <c r="BO12" i="4"/>
  <c r="BO11" i="4"/>
  <c r="BD6" i="4"/>
  <c r="AI12" i="4"/>
  <c r="AI11" i="4"/>
  <c r="R82" i="4"/>
  <c r="S6" i="4"/>
  <c r="S8" i="4"/>
  <c r="J6" i="4"/>
  <c r="AM16" i="3"/>
  <c r="AL16" i="3"/>
  <c r="BK9" i="3"/>
  <c r="BD9" i="3"/>
  <c r="BL9" i="3"/>
  <c r="BS12" i="4"/>
  <c r="BS11" i="4"/>
  <c r="L82" i="4"/>
  <c r="M8" i="4"/>
  <c r="M6" i="4"/>
  <c r="Q6" i="4"/>
  <c r="P6" i="4"/>
  <c r="AL12" i="3"/>
  <c r="AM12" i="3"/>
  <c r="CJ9" i="3"/>
  <c r="BX9" i="3"/>
  <c r="CK9" i="3"/>
  <c r="Q17" i="4"/>
  <c r="P17" i="4"/>
  <c r="BE16" i="4"/>
  <c r="BD16" i="4"/>
  <c r="AV21" i="4"/>
  <c r="AW21" i="4"/>
  <c r="BW12" i="4"/>
  <c r="BW11" i="4"/>
  <c r="CA16" i="3"/>
  <c r="BZ16" i="3"/>
  <c r="S6" i="3"/>
  <c r="K6" i="3"/>
  <c r="R6" i="3"/>
  <c r="CK6" i="4"/>
  <c r="BE6" i="4"/>
  <c r="Q65" i="4"/>
  <c r="P65" i="4"/>
  <c r="Q35" i="4"/>
  <c r="P35" i="4"/>
  <c r="DL82" i="4"/>
  <c r="DM8" i="4"/>
  <c r="DM6" i="4"/>
  <c r="DP6" i="4"/>
  <c r="DQ6" i="4"/>
  <c r="BQ11" i="4"/>
  <c r="BQ12" i="4"/>
  <c r="AQ12" i="4"/>
  <c r="AQ11" i="4"/>
  <c r="Q32" i="4"/>
  <c r="P32" i="4"/>
  <c r="DW12" i="4"/>
  <c r="DW11" i="4"/>
  <c r="J10" i="3"/>
  <c r="AL11" i="3"/>
  <c r="K10" i="3"/>
  <c r="M16" i="3" l="1"/>
  <c r="N16" i="3"/>
  <c r="CE12" i="4"/>
  <c r="CE11" i="4"/>
  <c r="Y21" i="4"/>
  <c r="L21" i="4"/>
  <c r="X21" i="4"/>
  <c r="P84" i="4"/>
  <c r="N82" i="4"/>
  <c r="O6" i="4"/>
  <c r="O8" i="4"/>
  <c r="DO12" i="4"/>
  <c r="DO11" i="4"/>
  <c r="N10" i="3"/>
  <c r="M10" i="3"/>
  <c r="CA9" i="3"/>
  <c r="BZ9" i="3"/>
  <c r="BG9" i="3"/>
  <c r="BF9" i="3"/>
  <c r="J82" i="4"/>
  <c r="K6" i="4"/>
  <c r="K8" i="4"/>
  <c r="Q12" i="4"/>
  <c r="P12" i="4"/>
  <c r="AM9" i="3"/>
  <c r="AL9" i="3"/>
  <c r="S9" i="3"/>
  <c r="K9" i="3"/>
  <c r="R9" i="3"/>
  <c r="Q81" i="4"/>
  <c r="P81" i="4"/>
  <c r="Q16" i="4"/>
  <c r="P16" i="4"/>
  <c r="BE21" i="4"/>
  <c r="BD21" i="4"/>
  <c r="CI12" i="4"/>
  <c r="CI11" i="4"/>
  <c r="BC12" i="4"/>
  <c r="BC11" i="4"/>
  <c r="M6" i="3"/>
  <c r="N6" i="3"/>
  <c r="N12" i="3"/>
  <c r="M12" i="3"/>
  <c r="AY12" i="4"/>
  <c r="AY11" i="4"/>
  <c r="DM11" i="4"/>
  <c r="DM12" i="4"/>
  <c r="W12" i="4"/>
  <c r="W11" i="4"/>
  <c r="M12" i="4"/>
  <c r="M11" i="4"/>
  <c r="S12" i="4"/>
  <c r="S11" i="4"/>
  <c r="DQ21" i="4"/>
  <c r="DP21" i="4"/>
  <c r="P10" i="4"/>
  <c r="Q10" i="4"/>
  <c r="M9" i="3" l="1"/>
  <c r="N9" i="3"/>
  <c r="O12" i="4"/>
  <c r="O11" i="4"/>
  <c r="P21" i="4"/>
  <c r="Q21" i="4"/>
  <c r="K12" i="4"/>
  <c r="K11" i="4"/>
</calcChain>
</file>

<file path=xl/comments1.xml><?xml version="1.0" encoding="utf-8"?>
<comments xmlns="http://schemas.openxmlformats.org/spreadsheetml/2006/main">
  <authors>
    <author>tc={00A1001C-00F8-48C5-A980-00FA00E200ED}</author>
    <author>tc={0017005B-00F6-4BF1-A06B-00D900F900F4}</author>
    <author>tc={00D90064-0059-4E93-83DE-00B500DF00E5}</author>
    <author>tc={00F10029-0022-4347-981B-00F7001E00A9}</author>
    <author>tc={005F0063-00CE-4464-BD85-00F900720061}</author>
    <author>tc={00CC0061-0070-4A23-B068-0016003C00D5}</author>
    <author>tc={0062007B-00C9-4901-B8D3-009B006C003E}</author>
    <author>tc={008400AB-00B2-4B45-AB53-00EB008B008E}</author>
    <author>tc={004B0082-00BB-4710-ABD4-003F0046001F}</author>
    <author>tc={00570049-00D9-4338-84FB-002E0086007F}</author>
    <author>tc={00510070-0073-4651-9C5B-00E7006600E8}</author>
    <author>tc={00B80088-00EB-4799-B3C9-00A200C000F8}</author>
    <author>tc={005A006B-00F9-4185-88CB-0088001100C9}</author>
    <author>tc={007E0040-007F-45B5-BB0A-005400520064}</author>
    <author>tc={002C009A-0070-40E5-B999-000100E100B5}</author>
    <author>tc={00300000-0044-42E5-896C-00DD0000005F}</author>
    <author>tc={008F00E8-0091-4AA7-BF97-0069006D0011}</author>
    <author>tc={002A00C7-0079-4019-8169-007900D400B2}</author>
    <author>tc={009900A6-0068-496E-957A-00CD008B001E}</author>
    <author>tc={005300BE-000D-4D86-9944-008C006B00D2}</author>
    <author>tc={00C10062-0073-4532-BAD7-006800A30077}</author>
    <author>tc={005C003B-0098-451E-A19B-003600AA0048}</author>
    <author>tc={003D0037-00DD-4D80-AA63-0072004200E8}</author>
    <author>tc={00CC004C-005E-4584-93E9-001C00DF0035}</author>
    <author>tc={006C0082-0074-44D2-9265-003D00F500C4}</author>
    <author>tc={004000EC-00AD-42DC-83E8-0083003B0047}</author>
    <author>tc={00F40066-0045-4CBE-8B08-0038005A00BF}</author>
    <author>tc={00000067-0092-433C-9E7D-000F00BB0048}</author>
    <author>tc={00D700C6-00C7-4A18-A30D-004500A40088}</author>
    <author>tc={00AC00B9-00EE-408B-B32D-002700C400CA}</author>
    <author>tc={00DA0099-005F-4301-9F66-008B00AA00EC}</author>
    <author>tc={0074001A-0037-4032-920B-009400AB00AC}</author>
    <author>tc={00C900FC-0072-4CFF-9157-00F300D900EA}</author>
    <author>tc={00FE006D-0065-4811-A129-00AB00230036}</author>
    <author>tc={000300EA-00C8-4F57-A67F-002E00F8000F}</author>
    <author>tc={00A0001A-00DD-41B6-90D3-00C2007F0073}</author>
    <author>tc={00B5007F-00CB-427F-A3F2-00CF000D00B6}</author>
    <author>tc={009F00FE-00E3-4F90-BD33-0076002B00EF}</author>
    <author>tc={00680037-0099-4EF5-ABCB-00AF002D00DC}</author>
    <author>tc={008D006F-0029-4FD6-9241-000E00F90018}</author>
    <author>tc={00F9006B-00C2-400A-9B46-0043003F0036}</author>
    <author>tc={007D0083-000C-4665-8A7B-00D500CB0025}</author>
    <author>tc={00F10069-00BC-49BA-A080-004C00910005}</author>
    <author>tc={005C00FF-0012-4C6E-8300-00A700AC00FB}</author>
    <author>tc={00A700F1-0087-42AC-AA5E-001E00F00046}</author>
    <author>tc={009F00FD-00AC-43AB-B142-00AD00980033}</author>
    <author>tc={008E00AD-00B5-4DCD-92F9-005900D700A5}</author>
    <author>tc={003C009D-00CB-4B09-9960-00DA00820049}</author>
    <author>tc={009B00AE-00DB-47F6-BA37-00DD004A0064}</author>
    <author>tc={00A2000D-00DF-44BD-ADC7-0032000800B2}</author>
    <author>tc={0065002B-0028-4D1B-B175-00C400C200BE}</author>
    <author>tc={003500EF-00F8-46D1-B86F-005B000500AA}</author>
    <author>tc={005A00D5-00F2-40A8-9D34-004400CD0043}</author>
    <author>tc={00C0002E-0094-477D-9FFC-00A500840028}</author>
    <author>tc={00A200C7-00BA-477A-84C4-00900058008F}</author>
    <author>tc={001900FF-00CF-4943-AE27-006C0075003B}</author>
    <author>tc={001500FB-0036-4786-A50A-00D50015000C}</author>
    <author>tc={00CA008C-00EA-47BE-BE31-00EB00EE0030}</author>
    <author>tc={0025009B-00F4-4597-ADA4-00F900610000}</author>
    <author>tc={0073007B-00FA-4943-B138-00770088001F}</author>
    <author>tc={00DD0092-0072-415D-83E5-00D7006900D5}</author>
    <author>tc={00E2002A-0063-4DF9-A4AB-00E800FF0073}</author>
    <author>tc={00AC009D-0058-42B4-992E-00C600420062}</author>
    <author>tc={009D006A-0065-4F2A-AC8B-00DD003F0018}</author>
    <author>tc={0024006F-0004-44C1-8F2A-009900C80090}</author>
    <author>tc={00A700A8-0081-418E-8F2A-00E400360047}</author>
    <author>tc={004E0087-00C2-46EA-91EF-0058008500C0}</author>
    <author>tc={00EB0048-00EC-405B-ABB6-00AC00DC0014}</author>
    <author>tc={000B008D-0031-4DF7-972D-00A900340055}</author>
    <author>tc={00DB0053-001D-4D26-A15D-00D5003A000D}</author>
    <author>tc={005D002A-007C-4F08-AF30-00A00038006B}</author>
    <author>tc={001100B3-0029-4E04-B898-009C00D300B1}</author>
    <author>tc={00A30065-00CD-4EA5-900F-007900880063}</author>
    <author>tc={000F0052-0097-41A4-BF31-008700B70021}</author>
    <author>tc={00200034-00A3-416F-B81B-007900F200CF}</author>
    <author>tc={00F5004D-004C-47D3-A37A-00E700060004}</author>
    <author>tc={003A00B7-002D-466B-BE4F-00DB00D40004}</author>
    <author>tc={004B00AF-0045-49D4-BE8B-001100300020}</author>
    <author>tc={00F6006B-0053-4DF2-BBF6-00C600770015}</author>
    <author>tc={00A30022-00ED-449F-95A8-00A00052005A}</author>
    <author>tc={004B0066-0002-402B-BADC-004B00FE00C1}</author>
    <author>tc={00D10051-0089-4CBC-A143-00DA00770032}</author>
    <author>tc={00C500E9-004B-4B6B-BD0B-00DF00180000}</author>
    <author>tc={00EF00CD-00B7-44EE-83B3-006500650040}</author>
    <author>tc={00950000-00CB-42F8-B0B2-00E200AD00CF}</author>
    <author>tc={001C0003-00B1-4708-953D-00D200F30055}</author>
    <author>tc={00700067-00E5-4B30-8550-005B006600DC}</author>
    <author>tc={002A0075-008D-43D5-961E-008D000A00E7}</author>
    <author>tc={00D400A5-00F9-4EF8-926F-00F600470080}</author>
    <author>tc={0084009B-00E3-4903-974A-006E0076009B}</author>
    <author>tc={00E900F7-00B2-4B8A-B8E9-000D0091002A}</author>
    <author>tc={005C001C-00A8-44C1-8308-00C0003000E6}</author>
    <author>tc={0017006C-00B3-4165-B24D-00BC00B300F9}</author>
    <author>tc={004400CB-0076-4F5E-937E-00AE00E50088}</author>
    <author>tc={005200C4-00EE-4234-9CB1-00D2008B00A6}</author>
    <author>tc={00F20081-001A-4EF9-8BCD-007400910079}</author>
    <author>tc={00780049-00E2-48F0-A123-0075003D00CD}</author>
    <author>tc={0014006A-00E5-4B6E-A94C-001900F800C7}</author>
    <author>tc={00A400F7-0041-482B-89A7-007C003C0070}</author>
    <author>tc={001600BD-0000-435C-8859-00BD00A400C0}</author>
    <author>tc={00F10013-000C-43B6-A863-00C0000100FB}</author>
    <author>tc={00540037-0001-4BD7-8B00-00ED00CB008F}</author>
    <author>tc={00F200F9-0076-44DD-BFD3-0052007F00AC}</author>
    <author>tc={007300D2-007F-42DA-822A-004400E6000F}</author>
    <author>tc={00FD006A-003E-4A51-BA2C-00070050003E}</author>
    <author>tc={0041008C-000E-4D32-8276-001400BC00BD}</author>
    <author>tc={00C70042-00A4-4050-B843-00D200D100F4}</author>
    <author>tc={004D000D-0064-4659-AEE8-00D8004B0099}</author>
    <author>tc={00E90075-00C6-40E0-86FD-007900820025}</author>
    <author>tc={006900D3-0057-4844-9D65-00F000FE0021}</author>
    <author>tc={005B00A3-0087-4413-9A14-0012004D00D9}</author>
  </authors>
  <commentList>
    <comment ref="B19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мощностей
</t>
        </r>
      </text>
    </comment>
    <comment ref="B21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Собственние мощностей
</t>
        </r>
      </text>
    </comment>
    <comment ref="B25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Собственние сырья
</t>
        </r>
      </text>
    </comment>
    <comment ref="B28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изменена формула
Тюлягина Татьяна Николаевна:
Барт 308
Бердин 512
</t>
        </r>
      </text>
    </comment>
    <comment ref="B29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30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изменена формула
</t>
        </r>
      </text>
    </comment>
    <comment ref="B31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34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Собственние сырья
</t>
        </r>
      </text>
    </comment>
    <comment ref="B35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39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стн получаемые при кранении СПГ в плавучем хранилище. Идущие на стн в качетсе отпарного газа
</t>
        </r>
      </text>
    </comment>
    <comment ref="B40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 23/11
</t>
        </r>
      </text>
    </comment>
    <comment ref="B41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42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45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48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объем содержитобъемы  ДРОД т.к. транспортировку осуществляет ГДО в адрес ГПП
</t>
        </r>
      </text>
    </comment>
    <comment ref="B59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62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стн получаемые при хранении СПГ в плавучем хранилище. Идущие на стн в качетсе отпарного газа
</t>
        </r>
      </text>
    </comment>
    <comment ref="B78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79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84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07.11новая строка
</t>
        </r>
      </text>
    </comment>
    <comment ref="B103" authorId="2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109" authorId="2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в сумму не идет, тк сидяь объемы в ГДЯ и ГДУ - новая строка - сумма на процеесинг (МУ+Новатэк)
</t>
        </r>
      </text>
    </comment>
    <comment ref="B110" authorId="2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считаем весь ГДЯ=(на УЗПКТ +на процесс Новатэк) , только без продажи на новатэк
</t>
        </r>
      </text>
    </comment>
    <comment ref="B112" authorId="2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считаем весь ГДУ =(на УЗПКТ +на процесс Новатэк) , только без продажи на новатэк
</t>
        </r>
      </text>
    </comment>
    <comment ref="B113" authorId="2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10.01.2023 изменены название и формула
ДРОД (Песцовое НГКМ(валанжин+ачим) , Уренг. Фаза 3, Ен-Ях. Бу-12, Ачим 3 уч.(НК , включая ШФЛУ)) 
</t>
        </r>
      </text>
    </comment>
    <comment ref="B114" authorId="2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Admin:
15.01.2026 Подлевских А.С.:
По указанию ТНТ.
Необходимо внести строчку в файл для факт
</t>
        </r>
      </text>
    </comment>
    <comment ref="B121" authorId="2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Валовый нестаб конденсат является собственностью ГдНояб, его покупает ПАО и товарн стаб конд уже становится собств ПАО
</t>
        </r>
      </text>
    </comment>
    <comment ref="B123" authorId="2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131" authorId="2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ГПП покупает у ГДУ сырьье на переработку для получения получения продуктов на заополнение альт схемы пр пнр. В течение года будем отражать баланс, когда будут договоры заключены и Д314 сможет показать баланс.
</t>
        </r>
      </text>
    </comment>
    <comment ref="B181" authorId="2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07.02. новая строка
</t>
        </r>
      </text>
    </comment>
    <comment ref="B190" authorId="3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192" authorId="3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194" authorId="3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Добавлен раздел - в адрес Новатэк, ГПНЗ
</t>
        </r>
      </text>
    </comment>
    <comment ref="B206" authorId="3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207" authorId="3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 изменена формула
</t>
        </r>
      </text>
    </comment>
    <comment ref="B209" authorId="3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20.10 новая строка
</t>
        </r>
      </text>
    </comment>
    <comment ref="B210" authorId="3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247" authorId="3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- для заполнения серных ям,
Есть протокол
</t>
        </r>
      </text>
    </comment>
    <comment ref="B262" authorId="3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Собственник сырья
</t>
        </r>
      </text>
    </comment>
    <comment ref="B266" authorId="39" shapeId="0">
      <text/>
    </comment>
    <comment ref="B269" authorId="4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275" authorId="41" shapeId="0">
      <text/>
    </comment>
    <comment ref="B278" authorId="4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289" authorId="4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ПНР -пусконаладочные работы
ТПХР - терминал по приему, хранению и регазификации газа, включая ПРГУ -танкер маршала Василевский (аренда "Газ флотом")
</t>
        </r>
      </text>
    </comment>
    <comment ref="B302" authorId="4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325" authorId="4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исправлено название
</t>
        </r>
      </text>
    </comment>
    <comment ref="B327" authorId="4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переименовать на "Газ горючий природный " согсавно договру стабилизации
</t>
        </r>
      </text>
    </comment>
    <comment ref="B334" authorId="4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переименовать на "Газ горючий природный " согсавно договру стабилизации ДС 2889
</t>
        </r>
      </text>
    </comment>
    <comment ref="B336" authorId="4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02.12 добавлена формула
2022.12.02  Усманова-Тараскин
Газ с УМТ реализуется от ПАО (агент ГПП) в адрес Газинформпласт на СТН
Демихов: 2021
газ деэтнизации будет продаваться через ГПП в адрес эксплуат. Орг. (сжигается).
</t>
        </r>
      </text>
    </comment>
    <comment ref="B340" authorId="4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348" authorId="5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07.11изменена формула
</t>
        </r>
      </text>
    </comment>
    <comment ref="B355" authorId="5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360" authorId="5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новые строки
</t>
        </r>
      </text>
    </comment>
    <comment ref="B363" authorId="5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10.01.2023 изменено название 
газ деэтанизации/природный газ (Песцовое НГКМ, Ен-Яхинск. НГКМ, Уренг. НГКМ, ачим. 3 уч.)
</t>
        </r>
      </text>
    </comment>
    <comment ref="B386" authorId="5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413" authorId="5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417" authorId="5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433" authorId="5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461" authorId="5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480" authorId="5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485" authorId="6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УНГП, Сервиснефтегаз, 
</t>
        </r>
      </text>
    </comment>
    <comment ref="B498" authorId="6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изменены формулы
</t>
        </r>
      </text>
    </comment>
    <comment ref="B505" authorId="6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Windows User
07.11 изменно название
</t>
        </r>
      </text>
    </comment>
    <comment ref="B510" authorId="6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новая строка
</t>
        </r>
      </text>
    </comment>
    <comment ref="B537" authorId="6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540" authorId="6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07.11новая строка
</t>
        </r>
      </text>
    </comment>
    <comment ref="B549" authorId="6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обсудить
</t>
        </r>
      </text>
    </comment>
    <comment ref="B551" authorId="6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15.02 изменена формула
</t>
        </r>
      </text>
    </comment>
    <comment ref="B567" authorId="6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572" authorId="6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574" authorId="7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изменена формула
</t>
        </r>
      </text>
    </comment>
    <comment ref="B575" authorId="7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B581" authorId="7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584" authorId="7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587" authorId="7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610" authorId="7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24" authorId="7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627" authorId="7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10/03 изменена формула
</t>
        </r>
      </text>
    </comment>
    <comment ref="B634" authorId="7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обсудить
</t>
        </r>
      </text>
    </comment>
    <comment ref="B637" authorId="7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добавла СК на СТН, так как этот объем ПАО продает ГДИ
</t>
        </r>
      </text>
    </comment>
    <comment ref="B638" authorId="8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нефть покупка
</t>
        </r>
      </text>
    </comment>
    <comment ref="B642" authorId="8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43" authorId="8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53" authorId="8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654" authorId="8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изменено название 
стаб. газ. конденсат, нефть (Ен-Яхинское НГКМ, Песцовое НГКМ, Ачим отл. 3 уч., Уренгойское НГКМ фаза 2)
</t>
        </r>
      </text>
    </comment>
    <comment ref="B658" authorId="8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60" authorId="8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Тюлягина Татьяна Николаевна:
нефть заполяр становится газпромовской , как только появляется труба в транснефти- альтернат схема
</t>
        </r>
      </text>
    </comment>
    <comment ref="B668" authorId="8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изменена формула
</t>
        </r>
      </text>
    </comment>
    <comment ref="B671" authorId="8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новая строка
</t>
        </r>
      </text>
    </comment>
    <comment ref="B708" authorId="8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779" authorId="9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переименовать
</t>
        </r>
      </text>
    </comment>
    <comment ref="B869" authorId="9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изменена формула
</t>
        </r>
      </text>
    </comment>
    <comment ref="B875" authorId="9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07.11 изменено название
</t>
        </r>
      </text>
    </comment>
    <comment ref="B895" authorId="9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19/12 изменена формула
</t>
        </r>
      </text>
    </comment>
    <comment ref="B899" authorId="9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19/12новые стрки
</t>
        </r>
      </text>
    </comment>
    <comment ref="B901" authorId="9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Windows Us1 19/12 новая строка
</t>
        </r>
      </text>
    </comment>
    <comment ref="B907" authorId="9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19/12 формула
</t>
        </r>
      </text>
    </comment>
    <comment ref="B909" authorId="9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19.12 новые стрки
</t>
        </r>
      </text>
    </comment>
    <comment ref="B911" authorId="9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19/12 новые стрки
</t>
        </r>
      </text>
    </comment>
    <comment ref="B1001" authorId="9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02.12 заново поменять ссылку на новую форму
</t>
        </r>
      </text>
    </comment>
    <comment ref="B1008" authorId="10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Тарасевич Елена Сергеевна:
Добавлен показатель (НК из повторной переработки СОГ на НТА с сентября 2026 г.
</t>
        </r>
      </text>
    </comment>
    <comment ref="B1098" authorId="10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СК из сырья Томска
</t>
        </r>
      </text>
    </comment>
    <comment ref="B1101" authorId="10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фактически это конденсат из попутного газа ГПНефти, но назыают нефтью для избежания налог. рисков
</t>
        </r>
      </text>
    </comment>
    <comment ref="B1105" authorId="10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фактически это конденсат из попутного газа ГПНефти, но назыают нефтью для избежания налог риско
</t>
        </r>
      </text>
    </comment>
    <comment ref="B1115" authorId="10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Изменено название (добавлено  (в т. ч.   И   
переработка газа)
</t>
        </r>
      </text>
    </comment>
    <comment ref="B1117" authorId="10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новая строка
</t>
        </r>
      </text>
    </comment>
    <comment ref="B1146" authorId="10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03/02 Добавлена строка
</t>
        </r>
      </text>
    </comment>
    <comment ref="B1201" authorId="10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Объемы не актуальны.
Эти показатели из трехлетки 26-28 (2 этап). По информации Д353, нам обновленные показатели не пришлют
</t>
        </r>
      </text>
    </comment>
    <comment ref="B1298" authorId="10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топливо газообразное + кокс
</t>
        </r>
      </text>
    </comment>
    <comment ref="B1398" authorId="10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природный газ только на технологию
</t>
        </r>
      </text>
    </comment>
    <comment ref="B1410" authorId="1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Подлевских Анастасия Сергеевна:
на технологию + топливо
</t>
        </r>
      </text>
    </comment>
  </commentList>
</comments>
</file>

<file path=xl/comments2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6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7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9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22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8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потери на производстве 3 + У71 (КГН) + У21 + У41
</t>
        </r>
      </text>
    </comment>
    <comment ref="B36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Владимировна:Газ ГДА проданный ГПП на СТН
</t>
        </r>
      </text>
    </comment>
    <comment ref="A42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Добавить гранулированная
</t>
        </r>
      </text>
    </comment>
    <comment ref="B45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перенести
</t>
        </r>
      </text>
    </comment>
    <comment ref="B47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от переработки ск и шфлу
</t>
        </r>
      </text>
    </comment>
    <comment ref="B53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для факта учесть изменение остатков ШФЛУ
</t>
        </r>
      </text>
    </comment>
    <comment ref="B54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шфлу валовая собственности ГДА для реализации ПАО  Газпром
</t>
        </r>
      </text>
    </comment>
    <comment ref="B56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У500, У505
</t>
        </r>
      </text>
    </comment>
    <comment ref="B60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Разница междду валовым СК и СК на переработку
</t>
        </r>
      </text>
    </comment>
    <comment ref="B62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изменить название
Ешимов Эрик Серикбаевич:
для факта учесть изменение остатков КГС, включая полупродукты
</t>
        </r>
      </text>
    </comment>
    <comment ref="B63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название
</t>
        </r>
      </text>
    </comment>
    <comment ref="B64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У515
</t>
        </r>
      </text>
    </comment>
    <comment ref="B74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8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B79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новые строки
</t>
        </r>
      </text>
    </comment>
  </commentList>
</comments>
</file>

<file path=xl/sharedStrings.xml><?xml version="1.0" encoding="utf-8"?>
<sst xmlns="http://schemas.openxmlformats.org/spreadsheetml/2006/main" count="4506" uniqueCount="1748">
  <si>
    <t>Показатели</t>
  </si>
  <si>
    <t>Внутренние настройки листа</t>
  </si>
  <si>
    <t>Ед. изм.</t>
  </si>
  <si>
    <t>Ключ статьи</t>
  </si>
  <si>
    <t>Ключ спец расчётов</t>
  </si>
  <si>
    <t>Ключ ввод данных</t>
  </si>
  <si>
    <t>Формула месяц</t>
  </si>
  <si>
    <t>Формула % Выхода</t>
  </si>
  <si>
    <t>Строка проверка</t>
  </si>
  <si>
    <t>Объемы реализации ЖУВ</t>
  </si>
  <si>
    <t>тыс.т</t>
  </si>
  <si>
    <t>в т.ч. на экспорт</t>
  </si>
  <si>
    <t>в т.ч. на внутренний рынок</t>
  </si>
  <si>
    <t>Поступление денежных средств</t>
  </si>
  <si>
    <t>млрд руб. с НДС</t>
  </si>
  <si>
    <t>Объем производства ООО "ГПП" для реализации 
ПАО "Газпром"</t>
  </si>
  <si>
    <t>Объем реализации продукции ООО "ГПП" с учетом остатков</t>
  </si>
  <si>
    <t xml:space="preserve">Раздел 1. Прогнозные показатели по переработке углеводородного сырья и производству продукции </t>
  </si>
  <si>
    <t>ПАО "Газпром" и основных дочерних обществ</t>
  </si>
  <si>
    <t>CЫРЬЕ</t>
  </si>
  <si>
    <t>1. Переработка газа на ГПЗ-всего</t>
  </si>
  <si>
    <t>1_1003335807+2_100332038+2_100332040+2_100332042+2_100332044+2_100332916+2_100332944+2_100335129+3_100330552+3_100330008+14_100335074+14_100335076</t>
  </si>
  <si>
    <t>млн куб.м.</t>
  </si>
  <si>
    <t>без СПГ Портовой</t>
  </si>
  <si>
    <t>Газпром переработка</t>
  </si>
  <si>
    <t>1_1003335807+2_100332038+2_100332040+2_100332042+2_100332044+2_100332916+2_100332944+2_100335129+3_100330552+3_100330008</t>
  </si>
  <si>
    <t>Астраханский ГПЗ</t>
  </si>
  <si>
    <t>1_1003335807</t>
  </si>
  <si>
    <t>Оренбургский ГХК</t>
  </si>
  <si>
    <t>2_100332038+2_100332040+2_100332042+2_100332044+2_100332916+2_100332944+2_100335129</t>
  </si>
  <si>
    <t>Сосногорский ГПЗ</t>
  </si>
  <si>
    <t>3_100330552+3_100330008</t>
  </si>
  <si>
    <t>Газпром переработка Благовещенск</t>
  </si>
  <si>
    <t>14_100335074+14_100335076</t>
  </si>
  <si>
    <t>Амурский ГПЗ</t>
  </si>
  <si>
    <t>Газпром СПГ Портовая</t>
  </si>
  <si>
    <t>КСПГ Портовая</t>
  </si>
  <si>
    <t>1.1. Газпром</t>
  </si>
  <si>
    <t>3_100330008+1_1003335807+14_100335074</t>
  </si>
  <si>
    <t>3_100330008+1_1003335807</t>
  </si>
  <si>
    <t>3_100330008</t>
  </si>
  <si>
    <t>Газпром добыча Краснодар</t>
  </si>
  <si>
    <t>14_100335074</t>
  </si>
  <si>
    <t>в т.ч. на ПНР</t>
  </si>
  <si>
    <t>в т.ч. СТН</t>
  </si>
  <si>
    <t>в т.ч. на переработку</t>
  </si>
  <si>
    <t>1.2. Дочерние общества</t>
  </si>
  <si>
    <t>2_100332038+2_100332040+2_100332042+2_100332044+2_100332916+2_100332944+2_100335129+3_100330552+14_100335076</t>
  </si>
  <si>
    <t>Газпром добыча Астрахань</t>
  </si>
  <si>
    <t>покупка у Газпром добыча Оренбург, всего</t>
  </si>
  <si>
    <t>в т.ч. Газпром добыча Оренбург</t>
  </si>
  <si>
    <t>2_100332038</t>
  </si>
  <si>
    <t>Газпром нефть</t>
  </si>
  <si>
    <t>2_100332040</t>
  </si>
  <si>
    <t>УНГП</t>
  </si>
  <si>
    <t>2_100332042</t>
  </si>
  <si>
    <t>Сервиснефтегаз</t>
  </si>
  <si>
    <t>2_100332044</t>
  </si>
  <si>
    <t>Карбон</t>
  </si>
  <si>
    <t>2_100332916</t>
  </si>
  <si>
    <t>Газпромнефть-Заполярье</t>
  </si>
  <si>
    <t>2_100332944</t>
  </si>
  <si>
    <t>Сладковско-Заречное</t>
  </si>
  <si>
    <t>2_100335129</t>
  </si>
  <si>
    <t>Газпром ГНП холдинг</t>
  </si>
  <si>
    <t>3_100330552</t>
  </si>
  <si>
    <t>Лукойл-Коми</t>
  </si>
  <si>
    <t>14_100335076</t>
  </si>
  <si>
    <t>КСПГ КС  Портовая</t>
  </si>
  <si>
    <t>в т.ч. СТН при переработке</t>
  </si>
  <si>
    <t>в т.ч. СТН при пусковых операциях</t>
  </si>
  <si>
    <t>2. Поставка газа на Амурский ГПЗ</t>
  </si>
  <si>
    <t>14_100332979-14_100335059-14_100335057-14_100335425+14_100335428+14_100335059</t>
  </si>
  <si>
    <t>2.1. Газпром</t>
  </si>
  <si>
    <t>14_100332979-14_100335059-14_100335057-14_100335425</t>
  </si>
  <si>
    <t>2.2. Дочерние общества</t>
  </si>
  <si>
    <t>14_100335428+14_100335059</t>
  </si>
  <si>
    <t>3. Переработка газа на Оренбургском гелиевом заводе</t>
  </si>
  <si>
    <t>2_100332054+2_100332056+2_100335131</t>
  </si>
  <si>
    <t>Оренбургский ГЗ</t>
  </si>
  <si>
    <t>3.1. Газпром</t>
  </si>
  <si>
    <t>3.2. Дочерние общества</t>
  </si>
  <si>
    <t>Газпром добыча Оренбург</t>
  </si>
  <si>
    <t>2_100332054</t>
  </si>
  <si>
    <t>2_100332056</t>
  </si>
  <si>
    <t>прочие поставщики (ГПНЗ, УНГП, и.т.д.)</t>
  </si>
  <si>
    <t>2_100335131</t>
  </si>
  <si>
    <t>4_100333682+4_100331828+4_100331835+4_100331804+4_100335033+10_100330861</t>
  </si>
  <si>
    <t>проверка УЗПКТ</t>
  </si>
  <si>
    <t>2_100332062+2_100335697+2_100332061+2_100332068+2_100332947+2_100332066+2_100332067+2_100332069</t>
  </si>
  <si>
    <t>проверка ОГПЗ</t>
  </si>
  <si>
    <t xml:space="preserve"> 4. Переработка нестабильного  газового конденсата и нефти</t>
  </si>
  <si>
    <t>1_100331985+2_100332062+2_100335697+2_100332061+3_100330017+4_100333682+4_100331828+4_100331835+4_100331804+4_100335033+7_100330595+12_100330735+0+13_100330000+10_100330715+10_100330861+10_100330718+11_100330015+9_100330671+2_100332068+2_100332947+2_100332066+2_100332067+2_100332069+3_100330196+4_100331838+4_100335093+4_100333678+9_100330672</t>
  </si>
  <si>
    <t>4.1. Газовый конденсат-всего</t>
  </si>
  <si>
    <t>1_100331985+2_100332062+2_100335697+2_100332061+3_100330017+4_100333682+4_100331828+4_100331835+4_100331804+4_100335033+7_100330595+12_100330735+0+13_100330000+10_100330715+10_100330861+10_100330718+11_100330015+9_100330671</t>
  </si>
  <si>
    <t xml:space="preserve">   Газпром переработка</t>
  </si>
  <si>
    <t>1_100331985+2_100332062+2_100335697+2_100332061+3_100330017+4_100333682+4_100331828+4_100331835+4_100331804+4_100335033</t>
  </si>
  <si>
    <t>1_100331985</t>
  </si>
  <si>
    <t>2_100332062+2_100335697+2_100332061</t>
  </si>
  <si>
    <t>3_100330017</t>
  </si>
  <si>
    <t xml:space="preserve">               Уренгойский ЗПКТ- Сургутский ЗСК и привлеченные мощности</t>
  </si>
  <si>
    <t>4_100333682+4_100331828+4_100331835+4_100331804+4_100335033</t>
  </si>
  <si>
    <t xml:space="preserve">   Газпром добыча Ямбург</t>
  </si>
  <si>
    <t>7_100330595</t>
  </si>
  <si>
    <t>Газпром добыча Иркутск</t>
  </si>
  <si>
    <t>12_100330735+0</t>
  </si>
  <si>
    <t>Газпром добыча шельф Южно-Сахалинск</t>
  </si>
  <si>
    <t>13_100330000</t>
  </si>
  <si>
    <t>тыс. т</t>
  </si>
  <si>
    <t>Газпром добыча Ноябрьск</t>
  </si>
  <si>
    <t>10_100330715+10_100330861+10_100330718</t>
  </si>
  <si>
    <t>Газпром добыча Надым</t>
  </si>
  <si>
    <t>11_100330015</t>
  </si>
  <si>
    <t>9_100330671</t>
  </si>
  <si>
    <t>4.1.1. Газпром</t>
  </si>
  <si>
    <t>2_100332061+3_100330017+4_100331828+4_100331835+4_100331804+4_100335033+1_100331985+12_100330735+0+13_100330000+10_100330715+10_100330861</t>
  </si>
  <si>
    <t>2_100332061+3_100330017+4_100331828+4_100331835+4_100331804+4_100335033+1_100331985</t>
  </si>
  <si>
    <t>2_100332061</t>
  </si>
  <si>
    <t xml:space="preserve">   Сосногорский ГПЗ </t>
  </si>
  <si>
    <t>Газпром добыча Краснодар (в составе НГКС)</t>
  </si>
  <si>
    <t>4_100331828+4_100331835+4_100331804+4_100335033</t>
  </si>
  <si>
    <t>в т.ч. доп. мощности</t>
  </si>
  <si>
    <t>4_100335357+4_100335358</t>
  </si>
  <si>
    <t xml:space="preserve">Газпром добыча Ямбург </t>
  </si>
  <si>
    <t>4_100331828</t>
  </si>
  <si>
    <t>Сибнефтегаз ( Береговое НГКМ)</t>
  </si>
  <si>
    <t>4_100331835</t>
  </si>
  <si>
    <t>Газпром добыча Уренгой</t>
  </si>
  <si>
    <t>4_100331804+4_100335033</t>
  </si>
  <si>
    <t>в т.ч. ДРОД</t>
  </si>
  <si>
    <t>4_100335470+4_100335508</t>
  </si>
  <si>
    <t>в т.ч. C5+ от подготовки газа деэтанизации</t>
  </si>
  <si>
    <t>4_100337101</t>
  </si>
  <si>
    <t>Ковыктинское ГКМ</t>
  </si>
  <si>
    <t>12_100330735</t>
  </si>
  <si>
    <t>Чиканское ГКМ</t>
  </si>
  <si>
    <t>10_100330715+10_100330861</t>
  </si>
  <si>
    <t>Чаяндинское НГКМ</t>
  </si>
  <si>
    <t>10_100330715</t>
  </si>
  <si>
    <t>Западно-Таркосалинское НГКМ на СЗСК</t>
  </si>
  <si>
    <t>10_100330861</t>
  </si>
  <si>
    <t>4.1.2. Дочерние общества</t>
  </si>
  <si>
    <t>2_100332062+2_100335697+4_100333682+0+7_100330595+10_100330718+11_100330015+9_100330671</t>
  </si>
  <si>
    <t>2_100332062+2_100335697+4_100333682</t>
  </si>
  <si>
    <t>2_100332062+2_100335697</t>
  </si>
  <si>
    <t>2_100332062</t>
  </si>
  <si>
    <t>2_100335697</t>
  </si>
  <si>
    <t>Уренгойский ЗПКТ</t>
  </si>
  <si>
    <t>4_100333682</t>
  </si>
  <si>
    <t xml:space="preserve">                Уренгойский ЗПКТ</t>
  </si>
  <si>
    <t>10_100330718</t>
  </si>
  <si>
    <t>конденсат (Камчат. ГПУ - Кшукское ГКМ, Нижне-Квакчикское ГКМ)</t>
  </si>
  <si>
    <t>в т.ч. Бованенковское НГКМ</t>
  </si>
  <si>
    <t>11_100330688</t>
  </si>
  <si>
    <t>4.2. Нефть-всего</t>
  </si>
  <si>
    <t>2_100332068+2_100332947+2_100332066+2_100332067+2_100332069+3_100330196+4_100331838+4_100335093+4_100333678+9_100330672</t>
  </si>
  <si>
    <t>2_100332068+2_100332947+2_100332066+2_100332067+2_100332069+3_100330196+4_100331838+4_100335093+4_100333678</t>
  </si>
  <si>
    <t>2_100332068+2_100332947+2_100332066+2_100332067+2_100332069</t>
  </si>
  <si>
    <t>3_100330196</t>
  </si>
  <si>
    <t xml:space="preserve">             Уренгойский ЗПКТ</t>
  </si>
  <si>
    <t>4_100335093+4_100333678</t>
  </si>
  <si>
    <t xml:space="preserve">                 Сургутский ЗСК</t>
  </si>
  <si>
    <t>4_100331838</t>
  </si>
  <si>
    <t>9_100330672</t>
  </si>
  <si>
    <t>4.2.1. Газпром</t>
  </si>
  <si>
    <t>2_100332066+2_100332067+3_100330196+4_100331838+4_100335093</t>
  </si>
  <si>
    <t>2_100332066+2_100332067</t>
  </si>
  <si>
    <t>2_100332066</t>
  </si>
  <si>
    <t>2_100332067</t>
  </si>
  <si>
    <t xml:space="preserve">    Сосногорский ГПЗ </t>
  </si>
  <si>
    <t>4_100335093</t>
  </si>
  <si>
    <t xml:space="preserve">Газпром добыча Уренгой </t>
  </si>
  <si>
    <t>4.2.2. Дочерние общества</t>
  </si>
  <si>
    <t>2_100332068+2_100332947+4_100333678+2_100332069+9_100330672</t>
  </si>
  <si>
    <t>2_100332068+2_100332947+4_100333678</t>
  </si>
  <si>
    <t>2_100332068+2_100332947</t>
  </si>
  <si>
    <t>2_100332068</t>
  </si>
  <si>
    <t>2_100332947</t>
  </si>
  <si>
    <t>4_100333678</t>
  </si>
  <si>
    <t>2_100332069</t>
  </si>
  <si>
    <t xml:space="preserve"> Оренбургский ГХК</t>
  </si>
  <si>
    <t>5. Поставка нефти-всего</t>
  </si>
  <si>
    <t>7_100330593+7_100330591+0+8_100330646+8_100335919+8_100330647+8_100335920+8_100335670+8_100335918+8_100336114+10_100330720+10_100330862+10_100336141</t>
  </si>
  <si>
    <t>7_100330593+7_100330591</t>
  </si>
  <si>
    <t>0+8_100330646+8_100335919+8_100330647+8_100335920+8_100335670+8_100335918+8_100336114</t>
  </si>
  <si>
    <t>10_100330720+10_100330862+10_100336141</t>
  </si>
  <si>
    <t>5.1. Газпром</t>
  </si>
  <si>
    <t>0+10_100330720</t>
  </si>
  <si>
    <t xml:space="preserve">                Уренгойское НГКМ</t>
  </si>
  <si>
    <t>10_100330720</t>
  </si>
  <si>
    <t>в т.ч. конденсат</t>
  </si>
  <si>
    <t>10_100335709</t>
  </si>
  <si>
    <t>5.2. Дочерние общества</t>
  </si>
  <si>
    <t>7_100330593+7_100330591+8_100330646+8_100335919+8_100330647+8_100335920+8_100335670+8_100335918+8_100336114+10_100330862+10_100336141</t>
  </si>
  <si>
    <t>Ямбургское НГКМ</t>
  </si>
  <si>
    <t>7_100330593</t>
  </si>
  <si>
    <t>Заполярное НГКМ</t>
  </si>
  <si>
    <t>7_100330591</t>
  </si>
  <si>
    <t>8_100330646+8_100335919+8_100330647+8_100335920+8_100335670+8_100335918+8_100336114</t>
  </si>
  <si>
    <t>8_100335670+8_100335918+8_100336114</t>
  </si>
  <si>
    <t>Ен-Яхинское НГКМ</t>
  </si>
  <si>
    <t>8_100330646+8_100335919</t>
  </si>
  <si>
    <t>Песцовое НГКМ</t>
  </si>
  <si>
    <t>8_100330647+8_100335920</t>
  </si>
  <si>
    <t>10_100330862+10_100336141</t>
  </si>
  <si>
    <t>Западно-Таркосалинское НГКМ</t>
  </si>
  <si>
    <t>10_100330862</t>
  </si>
  <si>
    <t xml:space="preserve">         Тас- Юряхское НГКМ </t>
  </si>
  <si>
    <t>10_100336141</t>
  </si>
  <si>
    <t>6. Поставка нестабильного газового конденсата-всего</t>
  </si>
  <si>
    <t>7_100333320+SUM(8_100335489-8_100335600-8_100335601:8_100335516+8_100335517)+11_100335593+11_100335658+10_100336327</t>
  </si>
  <si>
    <t>7_100333320</t>
  </si>
  <si>
    <t>SUM(8_100335489-8_100335600-8_100335601:8_100335516+8_100335517)</t>
  </si>
  <si>
    <t xml:space="preserve">Газпром добыча Надым </t>
  </si>
  <si>
    <t>11_100335593+11_100335658</t>
  </si>
  <si>
    <t>10_100336327</t>
  </si>
  <si>
    <t>6.1. Газпром</t>
  </si>
  <si>
    <t>6.2. Дочерние общества</t>
  </si>
  <si>
    <t>Уренгойское НГКМ ачим. 3 уч.(включая ГВ и конденсат)</t>
  </si>
  <si>
    <t>8_100335489-8_100335600-8_100335601</t>
  </si>
  <si>
    <t>Песцовое НГКМ (включая ГВ и конденсат)</t>
  </si>
  <si>
    <t>8_100335490+8_100335603-8_100335471-8_100335602</t>
  </si>
  <si>
    <t>Ен-Яхинское НГКМ (включая ГВ и конденсат)</t>
  </si>
  <si>
    <t>8_100335516+8_100335517</t>
  </si>
  <si>
    <t xml:space="preserve"> Бованенковское НГКМ (неоком-юра)</t>
  </si>
  <si>
    <t>11_100335593</t>
  </si>
  <si>
    <t>Харасавэйское ГКМ (неоком-юра)</t>
  </si>
  <si>
    <t>11_100335658</t>
  </si>
  <si>
    <t>7. Переработка газового конденсата (нефти)</t>
  </si>
  <si>
    <t xml:space="preserve">    первичная-всего</t>
  </si>
  <si>
    <t>0+1_100332016+4_100331931+4_100331932+7_100330629</t>
  </si>
  <si>
    <t>0+1_100332016+4_100331931+4_100331932</t>
  </si>
  <si>
    <t>0+1_100332016</t>
  </si>
  <si>
    <t xml:space="preserve">              Уренгойский ЗПКТ</t>
  </si>
  <si>
    <t>4_100331931</t>
  </si>
  <si>
    <t xml:space="preserve">                Сургутский ЗСК</t>
  </si>
  <si>
    <t>4_100331932</t>
  </si>
  <si>
    <t>7_100330629</t>
  </si>
  <si>
    <t>7.1. Газпром</t>
  </si>
  <si>
    <t>1_100332016+4_100331931+4_100331932</t>
  </si>
  <si>
    <t>1_100332016</t>
  </si>
  <si>
    <t>7.2. Дочерние общества</t>
  </si>
  <si>
    <t>0+7_100330629</t>
  </si>
  <si>
    <t>Справочно</t>
  </si>
  <si>
    <t xml:space="preserve">Переработка стабильного конденсата, всего </t>
  </si>
  <si>
    <t>4_100331934+4_100331935+0</t>
  </si>
  <si>
    <t>Газпром</t>
  </si>
  <si>
    <t>4_100331934+4_100331935</t>
  </si>
  <si>
    <t>4_100331934</t>
  </si>
  <si>
    <t>4_100331935</t>
  </si>
  <si>
    <t>Дочерние общества</t>
  </si>
  <si>
    <t>Переработка кислого газа Астраханский ГПЗ, всего</t>
  </si>
  <si>
    <t>1_100331980+1_100331981+0</t>
  </si>
  <si>
    <t>1_100331980+1_100331981</t>
  </si>
  <si>
    <t>в т.ч. от переработки с производства №3</t>
  </si>
  <si>
    <t>1_100331980</t>
  </si>
  <si>
    <t xml:space="preserve"> от переработки с производства №1, 5</t>
  </si>
  <si>
    <t>1_100331981</t>
  </si>
  <si>
    <t>в т. ч. покупка у Газпром добыча Астрахань</t>
  </si>
  <si>
    <t>кислый газ на собст. тех. нужды ГПП</t>
  </si>
  <si>
    <t>Выработка ШФЛУ (валовая), всего</t>
  </si>
  <si>
    <t>1_100332006+2_100332207+2_100332208+2_100335144+4_100331893+4_100331894</t>
  </si>
  <si>
    <t>1_100332006</t>
  </si>
  <si>
    <t>2_100332207+2_100332208+2_100335144</t>
  </si>
  <si>
    <t>4_100331893</t>
  </si>
  <si>
    <t>4_100331894</t>
  </si>
  <si>
    <t>4_100331893+4_100331894+1_100332006</t>
  </si>
  <si>
    <t xml:space="preserve">        в т.ч. стабильный конденсат</t>
  </si>
  <si>
    <t>1_100334997</t>
  </si>
  <si>
    <t>0+2_100332207+2_100332208+2_100335144</t>
  </si>
  <si>
    <t>2_100332207</t>
  </si>
  <si>
    <t>2_100332208</t>
  </si>
  <si>
    <t>2_100335144</t>
  </si>
  <si>
    <t>Переработка ШФЛУ, всего</t>
  </si>
  <si>
    <t>1_100332008+2_100332211+2_100332212+2_100335145+4_100331896+4_100331897</t>
  </si>
  <si>
    <t>1_100332008</t>
  </si>
  <si>
    <t>с уч. содержания комп. стабильного конденсата</t>
  </si>
  <si>
    <t>1_100332009</t>
  </si>
  <si>
    <t>2_100332211+2_100332212+2_100335145</t>
  </si>
  <si>
    <t>2_100332211</t>
  </si>
  <si>
    <t>2_100332212</t>
  </si>
  <si>
    <t>2_100335145</t>
  </si>
  <si>
    <t>4_100331896</t>
  </si>
  <si>
    <t>4_100331897</t>
  </si>
  <si>
    <t>проверка (Астрахань)</t>
  </si>
  <si>
    <t>1_100332006-1_100332008-1_100332005</t>
  </si>
  <si>
    <t>проверка (комп. стаб. конд)</t>
  </si>
  <si>
    <t>0-1_100332009-1_100332009</t>
  </si>
  <si>
    <t>проверка (Оренбург)</t>
  </si>
  <si>
    <t>2_100332207+2_100332208+2_100335144-2_100332211+2_100332212+2_100335145-2_100332207-2_100332211+2_100332208-2_100332212+2_100335143</t>
  </si>
  <si>
    <t>проверка (Уренгой)</t>
  </si>
  <si>
    <t>4_100331893-4_100331896-4_100331888</t>
  </si>
  <si>
    <t>Покупка СПГ для регазификации, всего</t>
  </si>
  <si>
    <t xml:space="preserve"> для ПНР Калиниградского ТПХР</t>
  </si>
  <si>
    <t>Переработка водометанольной смеси на</t>
  </si>
  <si>
    <t>Установке по утилизации подтоварной воды*</t>
  </si>
  <si>
    <t xml:space="preserve">ПРОДУКЦИЯ    </t>
  </si>
  <si>
    <t>1. Газ горючий природный сухой  отбензиненный  с перерабатывающих предприятий - всего</t>
  </si>
  <si>
    <t>2_100332111+2_100332113+2_100335135+2_100335692+1_100331993+3_100330564+3_100330574+4_100331871+4_100331859+4_100331857+4_100335366+4_100335368+0+8_100335493+14_100332359+14_100335312</t>
  </si>
  <si>
    <t>2_100332111+2_100332113+2_100335135+2_100335692+1_100331993+3_100330564+3_100330574+4_100331871+4_100331859+4_100331857+4_100335366+4_100335368+0</t>
  </si>
  <si>
    <t>1_100331993</t>
  </si>
  <si>
    <t>выход продукции</t>
  </si>
  <si>
    <t>1_100331993/1_1003335807*100</t>
  </si>
  <si>
    <t>2_100332111+2_100332113+2_100335135+2_100335692</t>
  </si>
  <si>
    <t>2_100332111+2_100332113+2_100335135+2_100335692/2_100332038+2_100332040+2_100332042+2_100332044+2_100332916+2_100332944+2_100335129*100</t>
  </si>
  <si>
    <t xml:space="preserve">  Сосногорский ГПЗ </t>
  </si>
  <si>
    <t>3_100330564+3_100330574</t>
  </si>
  <si>
    <t>3_100330564+3_100330574/3_100330552+3_100330008*100</t>
  </si>
  <si>
    <t xml:space="preserve">               Уренгойский ЗПКТ с учетом привлеченных мощностей</t>
  </si>
  <si>
    <t>4_100331871+4_100331859+4_100331857+4_100335366+4_100335368+0</t>
  </si>
  <si>
    <t>4_100331870+4_100331858+4_100331856+4_100335365+4_100335367+0</t>
  </si>
  <si>
    <t>плотность</t>
  </si>
  <si>
    <t>4_100331870+4_100331858+4_100331856+4_100335365+4_100335367+0/4_100331871+4_100331859+4_100331857+4_100335366+4_100335368+0</t>
  </si>
  <si>
    <t>4_100331871+4_100331859+4_100331857+4_100335366+4_100335368+0/4_100333682+4_100331828+4_100331835+4_100331804+4_100335033*100</t>
  </si>
  <si>
    <t>8_100335493</t>
  </si>
  <si>
    <t xml:space="preserve"> Газпром переработка Благовещенск</t>
  </si>
  <si>
    <t>14_100332359+14_100335312</t>
  </si>
  <si>
    <t xml:space="preserve"> Амурский ГПЗ</t>
  </si>
  <si>
    <t>14_100332359+14_100335312/14_100335074+14_100335076*100</t>
  </si>
  <si>
    <t>3_100330564+4_100331871+4_100331859+4_100331857+4_100335366+4_100335368+1_100331993+14_100332359</t>
  </si>
  <si>
    <t>3_100330564+4_100331871+4_100331859+4_100331857+4_100335366+4_100335368+1_100331993</t>
  </si>
  <si>
    <t>в т.ч. в  газотранспортную систему</t>
  </si>
  <si>
    <t>1_100331995</t>
  </si>
  <si>
    <t>газ на стн ГПП</t>
  </si>
  <si>
    <t>1_100331999</t>
  </si>
  <si>
    <t>газ на стн газодобывающих обществ</t>
  </si>
  <si>
    <t>1_100331997</t>
  </si>
  <si>
    <t xml:space="preserve">Сосногорский ГПЗ </t>
  </si>
  <si>
    <t>3_100330564</t>
  </si>
  <si>
    <t>в т. ч. собственная потребность ГПП</t>
  </si>
  <si>
    <t>3_100330566</t>
  </si>
  <si>
    <t>в газотранспортную систему</t>
  </si>
  <si>
    <t>3_100330570</t>
  </si>
  <si>
    <t>на Сосногорскую ТЭЦ</t>
  </si>
  <si>
    <t>3_100330568</t>
  </si>
  <si>
    <t xml:space="preserve">               Уренгойский ЗПКТ и привлеченные мощности</t>
  </si>
  <si>
    <t>4_100331871+4_100331859+4_100331857+4_100335366+4_100335368</t>
  </si>
  <si>
    <t>4_100331870+4_100331858+4_100331856+4_100335365+4_100335367</t>
  </si>
  <si>
    <t xml:space="preserve"> в т.ч. газ горючий природный</t>
  </si>
  <si>
    <t>4_100331871</t>
  </si>
  <si>
    <t>4_100331870</t>
  </si>
  <si>
    <t xml:space="preserve"> газ деэтанизации собств. потребность ГПП</t>
  </si>
  <si>
    <t>4_100331859</t>
  </si>
  <si>
    <t>4_100331858</t>
  </si>
  <si>
    <t>4_100331858/4_100331859</t>
  </si>
  <si>
    <t>газ деэтанизации в адрес ГДУ по договору поставки</t>
  </si>
  <si>
    <t>4_100331857</t>
  </si>
  <si>
    <t>4_100331856</t>
  </si>
  <si>
    <t xml:space="preserve"> газ горючий природный с привлечнных. мощностей Новатэк</t>
  </si>
  <si>
    <t>4_100335366</t>
  </si>
  <si>
    <t>4_100335365</t>
  </si>
  <si>
    <t xml:space="preserve"> газ деэтанизации с  привлечнных мощностей УДКМ</t>
  </si>
  <si>
    <t>4_100335368</t>
  </si>
  <si>
    <t>4_100335367</t>
  </si>
  <si>
    <t>14_100332359</t>
  </si>
  <si>
    <t>2_100332111+2_100332113+2_100335135+0+3_100330574+14_100335312+2_100335692</t>
  </si>
  <si>
    <t>0/1_1003335807*100</t>
  </si>
  <si>
    <t>2_100332111+2_100332113+2_100335135+0</t>
  </si>
  <si>
    <t>2_100332111+2_100332113+2_100335135</t>
  </si>
  <si>
    <t>в т.ч. на стн ГПП</t>
  </si>
  <si>
    <t>2_100335015+2_100335017</t>
  </si>
  <si>
    <t>2_100335015+2_100335017/2_100332038+2_100332040+2_100332042+2_100332044+2_100332916+2_100332944+2_100335129*100</t>
  </si>
  <si>
    <t>на стн газодобывающих обществ</t>
  </si>
  <si>
    <t>2_100335019</t>
  </si>
  <si>
    <t>2_100335019/2_100332038+2_100332040+2_100332042+2_100332044+2_100332916+2_100332944+2_100335129*100</t>
  </si>
  <si>
    <t>2_100332111</t>
  </si>
  <si>
    <t>2_100332113</t>
  </si>
  <si>
    <t>2_100335135</t>
  </si>
  <si>
    <t xml:space="preserve"> Уренгойский ЗПКТ</t>
  </si>
  <si>
    <t xml:space="preserve"> (газ деэтанизации)/природный газ</t>
  </si>
  <si>
    <t xml:space="preserve">Сервиснефтегаз </t>
  </si>
  <si>
    <t>2_100335692</t>
  </si>
  <si>
    <t xml:space="preserve">                в т.ч.Оренбургский ГХК на стн ГПП</t>
  </si>
  <si>
    <t xml:space="preserve">в т.ч. ДРОД </t>
  </si>
  <si>
    <t>3_100330574</t>
  </si>
  <si>
    <t>ЛУКОЙЛ-Коми</t>
  </si>
  <si>
    <t>14_100335312</t>
  </si>
  <si>
    <t>2. Транзит газа через Амурский ГПЗ</t>
  </si>
  <si>
    <t>14_100335159+14_100335425</t>
  </si>
  <si>
    <t>14_100335159</t>
  </si>
  <si>
    <t>14_100335425</t>
  </si>
  <si>
    <t>3. Сжиженный природный газ  (СПГ) - всего</t>
  </si>
  <si>
    <t>4. Сера техническая - всего</t>
  </si>
  <si>
    <t>2_100332189+2_100332190+2_100332192+2_100332194+2_100332195+1_100330068+1_100330069+1_100330071+1_100330070+1_100337112+0</t>
  </si>
  <si>
    <t>2_100332189+2_100332190+2_100332192+2_100332194+2_100332195</t>
  </si>
  <si>
    <t>2_100332189+2_100332190+2_100332192+2_100332194+2_100332195/2_100332038+2_100332040+2_100332042+2_100332044+2_100332916+2_100332944+2_100335129*100</t>
  </si>
  <si>
    <t>1_100330068+1_100330069+1_100330071+1_100330070+1_100337112+0</t>
  </si>
  <si>
    <t>1_100330068+1_100330069+1_100330071+1_100330070+1_100337112+0/1_1003335807*100</t>
  </si>
  <si>
    <t>4.1. Газпром</t>
  </si>
  <si>
    <t>2_100332189+2_100332190+1_100330068+1_100330069+1_100330071+1_100330070+1_100337112</t>
  </si>
  <si>
    <t>2_100332189+2_100332190</t>
  </si>
  <si>
    <t>2_100332189</t>
  </si>
  <si>
    <t>2_100332190</t>
  </si>
  <si>
    <t>1_100330068+1_100330069+1_100330071+1_100330070+1_100337112</t>
  </si>
  <si>
    <t>жидкая</t>
  </si>
  <si>
    <t>1_100330068</t>
  </si>
  <si>
    <t>комовая</t>
  </si>
  <si>
    <t>1_100330069</t>
  </si>
  <si>
    <t>гранулированная</t>
  </si>
  <si>
    <t>1_100330071+1_100330070+1_100337112</t>
  </si>
  <si>
    <t>в т.ч. марка М</t>
  </si>
  <si>
    <t>1_100330071</t>
  </si>
  <si>
    <t>в т.ч. микрофильтрованная вода</t>
  </si>
  <si>
    <t>марка С</t>
  </si>
  <si>
    <t>1_100330070</t>
  </si>
  <si>
    <t>марка СМ</t>
  </si>
  <si>
    <t>1_100337112</t>
  </si>
  <si>
    <t>4.2. Дочерние общества</t>
  </si>
  <si>
    <t>0+2_100332192+2_100332194+2_100332195</t>
  </si>
  <si>
    <t>2_100332192+2_100332194+2_100332195</t>
  </si>
  <si>
    <t>из нее гранулированная</t>
  </si>
  <si>
    <t>2_100332193</t>
  </si>
  <si>
    <t>в т. ч. Газпром добыча Оренбург</t>
  </si>
  <si>
    <t>2_100332192</t>
  </si>
  <si>
    <t>2_100332194</t>
  </si>
  <si>
    <t>2_100332195</t>
  </si>
  <si>
    <t>5. Широкая фракция легких</t>
  </si>
  <si>
    <t xml:space="preserve">   углеводоров товарная</t>
  </si>
  <si>
    <t>1_100332005+4_100331888+4_100331889+2_100332207-2_100332211+2_100332208-2_100332212+2_100335143</t>
  </si>
  <si>
    <t>1_100332005</t>
  </si>
  <si>
    <t>2_100332207-2_100332211+2_100332208-2_100332212+2_100335143</t>
  </si>
  <si>
    <t>4_100331888</t>
  </si>
  <si>
    <t xml:space="preserve">    Сургутский ЗСК</t>
  </si>
  <si>
    <t>4_100331889</t>
  </si>
  <si>
    <t>2_100332207-2_100332211</t>
  </si>
  <si>
    <t>2_100332208-2_100332212</t>
  </si>
  <si>
    <t>2_100335143</t>
  </si>
  <si>
    <t xml:space="preserve">6. Газы углеводородные сжиженные </t>
  </si>
  <si>
    <t>2_100332216+0+2_100332218+0+2_100335146+2_100332221+2_100332223+2_100332224+2_100332226+3_100332287+3_100332288+4_100331900+4_100331901+1_100332010+14_100332363+14_100332364+14_100332365+7_100330609+12_100330866</t>
  </si>
  <si>
    <t>2_100332216+0+2_100332218+0+2_100335146+2_100332221+2_100332223+2_100332224+2_100332226+3_100332287+3_100332288+4_100331900+4_100331901+1_100332010</t>
  </si>
  <si>
    <t xml:space="preserve">Астраханский ГПЗ </t>
  </si>
  <si>
    <t>1_100332010</t>
  </si>
  <si>
    <t>2_100332216+0+2_100332218+0+2_100335146+2_100332221+2_100332223+2_100332224+2_100332226</t>
  </si>
  <si>
    <t>ГПЗ</t>
  </si>
  <si>
    <t>2_100332217+2_100332219+2_100335147+2_100332220+2_100332226</t>
  </si>
  <si>
    <t>ГЗ</t>
  </si>
  <si>
    <t>2_100330955+2_100330956+2_100335148</t>
  </si>
  <si>
    <t xml:space="preserve">   Сосногорский ГПЗ</t>
  </si>
  <si>
    <t>3_100332287+3_100332288</t>
  </si>
  <si>
    <t>4_100331900</t>
  </si>
  <si>
    <t>4_100331901</t>
  </si>
  <si>
    <t>14_100332363+14_100332364+14_100332365</t>
  </si>
  <si>
    <t>7_100330609</t>
  </si>
  <si>
    <t>Газпром добыча Иркутск (ПБТ/ПБА)</t>
  </si>
  <si>
    <t>12_100330866</t>
  </si>
  <si>
    <t>1_100332010+2_100332216+0+2_100332218+0+2_100335146+3_100332287+4_100331900+4_100331901+12_100330866+14_100332363+14_100332364+14_100332365</t>
  </si>
  <si>
    <t>1_100332010+2_100332216+0+2_100332218+0+2_100335146+3_100332287+4_100331900+4_100331901</t>
  </si>
  <si>
    <t>Астраханский ГПЗ (ПБТ/ПБА)</t>
  </si>
  <si>
    <t xml:space="preserve"> Оренбургский ГХК (ПБТ/ПБА)</t>
  </si>
  <si>
    <t>2_100332216+0+2_100332218+0+2_100335146</t>
  </si>
  <si>
    <t>2_100332216+0</t>
  </si>
  <si>
    <t>в т.ч. ПБТ/ПБА</t>
  </si>
  <si>
    <t>2_100332216</t>
  </si>
  <si>
    <t>бутан</t>
  </si>
  <si>
    <t>2_100332218+0</t>
  </si>
  <si>
    <t>2_100332218</t>
  </si>
  <si>
    <t>2_100335146</t>
  </si>
  <si>
    <t xml:space="preserve">   Сосногорский ГПЗ (ПБТ/ПБА)</t>
  </si>
  <si>
    <t>3_100332287</t>
  </si>
  <si>
    <t xml:space="preserve">   в т. ч. фракция пропановая </t>
  </si>
  <si>
    <t>4_100332910</t>
  </si>
  <si>
    <t>ПБТ/ПБА</t>
  </si>
  <si>
    <t>4_100335420</t>
  </si>
  <si>
    <t xml:space="preserve">   в т.ч. ПБТ</t>
  </si>
  <si>
    <t>4_100332911</t>
  </si>
  <si>
    <t>пропан</t>
  </si>
  <si>
    <t>4_100332912</t>
  </si>
  <si>
    <t xml:space="preserve">              бутан</t>
  </si>
  <si>
    <t>4_100332913</t>
  </si>
  <si>
    <t xml:space="preserve">   в т.ч. пропан</t>
  </si>
  <si>
    <t>14_100332363</t>
  </si>
  <si>
    <t>14_100332364</t>
  </si>
  <si>
    <t>ПБТ</t>
  </si>
  <si>
    <t>14_100332365</t>
  </si>
  <si>
    <t>Газпром добыча Иркутск (ПБТ)</t>
  </si>
  <si>
    <t>в т.ч. Ковыктинское ГКМ</t>
  </si>
  <si>
    <t>2_100332221+2_100332223+2_100332224+7_100330609+2_100332226+3_100332288</t>
  </si>
  <si>
    <t>2_100332221+2_100332223+2_100332224</t>
  </si>
  <si>
    <t>2_100332221</t>
  </si>
  <si>
    <t xml:space="preserve"> в т.ч. собственная потребность ГПП</t>
  </si>
  <si>
    <t>2_100332222</t>
  </si>
  <si>
    <t xml:space="preserve"> собственная потребность ГДО</t>
  </si>
  <si>
    <t>2_100332223</t>
  </si>
  <si>
    <t>2_100332224</t>
  </si>
  <si>
    <t xml:space="preserve">              фракция пропан-бутановая</t>
  </si>
  <si>
    <t>2_100332226</t>
  </si>
  <si>
    <t>3_100332288</t>
  </si>
  <si>
    <t>7. Углеводородная фракция / ПГФ - всего</t>
  </si>
  <si>
    <t>2_100332234+2_100332235+2_100335150+4_100331904+14_100332366+14_100335088</t>
  </si>
  <si>
    <t>2_100332234+2_100332235+2_100335150+4_100331904</t>
  </si>
  <si>
    <t>2_100332234+2_100332235+2_100335150</t>
  </si>
  <si>
    <t xml:space="preserve">   Сургутский ЗСК</t>
  </si>
  <si>
    <t>4_100331904</t>
  </si>
  <si>
    <t>14_100332366+14_100335088</t>
  </si>
  <si>
    <t>2_100332234+2_100332235+2_100335150+4_100331904+14_100332366</t>
  </si>
  <si>
    <t>2_100332234</t>
  </si>
  <si>
    <t>2_100332235</t>
  </si>
  <si>
    <t>2_100335150</t>
  </si>
  <si>
    <t>Сургутский ЗСК</t>
  </si>
  <si>
    <t>14_100332366</t>
  </si>
  <si>
    <t>14_100335088</t>
  </si>
  <si>
    <t>проверка ШФЛУ (Оренбург)</t>
  </si>
  <si>
    <t>2_100332211+2_100332212+2_100335145-2_100330955+2_100330956+2_100335148-2_100332234+2_100332235+2_100335150</t>
  </si>
  <si>
    <t xml:space="preserve">8. Стабильный газовый конденсат </t>
  </si>
  <si>
    <t>и нефть-всего</t>
  </si>
  <si>
    <t>1_100332014+2_100332266+2_100332267+2_100335669+2_100332269+2_100332271+2_100332959+2_100332273+3_100330098+3_100330582+4_100331927+4_100331928+4_100335100+4_100331929+9_100330684+9_100330879+7_100330626+7_100330593+7_100330591+12_100335331+0+13_100330880+0+8_100333681+8_100335156+8_100335917+8_100335916+8_100335911+10_100335094+10_100335047+10_100330725+10_100330862+10_100336142+11_100330100+15_100335852+15_100335474+0+0</t>
  </si>
  <si>
    <t>1_100332014+2_100332266+2_100332267+2_100335669+2_100332269+2_100332271+2_100332959+2_100332273+3_100330098+3_100330582+4_100331927+4_100331928+4_100335100+4_100331929</t>
  </si>
  <si>
    <t>1_100332014</t>
  </si>
  <si>
    <t>2_100332266+2_100332267+2_100335669+2_100332269+2_100332271+2_100332959+2_100332273</t>
  </si>
  <si>
    <t>3_100330098+3_100330582</t>
  </si>
  <si>
    <t>4_100331927+4_100331928+4_100335100</t>
  </si>
  <si>
    <t>4_100331929</t>
  </si>
  <si>
    <t>0+8_100333681+8_100335156+8_100335917+8_100335916+8_100335911</t>
  </si>
  <si>
    <t>9_100330684+9_100330879</t>
  </si>
  <si>
    <t xml:space="preserve">     в т. ч. НГКС</t>
  </si>
  <si>
    <t>9_100330684</t>
  </si>
  <si>
    <t>7_100330626+7_100330593+7_100330591</t>
  </si>
  <si>
    <t>12_100335331+0</t>
  </si>
  <si>
    <t>13_100330880</t>
  </si>
  <si>
    <t>10_100335094+10_100335047+10_100330725+10_100330862+10_100336142</t>
  </si>
  <si>
    <t>11_100330100</t>
  </si>
  <si>
    <t>15_100335852+15_100335474</t>
  </si>
  <si>
    <t>Газпром трансгаз Санкт-Петербург*</t>
  </si>
  <si>
    <t>Газпром трансгаз Краснодар*</t>
  </si>
  <si>
    <t>8.1. Газпром</t>
  </si>
  <si>
    <t>2_100332266+2_100332267+2_100335669+3_100330098+4_100331927+4_100331928+4_100335100+4_100331929+1_100332014+0+12_100335331+0+13_100330880+10_100335094+10_100335047+15_100335852+15_100335474+0+0</t>
  </si>
  <si>
    <t>2_100332266+2_100332267+2_100335669+3_100330098+4_100331927+4_100331928+4_100335100+4_100331929+1_100332014</t>
  </si>
  <si>
    <t>2_100332266+2_100332267+2_100335669</t>
  </si>
  <si>
    <t>2_100332266</t>
  </si>
  <si>
    <t>2_100332267</t>
  </si>
  <si>
    <t>2_100335669</t>
  </si>
  <si>
    <t>3_100330098</t>
  </si>
  <si>
    <t>от переработки на УДК/УСК</t>
  </si>
  <si>
    <t>4_100331927</t>
  </si>
  <si>
    <t>от переработки на УСК-2</t>
  </si>
  <si>
    <t>4_100331928</t>
  </si>
  <si>
    <t>нефть с НПС</t>
  </si>
  <si>
    <t>4_100335100</t>
  </si>
  <si>
    <t>нефть</t>
  </si>
  <si>
    <t>12_100335331</t>
  </si>
  <si>
    <t>конденсат (Киринское ГКМ)</t>
  </si>
  <si>
    <t>10_100335094+10_100335047</t>
  </si>
  <si>
    <t>конденсат (Чаяндинское НГКМ)</t>
  </si>
  <si>
    <t>10_100335094</t>
  </si>
  <si>
    <t>нефть (Чаяндинское НГКМ)</t>
  </si>
  <si>
    <t>10_100335047</t>
  </si>
  <si>
    <t>в т.ч. собственные нужды</t>
  </si>
  <si>
    <t>10_100335048</t>
  </si>
  <si>
    <t>8.2. Дочерние общества</t>
  </si>
  <si>
    <t>2_100332269+2_100332271+2_100332959+9_100330684+9_100330879+7_100330626+7_100330593+7_100330591+2_100332273+8_100333681+8_100335156+8_100335917+8_100335916+8_100335911+10_100330725+10_100330862+10_100336142+11_100330100+3_100330582</t>
  </si>
  <si>
    <t>2_100332269+2_100332271+2_100332959</t>
  </si>
  <si>
    <t>2_100332269</t>
  </si>
  <si>
    <t>2_100332270</t>
  </si>
  <si>
    <t>2_100332271</t>
  </si>
  <si>
    <t>2_100332959</t>
  </si>
  <si>
    <t>8_100333681+8_100335156+8_100335917+8_100335916+8_100335911</t>
  </si>
  <si>
    <t xml:space="preserve">               нефть (Уренгойское НГКМ)</t>
  </si>
  <si>
    <t>8_100333681+8_100335156</t>
  </si>
  <si>
    <t xml:space="preserve">стаб. газ. конденсат, нефть ДРОД </t>
  </si>
  <si>
    <t>8_100335917+8_100335916+8_100335911</t>
  </si>
  <si>
    <t>стаб. газовый конденсат</t>
  </si>
  <si>
    <t>9_100330879</t>
  </si>
  <si>
    <t>стаб. газовый конденсат (Заполярное НГКМ, Ямбургское НГКМ)</t>
  </si>
  <si>
    <t>7_100330626</t>
  </si>
  <si>
    <t>нефть (Заполярное НГКМ, Ямбургское НГКМ)</t>
  </si>
  <si>
    <t>2_100332273</t>
  </si>
  <si>
    <t>10_100330725+10_100330862+10_100336142</t>
  </si>
  <si>
    <t>10_100330725</t>
  </si>
  <si>
    <t>нефть (Западно-Таркосалинское НГКМ)</t>
  </si>
  <si>
    <t>НГКС (Тас-Юряхское НГКМ)</t>
  </si>
  <si>
    <t>10_100336142</t>
  </si>
  <si>
    <t>в т.ч. Медвежье НКГМ</t>
  </si>
  <si>
    <t>11_100330702</t>
  </si>
  <si>
    <t>в т.ч. Юбилейное НГКМ</t>
  </si>
  <si>
    <t>11_100330703</t>
  </si>
  <si>
    <t>11_100330704</t>
  </si>
  <si>
    <t>в т.ч. Харасавейское ГКМ</t>
  </si>
  <si>
    <t>11_100333688</t>
  </si>
  <si>
    <t>3_100330582</t>
  </si>
  <si>
    <t>9. Стабильный газовый конденсат и нефть</t>
  </si>
  <si>
    <t xml:space="preserve">    товарные-всего</t>
  </si>
  <si>
    <t>1_100332012+0+2_100332255+2_100332271+2_100332267+2_100332959+2_100335669+2_100332273+3_100330098+3_100330582+4_100331921+4_100331924+4_100331922+4_100331925+9_100330683+9_100335068+7_100330590+7_100330592+7_100330601+7_100330593+7_100330591+12_100330867+12_100336113+12_100330737+13_100330880+0+8_100335917+8_100335916+8_100335911+8_100333681+10_100335045+10_100330725+10_100330862+10_100336142+11_100330100+15_100335852+15_100335474+0+0</t>
  </si>
  <si>
    <t>1_100332012+0+2_100332255+2_100332271+2_100332267+2_100332959+2_100335669+2_100332273+3_100330098+3_100330582+4_100331921+4_100331924+4_100331922+4_100331925</t>
  </si>
  <si>
    <t>1_100332012+0</t>
  </si>
  <si>
    <t>Проверка  вал = товар+перв перер.</t>
  </si>
  <si>
    <t>1_100332012+0+0+1_100332016-1_100332014</t>
  </si>
  <si>
    <t>2_100332255+2_100332271+2_100332267+2_100332959+2_100335669+2_100332273</t>
  </si>
  <si>
    <t>4_100331921+4_100331924</t>
  </si>
  <si>
    <t>4_100331922+4_100331925</t>
  </si>
  <si>
    <t>0+8_100335917+8_100335916+8_100335911+8_100333681</t>
  </si>
  <si>
    <t>9_100330683+9_100335068</t>
  </si>
  <si>
    <t>9_100330683</t>
  </si>
  <si>
    <t>9_100335068</t>
  </si>
  <si>
    <t>7_100330590+7_100330592+7_100330601+7_100330593+7_100330591</t>
  </si>
  <si>
    <t>7_100330590+7_100330592+7_100330601+7_100330593+7_100330591+7_100330629-7_100330626+7_100330593+7_100330591</t>
  </si>
  <si>
    <t>12_100330867+12_100336113+12_100330737</t>
  </si>
  <si>
    <t>10_100335045+10_100330725+10_100330862+10_100336142</t>
  </si>
  <si>
    <t>9.1. Газпром</t>
  </si>
  <si>
    <t>1_100332012+2_100332255+2_100332271+2_100332267+2_100332959+2_100335669+3_100330098+4_100331921+4_100331924+4_100331922+4_100331925+0+12_100330867+12_100336113+12_100330737+13_100330880+7_100330590+7_100330592+10_100335045+15_100335852+15_100335474+0+0</t>
  </si>
  <si>
    <t>1_100332012+2_100332255+2_100332271+2_100332267+2_100332959+2_100335669+3_100330098+4_100331921+4_100331924+4_100331922+4_100331925</t>
  </si>
  <si>
    <t>1_100332012</t>
  </si>
  <si>
    <t>отгрузка с учетом изменения остатков</t>
  </si>
  <si>
    <t>1_100332013</t>
  </si>
  <si>
    <t>2_100332255+2_100332271+2_100332267+2_100332959+2_100335669</t>
  </si>
  <si>
    <t>2_100332255</t>
  </si>
  <si>
    <t>2_100332271+2_100332267</t>
  </si>
  <si>
    <t>2_100332959+2_100335669</t>
  </si>
  <si>
    <t>от переработки на УДК</t>
  </si>
  <si>
    <t>4_100331921</t>
  </si>
  <si>
    <t>4_100331924</t>
  </si>
  <si>
    <t>СК</t>
  </si>
  <si>
    <t>12_100336107+12_100336110+12_100336164+12_100330737</t>
  </si>
  <si>
    <t>в т.ч. на стн Газпром добыча Иркутск</t>
  </si>
  <si>
    <t>12_100330737</t>
  </si>
  <si>
    <t>СК (нефть)</t>
  </si>
  <si>
    <t>12_100336112</t>
  </si>
  <si>
    <t>в т.ч. нефть покупка</t>
  </si>
  <si>
    <t>12_100336113</t>
  </si>
  <si>
    <t>Газпром добыча Ямбург</t>
  </si>
  <si>
    <t>7_100330590+7_100330592</t>
  </si>
  <si>
    <t>10_100335045</t>
  </si>
  <si>
    <t>конденсат, нефть (Чаяндинское НГКМ)</t>
  </si>
  <si>
    <t>9.2. Дочерние общества</t>
  </si>
  <si>
    <t>9_100330683+9_100335068+7_100330601+7_100330593+7_100330591+0+8_100335917+8_100335916+8_100335911+8_100333681+2_100332273+11_100330100+10_100330725+10_100330862+10_100336142+3_100330582</t>
  </si>
  <si>
    <t>8_100335917+8_100335916+8_100335911+8_100333681</t>
  </si>
  <si>
    <t>7_100330601+7_100330593+7_100330591</t>
  </si>
  <si>
    <t>7_100330601</t>
  </si>
  <si>
    <t>конденсат (Камчатское ГПУ -Кшукское ГКМ, Нижне-Квакчикское ГКМ)</t>
  </si>
  <si>
    <t>10. Бензин автомобильный-всего</t>
  </si>
  <si>
    <t>1_100332018+1_100332019+1_100335688+0+0+4_100331906+4_100331907</t>
  </si>
  <si>
    <t>1_100332018+1_100332019+1_100335688+0+0</t>
  </si>
  <si>
    <t>4_100331906+4_100331907</t>
  </si>
  <si>
    <t>10.1. Газпром</t>
  </si>
  <si>
    <t>1_100332018+1_100332019+1_100335688+4_100331906+4_100331907</t>
  </si>
  <si>
    <t>1_100332018+1_100332019+1_100335688</t>
  </si>
  <si>
    <t>ОЧ-80</t>
  </si>
  <si>
    <t>1_100335688</t>
  </si>
  <si>
    <t>ОЧ-92</t>
  </si>
  <si>
    <t>1_100332018</t>
  </si>
  <si>
    <t xml:space="preserve">   ОЧ-95</t>
  </si>
  <si>
    <t>1_100332019</t>
  </si>
  <si>
    <t xml:space="preserve"> ОЧ-92</t>
  </si>
  <si>
    <t>4_100331906</t>
  </si>
  <si>
    <t>4_100331907</t>
  </si>
  <si>
    <t>10.2. Дочерние общества</t>
  </si>
  <si>
    <t>0+0</t>
  </si>
  <si>
    <t>ОЧ-95</t>
  </si>
  <si>
    <t>11. Топливо для реактивных двигателей</t>
  </si>
  <si>
    <t xml:space="preserve"> марки ТС-1-всего</t>
  </si>
  <si>
    <t>4_100331909+4_100331910</t>
  </si>
  <si>
    <t xml:space="preserve">               Уренгойский ЗПКТ</t>
  </si>
  <si>
    <t>4_100331909</t>
  </si>
  <si>
    <t>4_100331910</t>
  </si>
  <si>
    <t>11.1. Газпром</t>
  </si>
  <si>
    <t>11.2. Дочерние общества</t>
  </si>
  <si>
    <t>12. Дизельное топливо-всего</t>
  </si>
  <si>
    <t>1_100332023+0+4_100331912+4_100331913+7_100330605</t>
  </si>
  <si>
    <t>1_100332023+0+4_100331912+4_100331913</t>
  </si>
  <si>
    <t>1_100332023+0</t>
  </si>
  <si>
    <t>4_100331912</t>
  </si>
  <si>
    <t>4_100331913</t>
  </si>
  <si>
    <t>7_100330605</t>
  </si>
  <si>
    <t>12.1. Газпром</t>
  </si>
  <si>
    <t>1_100332023+4_100331912+4_100331913</t>
  </si>
  <si>
    <t>1_100332023</t>
  </si>
  <si>
    <t>12.2. Дочерние общества</t>
  </si>
  <si>
    <t>0+7_100330605</t>
  </si>
  <si>
    <t>13. Мазут - всего</t>
  </si>
  <si>
    <t>1_100332024</t>
  </si>
  <si>
    <t>13.1. Газпром</t>
  </si>
  <si>
    <t>13.2. Дочерние общества</t>
  </si>
  <si>
    <t xml:space="preserve"> 14. Дистиллят газового конденсата легкий - всего  </t>
  </si>
  <si>
    <t>1_100332020+0+4_100331916+0+4_100331917</t>
  </si>
  <si>
    <t>1_100332020+0</t>
  </si>
  <si>
    <t>4_100331916+0</t>
  </si>
  <si>
    <t>4_100331917</t>
  </si>
  <si>
    <t>14.1. Газпром</t>
  </si>
  <si>
    <t>1_100332020+4_100331916+4_100331917</t>
  </si>
  <si>
    <t>1_100332020</t>
  </si>
  <si>
    <t>4_100331916</t>
  </si>
  <si>
    <t xml:space="preserve">               Сургутский ЗСК</t>
  </si>
  <si>
    <t>14.2. Дочерние общества</t>
  </si>
  <si>
    <t xml:space="preserve">   Газпром добыча Уренгой</t>
  </si>
  <si>
    <t>15. Дистиллят газового конденсата средний - всего</t>
  </si>
  <si>
    <t>1_100332021+0</t>
  </si>
  <si>
    <t>15.1. Газпром</t>
  </si>
  <si>
    <t>1_100332021</t>
  </si>
  <si>
    <t>15.2.  Дочерние общества</t>
  </si>
  <si>
    <t>16. Дистиллят газового конденсата тяжелый - всего</t>
  </si>
  <si>
    <t>1_100332022+0</t>
  </si>
  <si>
    <t>16.1. Газпром</t>
  </si>
  <si>
    <t>1_100332022</t>
  </si>
  <si>
    <t>16.2.  Дочерние общества</t>
  </si>
  <si>
    <t>17. Этановая фракция-всего</t>
  </si>
  <si>
    <t>2_100332242+2_100332243+2_100335151+14_100332362</t>
  </si>
  <si>
    <t>2_100332242+2_100332243+2_100335151</t>
  </si>
  <si>
    <t>14_100332362</t>
  </si>
  <si>
    <t>17.1. Газпром</t>
  </si>
  <si>
    <t>17.2. Дочерние общества</t>
  </si>
  <si>
    <t>2_100332242</t>
  </si>
  <si>
    <t>2_100332243</t>
  </si>
  <si>
    <t>2_100335151</t>
  </si>
  <si>
    <t>18. Гелий-всего</t>
  </si>
  <si>
    <t>2_100332248+2_100332250+14_100332361+14_100335082</t>
  </si>
  <si>
    <t>тыс. куб.м.</t>
  </si>
  <si>
    <t>14_100332360+2_100335422+2_100332251+14_100335083</t>
  </si>
  <si>
    <t>тонн</t>
  </si>
  <si>
    <t>2_100332248+2_100332250</t>
  </si>
  <si>
    <t>2_100335422+2_100332251</t>
  </si>
  <si>
    <t>14_100332361+14_100335082</t>
  </si>
  <si>
    <t xml:space="preserve"> Амурский ГПЗ </t>
  </si>
  <si>
    <t>14_100332360+14_100335083</t>
  </si>
  <si>
    <t>18.1. Газпром</t>
  </si>
  <si>
    <t>14_100332361</t>
  </si>
  <si>
    <t>жидкий</t>
  </si>
  <si>
    <t>14_100332360</t>
  </si>
  <si>
    <t>18.2. Дочерние общества</t>
  </si>
  <si>
    <t>2_100332248+2_100332250+14_100335082</t>
  </si>
  <si>
    <t>в т.ч. газообразный</t>
  </si>
  <si>
    <t>2_100332248</t>
  </si>
  <si>
    <t>2_100335422</t>
  </si>
  <si>
    <t>в т.ч. собственная потребность ГПП</t>
  </si>
  <si>
    <t>2_100332249</t>
  </si>
  <si>
    <t>2_100332250</t>
  </si>
  <si>
    <t>2_100332251</t>
  </si>
  <si>
    <t>14_100335082</t>
  </si>
  <si>
    <t>14_100335083</t>
  </si>
  <si>
    <t>19. Одорант-всего</t>
  </si>
  <si>
    <t>2_100332239</t>
  </si>
  <si>
    <t>19.1 Газпром</t>
  </si>
  <si>
    <t>19.2. Дочерние общества</t>
  </si>
  <si>
    <t>20. Техуглерод-всего</t>
  </si>
  <si>
    <t>3_100330580+3_100330581</t>
  </si>
  <si>
    <t>20.1. Газпром</t>
  </si>
  <si>
    <t xml:space="preserve">   в т.ч. турбулентный (П-701)</t>
  </si>
  <si>
    <t>3_100330580</t>
  </si>
  <si>
    <t xml:space="preserve">   термический (Т-900)</t>
  </si>
  <si>
    <t>3_100330581</t>
  </si>
  <si>
    <t>20.2. Дочерние общества</t>
  </si>
  <si>
    <t>21. Газ стабилизации на собств. нужды-всего</t>
  </si>
  <si>
    <t>1_100332026</t>
  </si>
  <si>
    <t>1_100332025</t>
  </si>
  <si>
    <t>21.1. Газпром</t>
  </si>
  <si>
    <t>21.2.  Дочерние общества</t>
  </si>
  <si>
    <t>22. Топливный газ-всего</t>
  </si>
  <si>
    <t>2_100332171+2_100332173+2_100332177+2_100332179+2_100335141+14_100332368+14_100335465</t>
  </si>
  <si>
    <t>2_100332170+2_100332172+2_100332176+2_100332178+2_100335140+14_100332367+14_100335464</t>
  </si>
  <si>
    <t>2_100332171+2_100332173+2_100332177+2_100332179+2_100335141</t>
  </si>
  <si>
    <t>2_100332170+2_100332172+2_100332176+2_100332178+2_100335140</t>
  </si>
  <si>
    <t>14_100332368+14_100335465</t>
  </si>
  <si>
    <t>14_100332367+14_100335464</t>
  </si>
  <si>
    <t>22.1. Газпром</t>
  </si>
  <si>
    <t>2_100332171+2_100332173+14_100332368</t>
  </si>
  <si>
    <t>2_100332170+2_100332172+14_100332367</t>
  </si>
  <si>
    <t>2_100332171+2_100332173</t>
  </si>
  <si>
    <t>2_100332170+2_100332172</t>
  </si>
  <si>
    <t>2_100332171</t>
  </si>
  <si>
    <t>2_100332170</t>
  </si>
  <si>
    <t>2_100332173</t>
  </si>
  <si>
    <t>2_100332172</t>
  </si>
  <si>
    <t>14_100332368</t>
  </si>
  <si>
    <t>14_100332367</t>
  </si>
  <si>
    <t>22.2 Дочерние общества</t>
  </si>
  <si>
    <t>2_100332177+2_100332179+2_100335141+14_100335465</t>
  </si>
  <si>
    <t>2_100332176+2_100332178+2_100335140+14_100335464</t>
  </si>
  <si>
    <t>2_100332177+2_100332179+2_100335141</t>
  </si>
  <si>
    <t>2_100332176+2_100332178+2_100335140</t>
  </si>
  <si>
    <t>2_100332177</t>
  </si>
  <si>
    <t>2_100332176</t>
  </si>
  <si>
    <t>2_100332179</t>
  </si>
  <si>
    <t>2_100332178</t>
  </si>
  <si>
    <t>2_100335141</t>
  </si>
  <si>
    <t>2_100335140</t>
  </si>
  <si>
    <t>14_100335465</t>
  </si>
  <si>
    <t>14_100335464</t>
  </si>
  <si>
    <t>23. Газ сбросной технологическийн на собств. нужды-всего</t>
  </si>
  <si>
    <t>4_100331879</t>
  </si>
  <si>
    <t>4_100331878</t>
  </si>
  <si>
    <t xml:space="preserve"> Сургутский ЗСК</t>
  </si>
  <si>
    <t>23.1. Газпром</t>
  </si>
  <si>
    <t>23.2. Дочерние общества</t>
  </si>
  <si>
    <t>24. Газ деэтанизации и стабилизации-всего</t>
  </si>
  <si>
    <t>7_100330612+10_100330726+0+12_100330680+13_100330680+0</t>
  </si>
  <si>
    <t>7_100330611+10_100330727+0+12_100330679+13_100335781+0</t>
  </si>
  <si>
    <t>7_100330612</t>
  </si>
  <si>
    <t>7_100330611</t>
  </si>
  <si>
    <t>10_100330726+0</t>
  </si>
  <si>
    <t>10_100330727+0</t>
  </si>
  <si>
    <t>12_100330680</t>
  </si>
  <si>
    <t>12_100330679</t>
  </si>
  <si>
    <t>13_100330680</t>
  </si>
  <si>
    <t>13_100335781</t>
  </si>
  <si>
    <t>24.1. Газпром</t>
  </si>
  <si>
    <t>10_100330726+12_100330680+13_100330680</t>
  </si>
  <si>
    <t>10_100330727+12_100330679+13_100335781</t>
  </si>
  <si>
    <t>10_100330726</t>
  </si>
  <si>
    <t>10_100330727</t>
  </si>
  <si>
    <t>24.2. Дочерние общества</t>
  </si>
  <si>
    <t>7_100330612+0+0</t>
  </si>
  <si>
    <t>7_100330611+0+0</t>
  </si>
  <si>
    <t>Газпром добыча Ноябрьск (ДРОД )</t>
  </si>
  <si>
    <t>Газпром добыча Уренгой (ДРОД )</t>
  </si>
  <si>
    <t>25. Метанол - всего</t>
  </si>
  <si>
    <t>4_100335444/1000+0+4_100335445/1000+3_100335432/1000</t>
  </si>
  <si>
    <t>4_100335444/1000+0</t>
  </si>
  <si>
    <t>4_100335445/1000</t>
  </si>
  <si>
    <t>3_100335432/1000</t>
  </si>
  <si>
    <t>25.1. Газпром</t>
  </si>
  <si>
    <t>4_100335444/1000+4_100335445/1000+3_100335432/1000</t>
  </si>
  <si>
    <t>4_100335444/1000</t>
  </si>
  <si>
    <t>25.2. Дочерние общества</t>
  </si>
  <si>
    <t>Газпро добыча Уренгой</t>
  </si>
  <si>
    <t>26. Вода подтоварная - всего</t>
  </si>
  <si>
    <t>26.1. Газпром</t>
  </si>
  <si>
    <t>26.2. Дочерние общества</t>
  </si>
  <si>
    <t>Справочно:</t>
  </si>
  <si>
    <t>Нефть</t>
  </si>
  <si>
    <t>Поставка от добычи Газпром нефть (Царичанское НМ)</t>
  </si>
  <si>
    <t>6_100332312</t>
  </si>
  <si>
    <t>(транспортировка, собственность Газпром нефтехим Салават )</t>
  </si>
  <si>
    <t>Метанол с УУПВ*</t>
  </si>
  <si>
    <t xml:space="preserve"> * данные показатели принимаются по факту и используются при формировании договоров</t>
  </si>
  <si>
    <t xml:space="preserve">Раздел 2. Прогнозные показатели по переработке углеводородного сырья и </t>
  </si>
  <si>
    <t>производству продукции других дочерних обществ</t>
  </si>
  <si>
    <t xml:space="preserve">ООО "Газпром СПГ Портовая" </t>
  </si>
  <si>
    <t>1. Переработка газа</t>
  </si>
  <si>
    <t>млн куб. м</t>
  </si>
  <si>
    <t>1. СПГ</t>
  </si>
  <si>
    <t>1. Стабильный газовый конденсат товарный</t>
  </si>
  <si>
    <t>15_100330867-15_100335852</t>
  </si>
  <si>
    <t xml:space="preserve">ООО "Сахалинская Энергия" </t>
  </si>
  <si>
    <t>2. Переработка нестабильного  газового конденсата и нефти</t>
  </si>
  <si>
    <t>2.1. Газовый конденсат-всего</t>
  </si>
  <si>
    <t>2.2. Нефть-всего</t>
  </si>
  <si>
    <t>1. Стабильный газовый конденсат и нефть - товарные</t>
  </si>
  <si>
    <t>Сахалинская Энергия '!K23+'Сахалинская Энергия '!K24</t>
  </si>
  <si>
    <t>1.1 Стабильный газовый конденсат всего</t>
  </si>
  <si>
    <t>Сахалинская Энергия '!K23+'Сахалинская Энергия '!K24-153.5</t>
  </si>
  <si>
    <t>в т.ч. СК от выработки СПГ</t>
  </si>
  <si>
    <t>Сахалинская Энергия '!K23</t>
  </si>
  <si>
    <t>1.2 Нефть</t>
  </si>
  <si>
    <t>ГРУППА ВОСТОКГАЗПРОМ</t>
  </si>
  <si>
    <t xml:space="preserve">ПЕРЕРАБОТКА СЫРЬЯ </t>
  </si>
  <si>
    <t>16_100336330</t>
  </si>
  <si>
    <t>тыс.т.</t>
  </si>
  <si>
    <t>Переработка УВС от добычи АО "Газпром добыча Томск" всего:</t>
  </si>
  <si>
    <t>16_100336331</t>
  </si>
  <si>
    <t>Попутный нефтяной газ</t>
  </si>
  <si>
    <t>16_100332340</t>
  </si>
  <si>
    <t>16_100330742</t>
  </si>
  <si>
    <t>млн куб.м</t>
  </si>
  <si>
    <t>Нестабильный газовый конденсат</t>
  </si>
  <si>
    <t>16_100330865</t>
  </si>
  <si>
    <t>в т.ч. нестабильный газовый конденсат из СОГ</t>
  </si>
  <si>
    <t>16_100337098</t>
  </si>
  <si>
    <t>16_100336332</t>
  </si>
  <si>
    <t>в т.ч. нефть из ПНГ</t>
  </si>
  <si>
    <t>16_100336333</t>
  </si>
  <si>
    <t>Справочно: СОГ на доппереработку с Казанского НГКМ на Мыльджинское НГКМ</t>
  </si>
  <si>
    <t>16_100336369</t>
  </si>
  <si>
    <t>16_100336370</t>
  </si>
  <si>
    <t>Покупка сырья  ПАО "Газпром нефть"</t>
  </si>
  <si>
    <t>16_100332993</t>
  </si>
  <si>
    <t>16_100332994</t>
  </si>
  <si>
    <t>16_100336365</t>
  </si>
  <si>
    <t>16_100336366</t>
  </si>
  <si>
    <t>Прием сырья на процессинг от ПАО "Газпром нефть"</t>
  </si>
  <si>
    <t>16_100332341</t>
  </si>
  <si>
    <t>16_100330743</t>
  </si>
  <si>
    <t>16_100336367</t>
  </si>
  <si>
    <t>16_100336368</t>
  </si>
  <si>
    <t>Технологические нужды</t>
  </si>
  <si>
    <t>16_100336334</t>
  </si>
  <si>
    <t>Потери при хранении в РВС</t>
  </si>
  <si>
    <t>16_100336335</t>
  </si>
  <si>
    <t>СТН газа</t>
  </si>
  <si>
    <t>16_100336336</t>
  </si>
  <si>
    <t>16_100336337</t>
  </si>
  <si>
    <t xml:space="preserve">ПРОДУКЦИЯ </t>
  </si>
  <si>
    <t>16_100330049</t>
  </si>
  <si>
    <t>Стабильный конденсат и нефть, всего:</t>
  </si>
  <si>
    <t>16_100330745</t>
  </si>
  <si>
    <t>нефть  АО "Газпром добыча Томск"</t>
  </si>
  <si>
    <t>16_100336338</t>
  </si>
  <si>
    <t>стабильный конденсат АО "Газпром добыча Томск"</t>
  </si>
  <si>
    <t>16_100330746</t>
  </si>
  <si>
    <t>в т.ч. из сырья ПАО "Газпром нефть" (покупка газа)</t>
  </si>
  <si>
    <t>16_100332995</t>
  </si>
  <si>
    <t>в т.ч. из сырья ПАО "Газпром нефть" (переработка газа)</t>
  </si>
  <si>
    <t>16_100332899</t>
  </si>
  <si>
    <t>Стабильный конденсат и нефть, товарные
 (собст. АО "Газпром добыча Томск")</t>
  </si>
  <si>
    <t>16_100330747</t>
  </si>
  <si>
    <t>16_100336339</t>
  </si>
  <si>
    <t>16_100336340</t>
  </si>
  <si>
    <t>16_100332996</t>
  </si>
  <si>
    <t>16_100332900</t>
  </si>
  <si>
    <t xml:space="preserve">ШФЛУ валовая </t>
  </si>
  <si>
    <t>16_100332901</t>
  </si>
  <si>
    <t>16_100336342</t>
  </si>
  <si>
    <t xml:space="preserve">   в т.ч. из НГК</t>
  </si>
  <si>
    <t>16_100336343</t>
  </si>
  <si>
    <t>16_100336344</t>
  </si>
  <si>
    <t xml:space="preserve">   в т.ч. из ПНГ</t>
  </si>
  <si>
    <t>16_100336345</t>
  </si>
  <si>
    <t>16_100336346</t>
  </si>
  <si>
    <t>в т.ч из сырья ПАО "Газпром нефть" (покупка газа)</t>
  </si>
  <si>
    <t>16_100332997</t>
  </si>
  <si>
    <t>16_100336348</t>
  </si>
  <si>
    <t>16_100332902</t>
  </si>
  <si>
    <t>16_100336347</t>
  </si>
  <si>
    <t>ШФЛУ, товарная в газопровод 
(собст. АО "Газпром добыча Томск")</t>
  </si>
  <si>
    <t>16_100332904</t>
  </si>
  <si>
    <t>16_100332905</t>
  </si>
  <si>
    <t>16_100336349</t>
  </si>
  <si>
    <t>16_100336350</t>
  </si>
  <si>
    <t>16_100336351</t>
  </si>
  <si>
    <t>16_100336352</t>
  </si>
  <si>
    <t>16_100332999</t>
  </si>
  <si>
    <t>16_100333000</t>
  </si>
  <si>
    <t>16_100332934</t>
  </si>
  <si>
    <t>16_100332935</t>
  </si>
  <si>
    <t>Расход ШФЛУ на СТН (собст. АО "Газпром добыча Томск")</t>
  </si>
  <si>
    <t>16_100336353</t>
  </si>
  <si>
    <t>Газы углеводородные сжиженные (СПБТ) 
(собст. АО "Газпром добыча Томск")</t>
  </si>
  <si>
    <t>16_100330748</t>
  </si>
  <si>
    <t>в т.ч. из НГК</t>
  </si>
  <si>
    <t>16_100336354</t>
  </si>
  <si>
    <t>в т.ч. из ПНГ</t>
  </si>
  <si>
    <t>16_100336355</t>
  </si>
  <si>
    <t>16_100332998</t>
  </si>
  <si>
    <t>16_100332903</t>
  </si>
  <si>
    <t>Газ деэтанизации (в газопровод)</t>
  </si>
  <si>
    <t>16_100330749</t>
  </si>
  <si>
    <t>16_100330750</t>
  </si>
  <si>
    <t>собственность АО "Газпром добыча Томск"</t>
  </si>
  <si>
    <t>16_100336371</t>
  </si>
  <si>
    <t>16_100336372</t>
  </si>
  <si>
    <t>16_100336356</t>
  </si>
  <si>
    <t>16_100336357</t>
  </si>
  <si>
    <t>16_100336358</t>
  </si>
  <si>
    <t>16_100336359</t>
  </si>
  <si>
    <t>16_100333001</t>
  </si>
  <si>
    <t>16_100333002</t>
  </si>
  <si>
    <t>собственность ПАО "Газпром нефть"</t>
  </si>
  <si>
    <t>16_100336373</t>
  </si>
  <si>
    <t>16_100336374</t>
  </si>
  <si>
    <t>16_100332936</t>
  </si>
  <si>
    <t>16_100332937</t>
  </si>
  <si>
    <t>Газ горючий природный сухой отбензиненный, всего:</t>
  </si>
  <si>
    <t>16_100332342</t>
  </si>
  <si>
    <t>16_100330751</t>
  </si>
  <si>
    <t>16_100336375</t>
  </si>
  <si>
    <t>16_100336376</t>
  </si>
  <si>
    <t>16_100336360</t>
  </si>
  <si>
    <t>16_100336361</t>
  </si>
  <si>
    <t>16_100333003</t>
  </si>
  <si>
    <t>16_100333004</t>
  </si>
  <si>
    <t>16_100336377</t>
  </si>
  <si>
    <t>16_100336378</t>
  </si>
  <si>
    <t>16_100332418</t>
  </si>
  <si>
    <t>16_100330752</t>
  </si>
  <si>
    <t>1. Переработка попутного нефтяного газа-всего</t>
  </si>
  <si>
    <t>16_100330742+16_100330743+16_100332994</t>
  </si>
  <si>
    <t>от собственной добычи, 
собственность АО "Газпром добыча Томск"</t>
  </si>
  <si>
    <t>переработка газа ПАО "Газпром нефть"</t>
  </si>
  <si>
    <t>покупка у ПАО "Газпром нефть"</t>
  </si>
  <si>
    <t>2. Переработка нестабильного газового конденсата, собственность АО "Газпром добыча Томск"</t>
  </si>
  <si>
    <t>1. Стабильный газовый конденсат и нефть,  
собственность АО "Газпром добыча Томск"</t>
  </si>
  <si>
    <t>валовый</t>
  </si>
  <si>
    <t>в т.ч.:  стабильный газовый конденсат из сырья АО "Газпром добыча Томск"</t>
  </si>
  <si>
    <t>16_100330745-16_100330746</t>
  </si>
  <si>
    <t>в  т.ч. из сырья АО "Газпром добыча Томск"</t>
  </si>
  <si>
    <t>из сырья ПАО "Газпром нефть" переработка</t>
  </si>
  <si>
    <t>из сырья ПАО "Газпром нефть" покупка</t>
  </si>
  <si>
    <t>товарный</t>
  </si>
  <si>
    <t>в т.ч. из сырья АО "Газпром добыча Томск"</t>
  </si>
  <si>
    <t>16_100330747-16_100332900-16_100332996</t>
  </si>
  <si>
    <t>2. ШФЛУ валовая, 
собственность АО "Газпром добыча Томск"</t>
  </si>
  <si>
    <t>в т.ч. ШФЛУ из сырья АО "Газпром добыча Томск"</t>
  </si>
  <si>
    <t>16_100332901-16_100332902-16_100332997</t>
  </si>
  <si>
    <t>ШФЛУ из сырья ПАО "Газпром нефть" переработка</t>
  </si>
  <si>
    <t>ШФЛУ из сырья ПАО "Газпром нефть" покупка</t>
  </si>
  <si>
    <t>3. ШФЛУ в газопровод, 
собственность АО "Газпром добыча Томск"</t>
  </si>
  <si>
    <t>16_100332904-16_100332999-16_100332934</t>
  </si>
  <si>
    <t xml:space="preserve">  тыс. т.</t>
  </si>
  <si>
    <t>16_100332905-16_100333000-16_100332935</t>
  </si>
  <si>
    <t>4. Газы углеводородные сжиженные (СПБТ),  
собственность АО "Газпром добыча Томск"</t>
  </si>
  <si>
    <t>в т.ч. СПБТ из сырья АО "Газпром добыча Томск"</t>
  </si>
  <si>
    <t>16_100330748-16_100332903-16_100332998</t>
  </si>
  <si>
    <t>СПБТ из сырья ПАО "Газпром нефть" переработка</t>
  </si>
  <si>
    <t>СПБТ из сырья  ПАО "Газпром нефть" покупка</t>
  </si>
  <si>
    <t>5. Газ деэтанизации в газопровод, 
собственность АО "Газпром добыча Томск"</t>
  </si>
  <si>
    <t>в т.ч. МЭФ из сырья АО "Газпром добыча Томск"</t>
  </si>
  <si>
    <t>16_100330750-16_100332937-16_100333002</t>
  </si>
  <si>
    <t>МЭФ  из сырья  ПАО "Газпром нефть" переработка</t>
  </si>
  <si>
    <t>МЭФ из сырья   ПАО "Газпром нефть" покупка</t>
  </si>
  <si>
    <t>6. Газ горючий природный сухой отбензиненный, всего</t>
  </si>
  <si>
    <t>в т.ч. газ из сырья АО "Газпром добыча Томск", собственность 
АО "Газпром добыча Томск"</t>
  </si>
  <si>
    <t>16_100330751-16_100330752-16_100333004</t>
  </si>
  <si>
    <t>газ из сырья  ПАО "Газпром нефть" переработка, собственность ПАО "Газпром нефть"</t>
  </si>
  <si>
    <t>газ из сырья ПАО "Газпром нефть" покупка,  собственность АО "Газпром добыча Томск"</t>
  </si>
  <si>
    <t>ООО "Газпром метанол"</t>
  </si>
  <si>
    <t>Переработка природного газа 
(собственность ООО "Газпром метанол")</t>
  </si>
  <si>
    <t>16_100330740</t>
  </si>
  <si>
    <t>Метанол (собственность ООО "Газпром метанол")</t>
  </si>
  <si>
    <t>16_100330753</t>
  </si>
  <si>
    <t>Группа Газпром нефть</t>
  </si>
  <si>
    <t>Переработка сырья:</t>
  </si>
  <si>
    <t>Омский НПЗ</t>
  </si>
  <si>
    <t>18_100330758</t>
  </si>
  <si>
    <t>Московский НПЗ</t>
  </si>
  <si>
    <t>18_100330759</t>
  </si>
  <si>
    <t>Славнефть-ЯНОС</t>
  </si>
  <si>
    <t>18_100330760</t>
  </si>
  <si>
    <t>Переработка газа:</t>
  </si>
  <si>
    <t>Южно-Приобский ГПЗ</t>
  </si>
  <si>
    <t>18_100335374</t>
  </si>
  <si>
    <t>18_100330761</t>
  </si>
  <si>
    <t>18_100330762</t>
  </si>
  <si>
    <t>18_100330763</t>
  </si>
  <si>
    <t>Сухой газ:</t>
  </si>
  <si>
    <t>18_100335379</t>
  </si>
  <si>
    <t>Широкая фракция легких углеводородов:</t>
  </si>
  <si>
    <t>18_100335381</t>
  </si>
  <si>
    <t>Бензин автомобильный:</t>
  </si>
  <si>
    <t>18_100330764</t>
  </si>
  <si>
    <t>18_100330765</t>
  </si>
  <si>
    <t>18_100330766</t>
  </si>
  <si>
    <t>Бензин технологический:</t>
  </si>
  <si>
    <t>18_100330768</t>
  </si>
  <si>
    <t>18_100330769</t>
  </si>
  <si>
    <t>18_100330770</t>
  </si>
  <si>
    <t>Дизельное топливо:</t>
  </si>
  <si>
    <t>18_100330771</t>
  </si>
  <si>
    <t>18_100330772</t>
  </si>
  <si>
    <t>18_100330773</t>
  </si>
  <si>
    <t>Мазут топочный:</t>
  </si>
  <si>
    <t>18_100330775</t>
  </si>
  <si>
    <t>18_100330776</t>
  </si>
  <si>
    <t>18_100330777</t>
  </si>
  <si>
    <t>Авиакеросин:</t>
  </si>
  <si>
    <t>18_100330779</t>
  </si>
  <si>
    <t>18_100330780</t>
  </si>
  <si>
    <t>18_100330781</t>
  </si>
  <si>
    <t>Судовое топливо:</t>
  </si>
  <si>
    <t>18_100335388</t>
  </si>
  <si>
    <t>18_100335389</t>
  </si>
  <si>
    <t>18_100335390</t>
  </si>
  <si>
    <t>Масла:</t>
  </si>
  <si>
    <t>18_100335392</t>
  </si>
  <si>
    <t>18_100330783</t>
  </si>
  <si>
    <t>Газы углеводородные сжиженные:</t>
  </si>
  <si>
    <t>18_100330784</t>
  </si>
  <si>
    <t>18_100330785</t>
  </si>
  <si>
    <t>18_100330786</t>
  </si>
  <si>
    <t>Битумы:</t>
  </si>
  <si>
    <t>18_100335397</t>
  </si>
  <si>
    <t>18_100335398</t>
  </si>
  <si>
    <t>18_100335399</t>
  </si>
  <si>
    <t>Сера:</t>
  </si>
  <si>
    <t>18_100335402</t>
  </si>
  <si>
    <t>18_100335403</t>
  </si>
  <si>
    <t>18_100335404</t>
  </si>
  <si>
    <t>Прочие нефтепродукты:</t>
  </si>
  <si>
    <t>18_100330788</t>
  </si>
  <si>
    <t>18_100330789</t>
  </si>
  <si>
    <t>18_100330790</t>
  </si>
  <si>
    <t>Группа Газпром нефтехим Салават</t>
  </si>
  <si>
    <t>НЕФТЕПЕРЕРАБАТЫВАЮЩИЙ ЗАВОД (НПЗ)</t>
  </si>
  <si>
    <t>1. ПОСТАВКА (ПОКУПКА) СЫРЬЯ  
ООО "ГАЗПРОМ НЕФТЕХИМ САЛАВАТ":</t>
  </si>
  <si>
    <t>17_100335977</t>
  </si>
  <si>
    <t>1.1 Конденсат газовый стабильный</t>
  </si>
  <si>
    <t>17_100335978</t>
  </si>
  <si>
    <t>ПАО "Газпром":</t>
  </si>
  <si>
    <t>17_100335979</t>
  </si>
  <si>
    <t>17_100335980</t>
  </si>
  <si>
    <t>17_100335981</t>
  </si>
  <si>
    <t>17_100335982</t>
  </si>
  <si>
    <t>ООО "Газпром добыча Иркутск"</t>
  </si>
  <si>
    <t>17_100335983</t>
  </si>
  <si>
    <t xml:space="preserve">ПАО "НОВАТЭК" </t>
  </si>
  <si>
    <t>17_100335984</t>
  </si>
  <si>
    <t>Прочие поставщики</t>
  </si>
  <si>
    <t>17_100335985</t>
  </si>
  <si>
    <t>17_100335986</t>
  </si>
  <si>
    <t>ПАО "Газпром" (Оренбургский ГПЗ)</t>
  </si>
  <si>
    <t>17_100335987</t>
  </si>
  <si>
    <t xml:space="preserve"> Оренбургский ГПЗ</t>
  </si>
  <si>
    <t>17_100335988</t>
  </si>
  <si>
    <t>ООО "Сервиснефтегаз" (Оренбургский ГПЗ)</t>
  </si>
  <si>
    <t>17_100335989</t>
  </si>
  <si>
    <t>ТОО "КазРосГаз" (Оренбургский ГПЗ)</t>
  </si>
  <si>
    <t>17_100335990</t>
  </si>
  <si>
    <t>ООО "ГПН-Трейд Оренбург" (Оренбургский ГПЗ)</t>
  </si>
  <si>
    <t>17_100336105</t>
  </si>
  <si>
    <t>ООО "Газпром нефть Оренбург" Царичанская нефть</t>
  </si>
  <si>
    <t>17_100335991</t>
  </si>
  <si>
    <t>ПАО "Газпром нефть и пр. Западно-Сибирская нефть</t>
  </si>
  <si>
    <t>17_100335992</t>
  </si>
  <si>
    <t>17_100335993</t>
  </si>
  <si>
    <t>1.3 Мазут</t>
  </si>
  <si>
    <t>17_100335994</t>
  </si>
  <si>
    <t xml:space="preserve">        ПАО "Газпром" (Астраханский ГПЗ)</t>
  </si>
  <si>
    <t>17_100335995</t>
  </si>
  <si>
    <t>17_100335996</t>
  </si>
  <si>
    <t>1.4  Прочее углеводородное сырье (вакуумный газойль)</t>
  </si>
  <si>
    <t>17_100335997</t>
  </si>
  <si>
    <t>17_100330802</t>
  </si>
  <si>
    <t>Конденсат газовый стабильный</t>
  </si>
  <si>
    <t>17_100330804</t>
  </si>
  <si>
    <t>17_100335998</t>
  </si>
  <si>
    <t xml:space="preserve"> Астраханский ГПЗ</t>
  </si>
  <si>
    <t>17_100335999</t>
  </si>
  <si>
    <t>17_100336000</t>
  </si>
  <si>
    <t xml:space="preserve"> Сосногорский ГПЗ</t>
  </si>
  <si>
    <t>17_100336001</t>
  </si>
  <si>
    <t xml:space="preserve"> ООО "Газпром добыча Иркутск"</t>
  </si>
  <si>
    <t>17_100336002</t>
  </si>
  <si>
    <t>17_100336003</t>
  </si>
  <si>
    <t>17_100336004</t>
  </si>
  <si>
    <t>17_100330803</t>
  </si>
  <si>
    <t>17_100336005</t>
  </si>
  <si>
    <t>17_100336006</t>
  </si>
  <si>
    <t>17_100336007</t>
  </si>
  <si>
    <t>17_100336008</t>
  </si>
  <si>
    <t>17_100336106</t>
  </si>
  <si>
    <t>17_100336009</t>
  </si>
  <si>
    <t>17_100336010</t>
  </si>
  <si>
    <t>17_100336011</t>
  </si>
  <si>
    <t>Мазут</t>
  </si>
  <si>
    <t>17_100330807</t>
  </si>
  <si>
    <t>ПАО "Газпром" (Астраханский ГПЗ)</t>
  </si>
  <si>
    <t>17_100336012</t>
  </si>
  <si>
    <t>17_100336013</t>
  </si>
  <si>
    <t>Прочее углеводородное сырье (вакуумный газойль)</t>
  </si>
  <si>
    <t>17_100336014</t>
  </si>
  <si>
    <t xml:space="preserve">Продукция (сырье) с завода "Мономер" </t>
  </si>
  <si>
    <t>17_100336015</t>
  </si>
  <si>
    <t>Присадки (добавки)</t>
  </si>
  <si>
    <t>17_100336016</t>
  </si>
  <si>
    <t xml:space="preserve"> в т.ч. МТБЭ</t>
  </si>
  <si>
    <t>17_100330805</t>
  </si>
  <si>
    <t>Прочее сырье (ХОВ, природный газ)</t>
  </si>
  <si>
    <t>17_100336017</t>
  </si>
  <si>
    <t>Продукция (сырье) со склада</t>
  </si>
  <si>
    <t>17_100336018</t>
  </si>
  <si>
    <t>Бензин автомобильный (товарный)</t>
  </si>
  <si>
    <t>17_100330107</t>
  </si>
  <si>
    <t>Бензин с ОЧ 92 (К5)</t>
  </si>
  <si>
    <t>17_100331906</t>
  </si>
  <si>
    <t>Бензин с ОЧ 95 (К5)</t>
  </si>
  <si>
    <t>17_100331907</t>
  </si>
  <si>
    <t>Бензин на завод "Мономер"</t>
  </si>
  <si>
    <t>17_100336019</t>
  </si>
  <si>
    <t>Дистиллят газового конденсата легкий (товарный)</t>
  </si>
  <si>
    <t>17_100330815</t>
  </si>
  <si>
    <t>ДГКл марки А</t>
  </si>
  <si>
    <t>17_100336020</t>
  </si>
  <si>
    <t>ДГКл марки Б</t>
  </si>
  <si>
    <t>17_100336021</t>
  </si>
  <si>
    <t xml:space="preserve">Бензин технический (товарный) </t>
  </si>
  <si>
    <t>17_100335765</t>
  </si>
  <si>
    <t>ШФЛУ</t>
  </si>
  <si>
    <t>17_100330817</t>
  </si>
  <si>
    <t>в т.ч. товарная</t>
  </si>
  <si>
    <t>17_100336022</t>
  </si>
  <si>
    <t>На завод "Мономер"</t>
  </si>
  <si>
    <t>17_100336023</t>
  </si>
  <si>
    <t>Фракция изопентановая (товарная)</t>
  </si>
  <si>
    <t>17_100330944</t>
  </si>
  <si>
    <t>Дизельное топливо (товарное)</t>
  </si>
  <si>
    <t>17_100330123</t>
  </si>
  <si>
    <t>ДТ летнее</t>
  </si>
  <si>
    <t>17_100330812</t>
  </si>
  <si>
    <t>ДТ зимнее</t>
  </si>
  <si>
    <t>17_100330813</t>
  </si>
  <si>
    <t>ДТ арктическое</t>
  </si>
  <si>
    <t>17_100330814</t>
  </si>
  <si>
    <t>Газойль (товарный)</t>
  </si>
  <si>
    <t>17_100335767</t>
  </si>
  <si>
    <t>17_100337107</t>
  </si>
  <si>
    <t>17_100337108</t>
  </si>
  <si>
    <t>Топливо нефтяное АВТ</t>
  </si>
  <si>
    <t>17_100330819</t>
  </si>
  <si>
    <t>в т.ч. товарный</t>
  </si>
  <si>
    <t>17_100336024</t>
  </si>
  <si>
    <t>17_100336025</t>
  </si>
  <si>
    <t>Мазут топочный (товарный)</t>
  </si>
  <si>
    <t>17_100330822</t>
  </si>
  <si>
    <t>Сырье для битума/гудрон (товарный)</t>
  </si>
  <si>
    <t>17_100330820</t>
  </si>
  <si>
    <t>Нефтебитум дорожный (товарный)</t>
  </si>
  <si>
    <t>17_100330821</t>
  </si>
  <si>
    <t>Толуол</t>
  </si>
  <si>
    <t>17_100335766</t>
  </si>
  <si>
    <t>17_100336026</t>
  </si>
  <si>
    <t>17_100336027</t>
  </si>
  <si>
    <t>На ООО "Акрил-Салават"</t>
  </si>
  <si>
    <t>17_100336028</t>
  </si>
  <si>
    <t>Бензол</t>
  </si>
  <si>
    <t>17_100336029</t>
  </si>
  <si>
    <t>17_100336030</t>
  </si>
  <si>
    <t>Сольвент</t>
  </si>
  <si>
    <t>17_100336031</t>
  </si>
  <si>
    <t>17_100336032</t>
  </si>
  <si>
    <t>Фракция пропан-пропиленовая ККФ</t>
  </si>
  <si>
    <t>17_100335102</t>
  </si>
  <si>
    <t>17_100336033</t>
  </si>
  <si>
    <t>На завод "Мономер" (производство бутиловых спиртов)</t>
  </si>
  <si>
    <t>17_100336034</t>
  </si>
  <si>
    <t>На завод "Мономер" (производство ЭП-355)</t>
  </si>
  <si>
    <t>17_100336035</t>
  </si>
  <si>
    <t>Фракция бутан-бутиленовая ККФ</t>
  </si>
  <si>
    <t>17_100335103</t>
  </si>
  <si>
    <t>17_100336036</t>
  </si>
  <si>
    <t xml:space="preserve">На завод "Мономер" </t>
  </si>
  <si>
    <t>17_100336037</t>
  </si>
  <si>
    <t>Сероводород технический всего</t>
  </si>
  <si>
    <t>17_100336038</t>
  </si>
  <si>
    <t>в т.ч. сера (товарная)</t>
  </si>
  <si>
    <t>17_100330809</t>
  </si>
  <si>
    <t>Керосин гидроочищенный</t>
  </si>
  <si>
    <t>17_100336039</t>
  </si>
  <si>
    <t>17_100336040</t>
  </si>
  <si>
    <t>Топливо на собственные нужды</t>
  </si>
  <si>
    <t>17_100336041</t>
  </si>
  <si>
    <t>4 Продукция (сырье) переданная на склад</t>
  </si>
  <si>
    <t>17_100336042</t>
  </si>
  <si>
    <t>Потери</t>
  </si>
  <si>
    <t>17_100336043</t>
  </si>
  <si>
    <t>Материальный баланс  ПАО "Газпром"</t>
  </si>
  <si>
    <t>17_100336044</t>
  </si>
  <si>
    <t>ЗАВОД "МОНОМЕР"</t>
  </si>
  <si>
    <t>17_100336045</t>
  </si>
  <si>
    <t>1.1 Бензин</t>
  </si>
  <si>
    <t>17_100336046</t>
  </si>
  <si>
    <t>НПЗ ООО "Газпром нефтехим Салават"</t>
  </si>
  <si>
    <t>17_100336047</t>
  </si>
  <si>
    <t>1.2 ШФЛУ</t>
  </si>
  <si>
    <t>17_100330826</t>
  </si>
  <si>
    <t xml:space="preserve">        ПАО "Газпром":</t>
  </si>
  <si>
    <t>17_100336048</t>
  </si>
  <si>
    <t>17_100336049</t>
  </si>
  <si>
    <t>Оренбургский ГПЗ</t>
  </si>
  <si>
    <t>17_100336050</t>
  </si>
  <si>
    <t>17_100336051</t>
  </si>
  <si>
    <t>1.3 Газы углеводородные сжиженные</t>
  </si>
  <si>
    <t>17_100336052</t>
  </si>
  <si>
    <t>17_100336053</t>
  </si>
  <si>
    <t>1.4 Фракция этановая</t>
  </si>
  <si>
    <t>17_100330827</t>
  </si>
  <si>
    <t>17_100336054</t>
  </si>
  <si>
    <t>17_100336055</t>
  </si>
  <si>
    <t xml:space="preserve">1.5 Продукция (сырье) с НПЗ ООО "Газпром нефтехим Салават" </t>
  </si>
  <si>
    <t>17_100336056</t>
  </si>
  <si>
    <t>1.6 Пропилен</t>
  </si>
  <si>
    <t>17_100336057</t>
  </si>
  <si>
    <t>Пропилен покупной</t>
  </si>
  <si>
    <t>17_100336058</t>
  </si>
  <si>
    <t xml:space="preserve">        Завод "Мономер" ООО "Газпром нефтехим Салават"</t>
  </si>
  <si>
    <t>17_100336059</t>
  </si>
  <si>
    <t xml:space="preserve">        НПЗ ООО "Газпром нефтехим Салават" (ККФ)</t>
  </si>
  <si>
    <t>17_100336060</t>
  </si>
  <si>
    <t>1.7 Ортоксилол</t>
  </si>
  <si>
    <t>17_100336061</t>
  </si>
  <si>
    <t>17_100330823</t>
  </si>
  <si>
    <t>Бензин</t>
  </si>
  <si>
    <t>17_100330824</t>
  </si>
  <si>
    <t>17_100336062</t>
  </si>
  <si>
    <t>17_100330825</t>
  </si>
  <si>
    <t>ПАО "Газпром"</t>
  </si>
  <si>
    <t>17_100336063</t>
  </si>
  <si>
    <t>17_100336064</t>
  </si>
  <si>
    <t>17_100336065</t>
  </si>
  <si>
    <t xml:space="preserve">        НПЗ ООО "Газпром нефтехим Салават"</t>
  </si>
  <si>
    <t>17_100336066</t>
  </si>
  <si>
    <t>Газы углеводородные сжиженные</t>
  </si>
  <si>
    <t>17_100336067</t>
  </si>
  <si>
    <t>17_100336068</t>
  </si>
  <si>
    <t>Фракция этановая</t>
  </si>
  <si>
    <t>17_100336069</t>
  </si>
  <si>
    <t>17_100336070</t>
  </si>
  <si>
    <t>17_100336071</t>
  </si>
  <si>
    <t>Продукция (сырье) с НПЗ 
ООО "Газпром нефтехим Салават"</t>
  </si>
  <si>
    <t>17_100336072</t>
  </si>
  <si>
    <t>Пропилен</t>
  </si>
  <si>
    <t>17_100336073</t>
  </si>
  <si>
    <t>17_100336074</t>
  </si>
  <si>
    <t>17_100336075</t>
  </si>
  <si>
    <t>17_100336076</t>
  </si>
  <si>
    <t>Ортоксилол</t>
  </si>
  <si>
    <t>17_100336077</t>
  </si>
  <si>
    <t xml:space="preserve">Природный газ </t>
  </si>
  <si>
    <t>17_100335597</t>
  </si>
  <si>
    <t>млн.м3</t>
  </si>
  <si>
    <t xml:space="preserve">Этилен </t>
  </si>
  <si>
    <t>17_100330831</t>
  </si>
  <si>
    <t>17_100330832</t>
  </si>
  <si>
    <t xml:space="preserve">Пропилен </t>
  </si>
  <si>
    <t>17_100330833</t>
  </si>
  <si>
    <t>17_100332346</t>
  </si>
  <si>
    <t>17_100336079</t>
  </si>
  <si>
    <t xml:space="preserve">Бутилен-бутадиеновая фракция </t>
  </si>
  <si>
    <t>17_100330835</t>
  </si>
  <si>
    <t>17_100335105</t>
  </si>
  <si>
    <t xml:space="preserve">Тяжелая смола </t>
  </si>
  <si>
    <t>17_100330836</t>
  </si>
  <si>
    <t>17_100335106</t>
  </si>
  <si>
    <t xml:space="preserve">Пироконденсат  </t>
  </si>
  <si>
    <t>17_100332907</t>
  </si>
  <si>
    <t>17_100335107</t>
  </si>
  <si>
    <t xml:space="preserve">Бензол </t>
  </si>
  <si>
    <t>17_100335108</t>
  </si>
  <si>
    <t>17_100335109</t>
  </si>
  <si>
    <t xml:space="preserve">Кубовый Остаток Ректификации Бензола </t>
  </si>
  <si>
    <t>17_100336080</t>
  </si>
  <si>
    <t>17_100336081</t>
  </si>
  <si>
    <t xml:space="preserve">Стирол </t>
  </si>
  <si>
    <t>17_100330837</t>
  </si>
  <si>
    <t>17_100330838</t>
  </si>
  <si>
    <t xml:space="preserve">Кубовый Остаток Ректификации Стирола </t>
  </si>
  <si>
    <t>17_100336082</t>
  </si>
  <si>
    <t>17_100336083</t>
  </si>
  <si>
    <t xml:space="preserve">Этилбензол </t>
  </si>
  <si>
    <t>17_100336084</t>
  </si>
  <si>
    <t>17_100336085</t>
  </si>
  <si>
    <t xml:space="preserve">Полиэтилен высокого давления </t>
  </si>
  <si>
    <t>17_100330840</t>
  </si>
  <si>
    <t>17_100335112</t>
  </si>
  <si>
    <t xml:space="preserve">Полиэтилен низкого давления </t>
  </si>
  <si>
    <t>17_100330841</t>
  </si>
  <si>
    <t>17_100335113</t>
  </si>
  <si>
    <t xml:space="preserve">Полистирол (ПСМ) </t>
  </si>
  <si>
    <t>17_100330839</t>
  </si>
  <si>
    <t>17_100335111</t>
  </si>
  <si>
    <t xml:space="preserve">Нормальный  бутанол </t>
  </si>
  <si>
    <t>17_100330842</t>
  </si>
  <si>
    <t>17_100330843</t>
  </si>
  <si>
    <t>17_100336086</t>
  </si>
  <si>
    <t>На Дмитриевский хим.завод (производство бутилацетата)</t>
  </si>
  <si>
    <t>17_100336087</t>
  </si>
  <si>
    <t xml:space="preserve">Изобутанол </t>
  </si>
  <si>
    <t>17_100330844</t>
  </si>
  <si>
    <t>17_100330845</t>
  </si>
  <si>
    <t>На НПЗ</t>
  </si>
  <si>
    <t>17_100336088</t>
  </si>
  <si>
    <t xml:space="preserve">Кубовый остаток бутиловых спиртов (КОБС) 
</t>
  </si>
  <si>
    <t>17_100336089</t>
  </si>
  <si>
    <t>17_100336090</t>
  </si>
  <si>
    <t>17_100336091</t>
  </si>
  <si>
    <t xml:space="preserve">Фталевый ангидрид </t>
  </si>
  <si>
    <t>17_100336092</t>
  </si>
  <si>
    <t>17_100336093</t>
  </si>
  <si>
    <t>Эфирная головка</t>
  </si>
  <si>
    <t>17_100336094</t>
  </si>
  <si>
    <t>17_100336095</t>
  </si>
  <si>
    <t>17_100336096</t>
  </si>
  <si>
    <t xml:space="preserve">Пластификаторы </t>
  </si>
  <si>
    <t>17_100330846</t>
  </si>
  <si>
    <t>17_100336097</t>
  </si>
  <si>
    <t xml:space="preserve">Дваэтилгексанол </t>
  </si>
  <si>
    <t>17_100336098</t>
  </si>
  <si>
    <t>17_100336099</t>
  </si>
  <si>
    <t xml:space="preserve">Кубовый остаток от дваэтилгексанола (КОРДЭГ) 
</t>
  </si>
  <si>
    <t>17_100336100</t>
  </si>
  <si>
    <t>17_100336101</t>
  </si>
  <si>
    <t>ГАЗОХИМИЧЕСКИЙ ЗАВОД (ГХЗ)</t>
  </si>
  <si>
    <t>Природный газ</t>
  </si>
  <si>
    <t>17_100330794</t>
  </si>
  <si>
    <t xml:space="preserve">Аммиак </t>
  </si>
  <si>
    <t>17_100330798</t>
  </si>
  <si>
    <t>17_100330799</t>
  </si>
  <si>
    <t xml:space="preserve">Карбамид </t>
  </si>
  <si>
    <t>17_100330796</t>
  </si>
  <si>
    <t>17_100336102</t>
  </si>
  <si>
    <t xml:space="preserve">Аммиачная вода </t>
  </si>
  <si>
    <t>17_100330800</t>
  </si>
  <si>
    <t>17_100336103</t>
  </si>
  <si>
    <t>ООО "АКРИЛ-САЛАВАТ"</t>
  </si>
  <si>
    <t>17_100332347</t>
  </si>
  <si>
    <t>Пропилен с завода "Мономер" 
ООО "Газпром нефтехим Салават"</t>
  </si>
  <si>
    <t>17_100332348</t>
  </si>
  <si>
    <t>Бутанол с завода "Мономер" 
ООО "Газпром нефтехим Салават"</t>
  </si>
  <si>
    <t>17_100332349</t>
  </si>
  <si>
    <t>Бутилакрилат (товарный)</t>
  </si>
  <si>
    <t>17_100332352</t>
  </si>
  <si>
    <t>Ледяная акриловая кислота (товарный)</t>
  </si>
  <si>
    <t>17_100332353</t>
  </si>
  <si>
    <t>Раздел 3. Прогноз  переработки давальческого углеводородного сырья</t>
  </si>
  <si>
    <t>ассоциированных обществ  и совместных предприятий на предприятиях Группы Газпром</t>
  </si>
  <si>
    <t>1. Переработка газа на Оренбургском ГПЗ</t>
  </si>
  <si>
    <t>2_100332046</t>
  </si>
  <si>
    <t xml:space="preserve">   ТОО "КазРосГаз"(газ КГКМ)</t>
  </si>
  <si>
    <t>в т.ч. на У-01 АО "ЮУПК"</t>
  </si>
  <si>
    <t>2_100332048</t>
  </si>
  <si>
    <t>2. Переработка газа на Оренбургском гелиевом заводе:</t>
  </si>
  <si>
    <t>2_100332058</t>
  </si>
  <si>
    <t>1. Сера техническая</t>
  </si>
  <si>
    <t>Оренбургский ГХК:</t>
  </si>
  <si>
    <t>2_100332198</t>
  </si>
  <si>
    <t xml:space="preserve">   ТОО "КазРосГаз"(из газа КГКМ)</t>
  </si>
  <si>
    <t>2. Стабильный газовый конденсат и нефть товарные</t>
  </si>
  <si>
    <t>2_100332259</t>
  </si>
  <si>
    <t xml:space="preserve">3. Газы углеводородные сжиженные  </t>
  </si>
  <si>
    <t>2_100332227</t>
  </si>
  <si>
    <t>4. ШФЛУ</t>
  </si>
  <si>
    <t>2_100336104</t>
  </si>
  <si>
    <t>5. Этановая фракция</t>
  </si>
  <si>
    <t>2_100332244</t>
  </si>
  <si>
    <t xml:space="preserve">6. Топливный газ </t>
  </si>
  <si>
    <t>2_100332185</t>
  </si>
  <si>
    <t xml:space="preserve">7. Пентан-гексановая фракция </t>
  </si>
  <si>
    <t>2_100332236</t>
  </si>
  <si>
    <t xml:space="preserve">8. Сухой отбензиненный газ </t>
  </si>
  <si>
    <t>2_100332119</t>
  </si>
  <si>
    <t>Начальник Департамента 816</t>
  </si>
  <si>
    <t>Удельный вес
КПД</t>
  </si>
  <si>
    <t>Плановое значение</t>
  </si>
  <si>
    <t>Границы планового значения</t>
  </si>
  <si>
    <t>Фактическое значение</t>
  </si>
  <si>
    <t>Выполнение КПД, в %</t>
  </si>
  <si>
    <t>Причины отклонений фактических значений КПД от плановых значений</t>
  </si>
  <si>
    <t>Центр ответственности за расчёт КПД ДО</t>
  </si>
  <si>
    <t>формула</t>
  </si>
  <si>
    <t>описание</t>
  </si>
  <si>
    <t>пороговое</t>
  </si>
  <si>
    <t>максимальное</t>
  </si>
  <si>
    <t>26.</t>
  </si>
  <si>
    <t>ООО "Газпром переработка"</t>
  </si>
  <si>
    <t>Контролируемые затраты</t>
  </si>
  <si>
    <t>Департамент 816</t>
  </si>
  <si>
    <t>Объём переработки газа</t>
  </si>
  <si>
    <t>1_100335807+2_100332038+2_100332040+3_100330008</t>
  </si>
  <si>
    <t>Объём переработки нестабильного газового конденсата и нефти</t>
  </si>
  <si>
    <t>1_100331985+2_100332061+3_100330017+4_100331828+4_100335040+4_100331835+2_100332066+2_100332067+3_100330196+4_100335093+4_100333678+4_100331838+10_100330861</t>
  </si>
  <si>
    <t>2026</t>
  </si>
  <si>
    <t>2026 год 1 квартал</t>
  </si>
  <si>
    <t>2026 год январь</t>
  </si>
  <si>
    <t>2026 год февраль</t>
  </si>
  <si>
    <t>2026 год март</t>
  </si>
  <si>
    <t>2026 год 2 квартал</t>
  </si>
  <si>
    <t>2026 год апрель</t>
  </si>
  <si>
    <t>2026 год май</t>
  </si>
  <si>
    <t>2026 год июнь</t>
  </si>
  <si>
    <t>2026 год 3 квартал</t>
  </si>
  <si>
    <t>2026 год июль</t>
  </si>
  <si>
    <t>2026 год август</t>
  </si>
  <si>
    <t>2026 год сентябрь</t>
  </si>
  <si>
    <t>2026 год 4 квартал</t>
  </si>
  <si>
    <t>2026 год октябрь</t>
  </si>
  <si>
    <t>2026 год ноябрь</t>
  </si>
  <si>
    <t>2026 год декабрь</t>
  </si>
  <si>
    <t>Среднесрочн. план 2026: Вариант утвержденный</t>
  </si>
  <si>
    <t>Среднесрочн. план 2026 ПРЭУ: Вариант на утверждение</t>
  </si>
  <si>
    <t>Факт</t>
  </si>
  <si>
    <t>Отклонение</t>
  </si>
  <si>
    <t>+ / -</t>
  </si>
  <si>
    <t>% вып.</t>
  </si>
  <si>
    <t>year2026:1:2260099</t>
  </si>
  <si>
    <t>year2026:1:2260010</t>
  </si>
  <si>
    <t>year2026:15:None</t>
  </si>
  <si>
    <t>year2026:Q1:1:2260099</t>
  </si>
  <si>
    <t>year2026:Q1:1:2260010</t>
  </si>
  <si>
    <t>year2026:Q1:15:None</t>
  </si>
  <si>
    <t>year2026:M1_1:1:2260099</t>
  </si>
  <si>
    <t>year2026:M1_1:1:2260010</t>
  </si>
  <si>
    <t>year2026:M1_1:15:None</t>
  </si>
  <si>
    <t>year2026:M1_2:1:2260099</t>
  </si>
  <si>
    <t>year2026:M1_2:1:2260010</t>
  </si>
  <si>
    <t>year2026:M1_2:15:None</t>
  </si>
  <si>
    <t>year2026:M1_3:1:2260099</t>
  </si>
  <si>
    <t>year2026:M1_3:1:2260010</t>
  </si>
  <si>
    <t>year2026:M1_3:15:None</t>
  </si>
  <si>
    <t>year2026:Q2:1:2260099</t>
  </si>
  <si>
    <t>year2026:Q2:1:2260010</t>
  </si>
  <si>
    <t>year2026:Q2:15:None</t>
  </si>
  <si>
    <t>year2026:M2_1:1:2260099</t>
  </si>
  <si>
    <t>year2026:M2_1:1:2260010</t>
  </si>
  <si>
    <t>year2026:M2_1:15:None</t>
  </si>
  <si>
    <t>year2026:M2_2:1:2260099</t>
  </si>
  <si>
    <t>year2026:M2_2:1:2260010</t>
  </si>
  <si>
    <t>year2026:M2_2:15:None</t>
  </si>
  <si>
    <t>year2026:M2_3:1:2260099</t>
  </si>
  <si>
    <t>year2026:M2_3:1:2260010</t>
  </si>
  <si>
    <t>year2026:M2_3:15:None</t>
  </si>
  <si>
    <t>year2026:Q3:1:2260099</t>
  </si>
  <si>
    <t>year2026:Q3:1:2260010</t>
  </si>
  <si>
    <t>year2026:Q3:15:None</t>
  </si>
  <si>
    <t>year2026:M3_1:1:2260099</t>
  </si>
  <si>
    <t>year2026:M3_1:1:2260010</t>
  </si>
  <si>
    <t>year2026:M3_1:15:None</t>
  </si>
  <si>
    <t>year2026:M3_2:1:2260099</t>
  </si>
  <si>
    <t>year2026:M3_2:1:2260010</t>
  </si>
  <si>
    <t>year2026:M3_2:15:None</t>
  </si>
  <si>
    <t>year2026:M3_3:1:2260099</t>
  </si>
  <si>
    <t>year2026:M3_3:1:2260010</t>
  </si>
  <si>
    <t>year2026:M3_3:15:None</t>
  </si>
  <si>
    <t>year2026:Q4:1:2260099</t>
  </si>
  <si>
    <t>year2026:Q4:1:2260010</t>
  </si>
  <si>
    <t>year2026:Q4:15:None</t>
  </si>
  <si>
    <t>year2026:M4_1:1:2260099</t>
  </si>
  <si>
    <t>year2026:M4_1:1:2260010</t>
  </si>
  <si>
    <t>year2026:M4_1:15:None</t>
  </si>
  <si>
    <t>year2026:M4_2:1:2260099</t>
  </si>
  <si>
    <t>year2026:M4_2:1:2260010</t>
  </si>
  <si>
    <t>year2026:M4_2:15:None</t>
  </si>
  <si>
    <t>year2026:M4_3:1:2260099</t>
  </si>
  <si>
    <t>year2026:M4_3:1:2260010</t>
  </si>
  <si>
    <t>year2026:M4_3:15:None</t>
  </si>
  <si>
    <t>1_100331978+1_100335798</t>
  </si>
  <si>
    <t>1_100335800</t>
  </si>
  <si>
    <t>1_100335802</t>
  </si>
  <si>
    <t>1_100335802+1_100335804</t>
  </si>
  <si>
    <t>1_100335806+1_100331985+1_100331986</t>
  </si>
  <si>
    <t>№ п/п</t>
  </si>
  <si>
    <t>% выхода</t>
  </si>
  <si>
    <t>ОКАЗАНИЕ УСЛУГ ПО СЕПАРАЦИИ  СЫРЬЯ 
ООО "Газпром добыча Астрахань"</t>
  </si>
  <si>
    <t>100331977</t>
  </si>
  <si>
    <t>100331978+100335798</t>
  </si>
  <si>
    <t>ОКРУГЛ({100331977:-1}/{100331977:-1}*$100;$6)</t>
  </si>
  <si>
    <t>Да</t>
  </si>
  <si>
    <t>1.1</t>
  </si>
  <si>
    <t>СЕПАРАЦИЯ ПРИРОДНОГО ГАЗА, 
собственность ООО "Газпром добыча Астрахань"</t>
  </si>
  <si>
    <t>100331978</t>
  </si>
  <si>
    <t>100331979</t>
  </si>
  <si>
    <t>ОКРУГЛ({100331977:-1}/{100331979:-1}*$100;$6)</t>
  </si>
  <si>
    <t>*+59</t>
  </si>
  <si>
    <t>1.2</t>
  </si>
  <si>
    <t>СЕПАРАЦИЯ КОНДЕНСАТА ГАЗОВОГО НЕСТАБИЛЬНОГО,  
собственность ООО "Газпром добыча Астрахань"</t>
  </si>
  <si>
    <t>100335798</t>
  </si>
  <si>
    <t>ПОТЕРИ СЫРЬЯ ПРИ ПЕРЕРАБОТКЕ (УСЛОВНЫЕ), собственность ООО "Газпром добыча Астрахань":</t>
  </si>
  <si>
    <t>100335799</t>
  </si>
  <si>
    <t>Природного газа и нестабильного конденсата</t>
  </si>
  <si>
    <t>100335800</t>
  </si>
  <si>
    <t>{100331977:0}-{100331979:0}</t>
  </si>
  <si>
    <t>1.3</t>
  </si>
  <si>
    <t>ПРОИЗВОДСТВО ПРОДУКЦИИ, собственность 
ООО "Газпром добыча Астрахань"  ВСЕГО:</t>
  </si>
  <si>
    <t>100335801</t>
  </si>
  <si>
    <t>{100331977:0}+{100331979:0}+$10000</t>
  </si>
  <si>
    <t>1.3.1</t>
  </si>
  <si>
    <t>Газ сырой отсепарированный</t>
  </si>
  <si>
    <t>100335802</t>
  </si>
  <si>
    <t>100335803</t>
  </si>
  <si>
    <t>1.3.2</t>
  </si>
  <si>
    <t>Конденсат газовый нестабильный</t>
  </si>
  <si>
    <t>100335804</t>
  </si>
  <si>
    <t>2</t>
  </si>
  <si>
    <t xml:space="preserve">ПЕРЕРАБОТКА УГЛЕВОДОРОДНОГО СЫРЬЯ, собственность ПАО "Газпром" </t>
  </si>
  <si>
    <t>100335805</t>
  </si>
  <si>
    <t>2.1</t>
  </si>
  <si>
    <t>ПЕРЕРАБОТКА ГАЗА СЫРОГО ОТСЕПАРИРОВАННОГО 
(покупка у ООО "Газпром добыча Астрахань" )</t>
  </si>
  <si>
    <t>100335806</t>
  </si>
  <si>
    <t>1003335807</t>
  </si>
  <si>
    <t>2.2</t>
  </si>
  <si>
    <t>ПЕРЕРАБОТКА КОНДЕНСАТА ГАЗОВОГО НЕСТАБИЛЬНОГО 
(покупка у ООО "Газпром добыча Астрахань" )</t>
  </si>
  <si>
    <t>100331985</t>
  </si>
  <si>
    <t>2.3</t>
  </si>
  <si>
    <t>ПРИСАДКИ (ДОБАВКИ), ВСЕГО:</t>
  </si>
  <si>
    <t>100331986</t>
  </si>
  <si>
    <t>2.3.1</t>
  </si>
  <si>
    <t>Присадки (добавки) для нефтепродуктов, 
собственность ПАО "Газпром"</t>
  </si>
  <si>
    <t>100331987</t>
  </si>
  <si>
    <t>СУММ(1_100335805+1_100335804)</t>
  </si>
  <si>
    <t>2.3.1.1.</t>
  </si>
  <si>
    <t>в т.ч. МТБЭ (добавка в бензин)</t>
  </si>
  <si>
    <t>100334996</t>
  </si>
  <si>
    <t>2.3.2</t>
  </si>
  <si>
    <t>Компонент для производства серы, 
собственность ПАО "Газпром"</t>
  </si>
  <si>
    <t>100331988</t>
  </si>
  <si>
    <t>2.3.3</t>
  </si>
  <si>
    <t>Компонент производства при выработке кислого газа</t>
  </si>
  <si>
    <t>100332914</t>
  </si>
  <si>
    <t>ПОТЕРИ СЫРЬЯ ПРИ ПЕРЕРАБОТКЕ (УСЛОВНЫЕ), ВСЕГО:</t>
  </si>
  <si>
    <t>100331989</t>
  </si>
  <si>
    <t>3.1</t>
  </si>
  <si>
    <t>100331990</t>
  </si>
  <si>
    <t>3.2</t>
  </si>
  <si>
    <t>Конденсат газовый нестабильный - 100331991</t>
  </si>
  <si>
    <t>ПРОИЗВОДСТВО ПРОДУКЦИИ, 
собственность ПАО "Газпром", ВСЕГО:</t>
  </si>
  <si>
    <t>100331853</t>
  </si>
  <si>
    <t>4.1</t>
  </si>
  <si>
    <t>ГАЗ ПРИРОДНЫЙ СУХОЙ ОТБЕНЗИНЕННЫЙ, ВСЕГО:</t>
  </si>
  <si>
    <t>100331992</t>
  </si>
  <si>
    <t>100331993</t>
  </si>
  <si>
    <t>4.1.1</t>
  </si>
  <si>
    <t>Газ горючий природный, в ГТС</t>
  </si>
  <si>
    <t>100331994</t>
  </si>
  <si>
    <t>100331995</t>
  </si>
  <si>
    <t>4.1.2</t>
  </si>
  <si>
    <t>Газ на СТН ООО «Газпром добыча Астрахань», 
собственность ПАО "Газпром"</t>
  </si>
  <si>
    <t>100331996</t>
  </si>
  <si>
    <t>100331997</t>
  </si>
  <si>
    <t>4.1.3</t>
  </si>
  <si>
    <t xml:space="preserve">Газ на СТН Газпром переработка, 
собственность ПАО "Газпром" </t>
  </si>
  <si>
    <t>100331998</t>
  </si>
  <si>
    <t>100331999</t>
  </si>
  <si>
    <t>4.2</t>
  </si>
  <si>
    <t>СЕРА, ВСЕГО:</t>
  </si>
  <si>
    <t>100332000</t>
  </si>
  <si>
    <t>4.2.1</t>
  </si>
  <si>
    <t>Сера, :</t>
  </si>
  <si>
    <t>100332001</t>
  </si>
  <si>
    <t>4.2.1.1</t>
  </si>
  <si>
    <t>100330068</t>
  </si>
  <si>
    <t>4.2.1.2</t>
  </si>
  <si>
    <t>100330069</t>
  </si>
  <si>
    <t>4.2.1.3</t>
  </si>
  <si>
    <t>100330070</t>
  </si>
  <si>
    <t>4.2.1.4</t>
  </si>
  <si>
    <t>марка М</t>
  </si>
  <si>
    <t>100330071</t>
  </si>
  <si>
    <t>4.2.1.5</t>
  </si>
  <si>
    <t>100337112</t>
  </si>
  <si>
    <t>Кислый газ, всего:</t>
  </si>
  <si>
    <t>100330010</t>
  </si>
  <si>
    <t>Кислый газ с производства № 3</t>
  </si>
  <si>
    <t>100331980</t>
  </si>
  <si>
    <t xml:space="preserve">Кислый газ с производства № 1,5 </t>
  </si>
  <si>
    <t>100331981</t>
  </si>
  <si>
    <t>4.3</t>
  </si>
  <si>
    <t>ШФЛУ товарная, всего:</t>
  </si>
  <si>
    <t>100330073</t>
  </si>
  <si>
    <t>4.3.1</t>
  </si>
  <si>
    <t>ШФЛУ товарная</t>
  </si>
  <si>
    <t>100332003</t>
  </si>
  <si>
    <t>в т.ч. аналог стабильного конденсата</t>
  </si>
  <si>
    <t>100332004</t>
  </si>
  <si>
    <t>ШФЛУ товарная с учетом изменения остатков</t>
  </si>
  <si>
    <t>100332005</t>
  </si>
  <si>
    <t>ШФЛУ валовая</t>
  </si>
  <si>
    <t>100332006</t>
  </si>
  <si>
    <t>100334997</t>
  </si>
  <si>
    <t>ШФЛУ - переработка</t>
  </si>
  <si>
    <t>100332008</t>
  </si>
  <si>
    <t>100332009</t>
  </si>
  <si>
    <t>4.4</t>
  </si>
  <si>
    <t>ГАЗЫ УГЛЕВОДОРОДНЫЕ СЖИЖЕННЫЕ</t>
  </si>
  <si>
    <t>100332010</t>
  </si>
  <si>
    <t>4.5</t>
  </si>
  <si>
    <t>СТАБИЛЬНЫЙ КОНДЕНСАТ ТОВАРНЫЙ, ВСЕГО:</t>
  </si>
  <si>
    <t>100332011</t>
  </si>
  <si>
    <t>4.5.1</t>
  </si>
  <si>
    <t>СК товарный</t>
  </si>
  <si>
    <t>100332012</t>
  </si>
  <si>
    <t>СК товарный с учетом изменения остатков (отгрузка)</t>
  </si>
  <si>
    <t>100332013</t>
  </si>
  <si>
    <t>СК валовый</t>
  </si>
  <si>
    <t>100332014</t>
  </si>
  <si>
    <t>СК - переработка</t>
  </si>
  <si>
    <t>100332016</t>
  </si>
  <si>
    <t>4.6</t>
  </si>
  <si>
    <t>АВТОМОБИЛЬНЫЙ БЕНЗИН, ВСЕГО:</t>
  </si>
  <si>
    <t>100332017</t>
  </si>
  <si>
    <t>100335688</t>
  </si>
  <si>
    <t>4.6.1</t>
  </si>
  <si>
    <t>100332018</t>
  </si>
  <si>
    <t>4.6.2</t>
  </si>
  <si>
    <t>100332019</t>
  </si>
  <si>
    <t>4.7</t>
  </si>
  <si>
    <t>ДГКЛ</t>
  </si>
  <si>
    <t>100332020</t>
  </si>
  <si>
    <t>4.8</t>
  </si>
  <si>
    <t>ДГКС</t>
  </si>
  <si>
    <t>100332021</t>
  </si>
  <si>
    <t>4.9</t>
  </si>
  <si>
    <t>ДГКТ</t>
  </si>
  <si>
    <t>100332022</t>
  </si>
  <si>
    <t>4.10</t>
  </si>
  <si>
    <t>ДИЗЕЛЬНОЕ ТОПЛИВО</t>
  </si>
  <si>
    <t>100332023</t>
  </si>
  <si>
    <t>4.11</t>
  </si>
  <si>
    <t>МАЗУТ</t>
  </si>
  <si>
    <t>100332024</t>
  </si>
  <si>
    <t>4.12</t>
  </si>
  <si>
    <t>ГАЗ СТАБИЛИЗАЦИИ НА СОБСТВЕННЫЕ НУЖДЫ</t>
  </si>
  <si>
    <t>100332025</t>
  </si>
  <si>
    <t>100332026</t>
  </si>
  <si>
    <t>5</t>
  </si>
  <si>
    <t>Продукция, принятая в производство со склада (в примечании должнв быть ссылка на акт )</t>
  </si>
  <si>
    <t>100332942</t>
  </si>
  <si>
    <t>Продукция, переданная с производства на склад (в примечании должнв быть ссылка на акт )</t>
  </si>
  <si>
    <t>100335430</t>
  </si>
  <si>
    <t>6</t>
  </si>
  <si>
    <t>Материальный баланс переработки УВС</t>
  </si>
  <si>
    <t>Материальный баланс ООО "Газпром добыча Астрахань"</t>
  </si>
  <si>
    <t>100335808</t>
  </si>
  <si>
    <t>100335809</t>
  </si>
  <si>
    <t>T</t>
  </si>
  <si>
    <t>1_100332024+1_100332025</t>
  </si>
  <si>
    <t>V</t>
  </si>
  <si>
    <t>100331977+2_100335130</t>
  </si>
  <si>
    <t>S1</t>
  </si>
  <si>
    <t>ОКРУГЛ({100335808:2}/{100335809:2}*{100335809:0};$1)</t>
  </si>
  <si>
    <t>S2</t>
  </si>
  <si>
    <t>{C6:-2}-{C8:-2}</t>
  </si>
  <si>
    <t>10331977</t>
  </si>
  <si>
    <t>100332027</t>
  </si>
  <si>
    <t>100332028</t>
  </si>
  <si>
    <t>100332029</t>
  </si>
  <si>
    <t>100332030</t>
  </si>
  <si>
    <t>100332031</t>
  </si>
  <si>
    <t>100332033</t>
  </si>
  <si>
    <t>100332034</t>
  </si>
  <si>
    <t>100335008</t>
  </si>
  <si>
    <t>100335023</t>
  </si>
  <si>
    <t>100335130</t>
  </si>
  <si>
    <t>100332166</t>
  </si>
  <si>
    <t>СУММ(2_100335008:2_100335130)/1000</t>
  </si>
  <si>
    <t>V1</t>
  </si>
  <si>
    <t>100332166+1_100331977</t>
  </si>
  <si>
    <t>Имя</t>
  </si>
  <si>
    <t>Стиль</t>
  </si>
  <si>
    <t>VAR_KEY</t>
  </si>
  <si>
    <t>NAME</t>
  </si>
  <si>
    <t>FONT_SIMPLE</t>
  </si>
  <si>
    <t>YQM_0</t>
  </si>
  <si>
    <t>Год, Квартал, Месяц, +/-, % вып.</t>
  </si>
  <si>
    <t>FONT_FORMULA</t>
  </si>
  <si>
    <t>YQM_1</t>
  </si>
  <si>
    <t>Год, Квартал, Месяц, % вып.</t>
  </si>
  <si>
    <t>FONT_TITLE_LVL0</t>
  </si>
  <si>
    <t>Текст пример 1234567890,1234567891</t>
  </si>
  <si>
    <t>YQM_2</t>
  </si>
  <si>
    <t>Год, Квартал, Месяц, +/-</t>
  </si>
  <si>
    <t>FONT_TITLE_LVL1</t>
  </si>
  <si>
    <t>YQM</t>
  </si>
  <si>
    <t>Год, Квартал, Месяц</t>
  </si>
  <si>
    <t>RULES_GREEN_RED_DASH</t>
  </si>
  <si>
    <t>YM</t>
  </si>
  <si>
    <t>Год, Месяц</t>
  </si>
  <si>
    <t>FULL_BORDER</t>
  </si>
  <si>
    <t>QM</t>
  </si>
  <si>
    <t>Квартал, Месяц</t>
  </si>
  <si>
    <t>FORMAT_PERCENTAGE</t>
  </si>
  <si>
    <t>Y</t>
  </si>
  <si>
    <t>Год</t>
  </si>
  <si>
    <t>FONT_TITLE_LVL1_GROUP1</t>
  </si>
  <si>
    <t>Q</t>
  </si>
  <si>
    <t>Квартал</t>
  </si>
  <si>
    <t>FONT_TITLE_LVL2_GROUP1</t>
  </si>
  <si>
    <t>M</t>
  </si>
  <si>
    <t>Месяц</t>
  </si>
  <si>
    <t>FONT_CHECKER1</t>
  </si>
  <si>
    <t>+/-, % вып.</t>
  </si>
  <si>
    <t>RULE_DASH_FOR_ZERO</t>
  </si>
  <si>
    <t>1</t>
  </si>
  <si>
    <t>CELL_INPUT</t>
  </si>
  <si>
    <t>+/-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</si>
</sst>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00000"/>
  </numFmts>
  <fonts count="49" x14ac:knownFonts="1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4"/>
      <color indexed="2"/>
      <name val="Times New Roman"/>
      <family val="1"/>
      <charset val="204"/>
    </font>
    <font>
      <sz val="10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sz val="14"/>
      <color rgb="FF0000FF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indexed="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indexed="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i/>
      <sz val="12"/>
      <color indexed="2"/>
      <name val="Times New Roman"/>
      <family val="1"/>
      <charset val="204"/>
    </font>
    <font>
      <i/>
      <sz val="12"/>
      <color indexed="4"/>
      <name val="Times New Roman"/>
      <family val="1"/>
      <charset val="204"/>
    </font>
    <font>
      <b/>
      <sz val="12"/>
      <color indexed="4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trike/>
      <sz val="12"/>
      <color theme="1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u/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trike/>
      <sz val="12"/>
      <name val="Times New Roman"/>
      <family val="1"/>
      <charset val="204"/>
    </font>
    <font>
      <b/>
      <strike/>
      <sz val="12"/>
      <color theme="1"/>
      <name val="Times New Roman"/>
      <family val="1"/>
      <charset val="204"/>
    </font>
    <font>
      <strike/>
      <sz val="12"/>
      <name val="Times New Roman"/>
      <family val="1"/>
      <charset val="204"/>
    </font>
    <font>
      <b/>
      <strike/>
      <u/>
      <sz val="12"/>
      <color theme="1"/>
      <name val="Times New Roman"/>
      <family val="1"/>
      <charset val="204"/>
    </font>
    <font>
      <b/>
      <sz val="12"/>
      <color theme="4" tint="-0.249977111117893"/>
      <name val="Times New Roman"/>
      <family val="1"/>
      <charset val="204"/>
    </font>
    <font>
      <sz val="14"/>
      <color indexed="4"/>
      <name val="Times New Roman"/>
      <family val="1"/>
      <charset val="204"/>
    </font>
    <font>
      <b/>
      <sz val="14"/>
      <color indexed="4"/>
      <name val="Times New Roman"/>
      <family val="1"/>
      <charset val="204"/>
    </font>
    <font>
      <sz val="20"/>
      <color indexed="2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"/>
        <bgColor indexed="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8" fillId="0" borderId="20"/>
  </cellStyleXfs>
  <cellXfs count="326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4"/>
    </xf>
    <xf numFmtId="49" fontId="4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wrapText="1" indent="1"/>
    </xf>
    <xf numFmtId="0" fontId="2" fillId="0" borderId="6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wrapText="1" indent="4"/>
    </xf>
    <xf numFmtId="0" fontId="2" fillId="0" borderId="0" xfId="0" applyFont="1" applyAlignment="1">
      <alignment horizontal="left" vertical="center" wrapText="1" indent="2"/>
    </xf>
    <xf numFmtId="0" fontId="7" fillId="0" borderId="6" xfId="0" applyFont="1" applyBorder="1" applyAlignment="1">
      <alignment horizontal="left" vertical="center" wrapText="1" indent="1"/>
    </xf>
    <xf numFmtId="49" fontId="6" fillId="0" borderId="5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2"/>
    </xf>
    <xf numFmtId="0" fontId="6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4"/>
    </xf>
    <xf numFmtId="0" fontId="8" fillId="0" borderId="6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wrapText="1" indent="1"/>
    </xf>
    <xf numFmtId="0" fontId="1" fillId="0" borderId="6" xfId="0" applyFont="1" applyBorder="1" applyAlignment="1">
      <alignment horizontal="left" wrapText="1" indent="4"/>
    </xf>
    <xf numFmtId="49" fontId="6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wrapText="1" indent="1"/>
    </xf>
    <xf numFmtId="0" fontId="6" fillId="0" borderId="5" xfId="0" applyFont="1" applyBorder="1" applyAlignment="1">
      <alignment horizontal="left" wrapText="1" indent="2"/>
    </xf>
    <xf numFmtId="49" fontId="9" fillId="0" borderId="6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left" wrapText="1" indent="4"/>
    </xf>
    <xf numFmtId="0" fontId="8" fillId="0" borderId="6" xfId="0" applyFont="1" applyBorder="1" applyAlignment="1">
      <alignment horizontal="left" wrapText="1" indent="4"/>
    </xf>
    <xf numFmtId="49" fontId="1" fillId="2" borderId="5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wrapText="1" indent="2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wrapText="1" indent="2"/>
    </xf>
    <xf numFmtId="0" fontId="7" fillId="0" borderId="5" xfId="0" applyFont="1" applyBorder="1" applyAlignment="1">
      <alignment horizontal="left" wrapText="1" indent="1"/>
    </xf>
    <xf numFmtId="0" fontId="6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wrapText="1" inden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indent="6"/>
    </xf>
    <xf numFmtId="0" fontId="20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164" fontId="17" fillId="0" borderId="0" xfId="0" applyNumberFormat="1" applyFont="1"/>
    <xf numFmtId="164" fontId="15" fillId="0" borderId="0" xfId="0" applyNumberFormat="1" applyFont="1" applyAlignment="1">
      <alignment horizontal="center" vertical="center"/>
    </xf>
    <xf numFmtId="164" fontId="14" fillId="0" borderId="0" xfId="0" applyNumberFormat="1" applyFont="1"/>
    <xf numFmtId="0" fontId="17" fillId="0" borderId="0" xfId="0" applyFont="1" applyAlignment="1">
      <alignment horizontal="left" vertical="top"/>
    </xf>
    <xf numFmtId="164" fontId="17" fillId="0" borderId="7" xfId="0" applyNumberFormat="1" applyFont="1" applyBorder="1" applyAlignment="1">
      <alignment horizontal="left"/>
    </xf>
    <xf numFmtId="164" fontId="23" fillId="0" borderId="7" xfId="0" applyNumberFormat="1" applyFont="1" applyBorder="1" applyAlignment="1">
      <alignment horizontal="left"/>
    </xf>
    <xf numFmtId="164" fontId="24" fillId="0" borderId="7" xfId="0" applyNumberFormat="1" applyFont="1" applyBorder="1" applyAlignment="1">
      <alignment horizontal="center" vertical="center"/>
    </xf>
    <xf numFmtId="164" fontId="20" fillId="0" borderId="7" xfId="0" applyNumberFormat="1" applyFont="1" applyBorder="1" applyAlignment="1">
      <alignment horizontal="center" vertical="center"/>
    </xf>
    <xf numFmtId="164" fontId="26" fillId="0" borderId="7" xfId="0" applyNumberFormat="1" applyFont="1" applyBorder="1" applyAlignment="1">
      <alignment horizontal="center" vertical="center"/>
    </xf>
    <xf numFmtId="164" fontId="19" fillId="3" borderId="7" xfId="0" applyNumberFormat="1" applyFont="1" applyFill="1" applyBorder="1" applyAlignment="1">
      <alignment horizontal="center" vertical="center"/>
    </xf>
    <xf numFmtId="164" fontId="20" fillId="3" borderId="7" xfId="0" applyNumberFormat="1" applyFont="1" applyFill="1" applyBorder="1" applyAlignment="1">
      <alignment horizontal="center" vertical="center"/>
    </xf>
    <xf numFmtId="164" fontId="26" fillId="3" borderId="7" xfId="0" applyNumberFormat="1" applyFont="1" applyFill="1" applyBorder="1" applyAlignment="1">
      <alignment horizontal="center" vertical="center"/>
    </xf>
    <xf numFmtId="164" fontId="25" fillId="3" borderId="7" xfId="0" applyNumberFormat="1" applyFont="1" applyFill="1" applyBorder="1" applyAlignment="1">
      <alignment horizontal="right"/>
    </xf>
    <xf numFmtId="164" fontId="20" fillId="0" borderId="7" xfId="0" applyNumberFormat="1" applyFont="1" applyBorder="1" applyAlignment="1">
      <alignment horizontal="right"/>
    </xf>
    <xf numFmtId="164" fontId="17" fillId="3" borderId="7" xfId="0" applyNumberFormat="1" applyFont="1" applyFill="1" applyBorder="1" applyAlignment="1">
      <alignment horizontal="right"/>
    </xf>
    <xf numFmtId="164" fontId="14" fillId="3" borderId="7" xfId="0" applyNumberFormat="1" applyFont="1" applyFill="1" applyBorder="1" applyAlignment="1">
      <alignment horizontal="right"/>
    </xf>
    <xf numFmtId="164" fontId="16" fillId="0" borderId="7" xfId="0" applyNumberFormat="1" applyFont="1" applyBorder="1"/>
    <xf numFmtId="164" fontId="18" fillId="0" borderId="7" xfId="0" applyNumberFormat="1" applyFont="1" applyBorder="1" applyAlignment="1">
      <alignment horizontal="right" vertical="center"/>
    </xf>
    <xf numFmtId="164" fontId="18" fillId="0" borderId="7" xfId="0" applyNumberFormat="1" applyFont="1" applyBorder="1"/>
    <xf numFmtId="164" fontId="17" fillId="0" borderId="7" xfId="0" applyNumberFormat="1" applyFont="1" applyBorder="1" applyAlignment="1">
      <alignment vertical="center" wrapText="1"/>
    </xf>
    <xf numFmtId="0" fontId="19" fillId="0" borderId="7" xfId="0" applyFont="1" applyBorder="1" applyAlignment="1">
      <alignment horizontal="right"/>
    </xf>
    <xf numFmtId="164" fontId="17" fillId="0" borderId="7" xfId="0" applyNumberFormat="1" applyFont="1" applyBorder="1" applyAlignment="1">
      <alignment horizontal="left" indent="4"/>
    </xf>
    <xf numFmtId="164" fontId="25" fillId="0" borderId="7" xfId="0" applyNumberFormat="1" applyFont="1" applyBorder="1" applyAlignment="1">
      <alignment horizontal="right" vertical="top"/>
    </xf>
    <xf numFmtId="164" fontId="25" fillId="4" borderId="7" xfId="0" applyNumberFormat="1" applyFont="1" applyFill="1" applyBorder="1" applyAlignment="1">
      <alignment horizontal="right"/>
    </xf>
    <xf numFmtId="164" fontId="14" fillId="0" borderId="7" xfId="0" applyNumberFormat="1" applyFont="1" applyBorder="1" applyAlignment="1">
      <alignment horizontal="right"/>
    </xf>
    <xf numFmtId="164" fontId="25" fillId="0" borderId="7" xfId="0" applyNumberFormat="1" applyFont="1" applyBorder="1" applyAlignment="1">
      <alignment horizontal="right"/>
    </xf>
    <xf numFmtId="164" fontId="28" fillId="0" borderId="7" xfId="0" applyNumberFormat="1" applyFont="1" applyBorder="1" applyAlignment="1">
      <alignment horizontal="right"/>
    </xf>
    <xf numFmtId="164" fontId="29" fillId="0" borderId="7" xfId="0" applyNumberFormat="1" applyFont="1" applyBorder="1" applyAlignment="1">
      <alignment horizontal="right"/>
    </xf>
    <xf numFmtId="164" fontId="17" fillId="0" borderId="7" xfId="0" applyNumberFormat="1" applyFont="1" applyBorder="1"/>
    <xf numFmtId="164" fontId="19" fillId="0" borderId="7" xfId="0" applyNumberFormat="1" applyFont="1" applyBorder="1" applyAlignment="1">
      <alignment horizontal="center" vertical="center"/>
    </xf>
    <xf numFmtId="164" fontId="17" fillId="0" borderId="7" xfId="0" applyNumberFormat="1" applyFont="1" applyBorder="1" applyAlignment="1">
      <alignment horizontal="right"/>
    </xf>
    <xf numFmtId="164" fontId="17" fillId="0" borderId="7" xfId="0" applyNumberFormat="1" applyFont="1" applyBorder="1" applyAlignment="1">
      <alignment horizontal="left" indent="2"/>
    </xf>
    <xf numFmtId="164" fontId="26" fillId="0" borderId="7" xfId="0" applyNumberFormat="1" applyFont="1" applyBorder="1" applyAlignment="1">
      <alignment horizontal="right"/>
    </xf>
    <xf numFmtId="164" fontId="19" fillId="0" borderId="7" xfId="0" applyNumberFormat="1" applyFont="1" applyBorder="1" applyAlignment="1">
      <alignment horizontal="right"/>
    </xf>
    <xf numFmtId="164" fontId="19" fillId="0" borderId="7" xfId="0" applyNumberFormat="1" applyFont="1" applyBorder="1" applyAlignment="1">
      <alignment wrapText="1"/>
    </xf>
    <xf numFmtId="164" fontId="19" fillId="0" borderId="7" xfId="0" applyNumberFormat="1" applyFont="1" applyBorder="1" applyAlignment="1">
      <alignment horizontal="left" indent="2"/>
    </xf>
    <xf numFmtId="164" fontId="14" fillId="0" borderId="7" xfId="0" applyNumberFormat="1" applyFont="1" applyBorder="1"/>
    <xf numFmtId="0" fontId="17" fillId="0" borderId="7" xfId="0" applyFont="1" applyBorder="1"/>
    <xf numFmtId="0" fontId="17" fillId="0" borderId="7" xfId="0" applyFont="1" applyBorder="1" applyAlignment="1">
      <alignment horizontal="right"/>
    </xf>
    <xf numFmtId="0" fontId="17" fillId="0" borderId="7" xfId="0" applyFont="1" applyBorder="1" applyAlignment="1">
      <alignment horizontal="left" indent="2"/>
    </xf>
    <xf numFmtId="0" fontId="22" fillId="3" borderId="7" xfId="0" applyFont="1" applyFill="1" applyBorder="1" applyAlignment="1">
      <alignment horizontal="right"/>
    </xf>
    <xf numFmtId="0" fontId="19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right"/>
    </xf>
    <xf numFmtId="0" fontId="17" fillId="3" borderId="7" xfId="0" applyFont="1" applyFill="1" applyBorder="1" applyAlignment="1">
      <alignment horizontal="right"/>
    </xf>
    <xf numFmtId="0" fontId="22" fillId="0" borderId="7" xfId="0" applyFont="1" applyBorder="1" applyAlignment="1">
      <alignment horizontal="right"/>
    </xf>
    <xf numFmtId="0" fontId="16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5" fillId="0" borderId="7" xfId="0" applyFont="1" applyBorder="1"/>
    <xf numFmtId="0" fontId="22" fillId="0" borderId="7" xfId="0" applyFont="1" applyBorder="1"/>
    <xf numFmtId="0" fontId="18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right"/>
    </xf>
    <xf numFmtId="0" fontId="26" fillId="0" borderId="7" xfId="0" applyFont="1" applyBorder="1" applyAlignment="1">
      <alignment horizontal="right"/>
    </xf>
    <xf numFmtId="0" fontId="14" fillId="3" borderId="7" xfId="0" applyFont="1" applyFill="1" applyBorder="1" applyAlignment="1">
      <alignment horizontal="right" vertical="center"/>
    </xf>
    <xf numFmtId="0" fontId="17" fillId="3" borderId="7" xfId="0" applyFont="1" applyFill="1" applyBorder="1" applyAlignment="1">
      <alignment horizontal="left" indent="2"/>
    </xf>
    <xf numFmtId="0" fontId="25" fillId="2" borderId="7" xfId="0" applyFont="1" applyFill="1" applyBorder="1" applyAlignment="1">
      <alignment horizontal="right"/>
    </xf>
    <xf numFmtId="0" fontId="25" fillId="0" borderId="7" xfId="0" applyFont="1" applyBorder="1" applyAlignment="1">
      <alignment horizontal="right"/>
    </xf>
    <xf numFmtId="0" fontId="19" fillId="0" borderId="7" xfId="0" applyFont="1" applyBorder="1" applyAlignment="1">
      <alignment horizontal="center"/>
    </xf>
    <xf numFmtId="0" fontId="25" fillId="0" borderId="7" xfId="0" applyFont="1" applyBorder="1" applyAlignment="1">
      <alignment horizontal="right" vertical="top"/>
    </xf>
    <xf numFmtId="0" fontId="25" fillId="0" borderId="7" xfId="0" applyFont="1" applyBorder="1" applyAlignment="1">
      <alignment horizontal="right" wrapText="1"/>
    </xf>
    <xf numFmtId="0" fontId="32" fillId="0" borderId="7" xfId="0" applyFont="1" applyBorder="1" applyAlignment="1">
      <alignment horizontal="right"/>
    </xf>
    <xf numFmtId="0" fontId="32" fillId="0" borderId="7" xfId="0" applyFont="1" applyBorder="1"/>
    <xf numFmtId="0" fontId="16" fillId="0" borderId="7" xfId="0" applyFont="1" applyBorder="1" applyAlignment="1">
      <alignment horizontal="right"/>
    </xf>
    <xf numFmtId="0" fontId="28" fillId="0" borderId="7" xfId="0" applyFont="1" applyBorder="1" applyAlignment="1">
      <alignment horizontal="right"/>
    </xf>
    <xf numFmtId="0" fontId="33" fillId="0" borderId="7" xfId="0" applyFont="1" applyBorder="1"/>
    <xf numFmtId="0" fontId="31" fillId="0" borderId="7" xfId="0" applyFont="1" applyBorder="1" applyAlignment="1">
      <alignment horizontal="center" vertical="center"/>
    </xf>
    <xf numFmtId="0" fontId="34" fillId="0" borderId="7" xfId="0" applyFont="1" applyBorder="1" applyAlignment="1">
      <alignment horizontal="right"/>
    </xf>
    <xf numFmtId="0" fontId="21" fillId="0" borderId="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right"/>
    </xf>
    <xf numFmtId="0" fontId="25" fillId="0" borderId="7" xfId="0" applyFont="1" applyBorder="1" applyAlignment="1">
      <alignment horizontal="right" vertical="center"/>
    </xf>
    <xf numFmtId="0" fontId="29" fillId="0" borderId="7" xfId="0" applyFont="1" applyBorder="1" applyAlignment="1">
      <alignment horizontal="right"/>
    </xf>
    <xf numFmtId="0" fontId="17" fillId="3" borderId="7" xfId="0" applyFont="1" applyFill="1" applyBorder="1"/>
    <xf numFmtId="0" fontId="25" fillId="3" borderId="7" xfId="0" applyFont="1" applyFill="1" applyBorder="1"/>
    <xf numFmtId="0" fontId="14" fillId="3" borderId="7" xfId="0" applyFont="1" applyFill="1" applyBorder="1"/>
    <xf numFmtId="0" fontId="25" fillId="3" borderId="7" xfId="0" applyFont="1" applyFill="1" applyBorder="1" applyAlignment="1">
      <alignment horizontal="right"/>
    </xf>
    <xf numFmtId="0" fontId="32" fillId="0" borderId="7" xfId="0" applyFont="1" applyBorder="1" applyAlignment="1">
      <alignment horizontal="left"/>
    </xf>
    <xf numFmtId="0" fontId="10" fillId="0" borderId="7" xfId="0" applyFont="1" applyBorder="1" applyAlignment="1">
      <alignment horizontal="left" vertical="top" wrapText="1"/>
    </xf>
    <xf numFmtId="0" fontId="35" fillId="0" borderId="7" xfId="0" applyFont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/>
    </xf>
    <xf numFmtId="0" fontId="19" fillId="0" borderId="7" xfId="0" applyFont="1" applyBorder="1"/>
    <xf numFmtId="0" fontId="36" fillId="3" borderId="7" xfId="0" applyFont="1" applyFill="1" applyBorder="1"/>
    <xf numFmtId="0" fontId="37" fillId="3" borderId="7" xfId="0" applyFont="1" applyFill="1" applyBorder="1" applyAlignment="1">
      <alignment horizontal="center" vertical="center"/>
    </xf>
    <xf numFmtId="0" fontId="27" fillId="3" borderId="7" xfId="0" applyFont="1" applyFill="1" applyBorder="1"/>
    <xf numFmtId="0" fontId="38" fillId="3" borderId="7" xfId="0" applyFont="1" applyFill="1" applyBorder="1" applyAlignment="1">
      <alignment horizontal="right"/>
    </xf>
    <xf numFmtId="0" fontId="39" fillId="3" borderId="7" xfId="0" applyFont="1" applyFill="1" applyBorder="1" applyAlignment="1">
      <alignment horizontal="center" vertical="center"/>
    </xf>
    <xf numFmtId="0" fontId="37" fillId="3" borderId="7" xfId="0" applyFont="1" applyFill="1" applyBorder="1"/>
    <xf numFmtId="164" fontId="36" fillId="3" borderId="7" xfId="0" applyNumberFormat="1" applyFont="1" applyFill="1" applyBorder="1" applyAlignment="1">
      <alignment vertical="center" wrapText="1"/>
    </xf>
    <xf numFmtId="164" fontId="36" fillId="3" borderId="7" xfId="0" applyNumberFormat="1" applyFont="1" applyFill="1" applyBorder="1" applyAlignment="1">
      <alignment horizontal="left" indent="2"/>
    </xf>
    <xf numFmtId="0" fontId="38" fillId="3" borderId="7" xfId="0" applyFont="1" applyFill="1" applyBorder="1"/>
    <xf numFmtId="0" fontId="27" fillId="3" borderId="7" xfId="0" applyFont="1" applyFill="1" applyBorder="1" applyAlignment="1">
      <alignment horizontal="left" indent="6"/>
    </xf>
    <xf numFmtId="0" fontId="20" fillId="0" borderId="7" xfId="0" applyFont="1" applyBorder="1"/>
    <xf numFmtId="0" fontId="19" fillId="0" borderId="7" xfId="0" applyFont="1" applyBorder="1" applyAlignment="1">
      <alignment horizontal="left" wrapText="1" indent="2"/>
    </xf>
    <xf numFmtId="0" fontId="26" fillId="0" borderId="7" xfId="0" applyFont="1" applyBorder="1" applyAlignment="1">
      <alignment horizontal="left" vertical="center" wrapText="1" indent="6"/>
    </xf>
    <xf numFmtId="164" fontId="17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wrapText="1" indent="2"/>
    </xf>
    <xf numFmtId="0" fontId="14" fillId="0" borderId="7" xfId="0" applyFont="1" applyBorder="1" applyAlignment="1">
      <alignment horizontal="left" vertical="center" wrapText="1" indent="4"/>
    </xf>
    <xf numFmtId="0" fontId="20" fillId="0" borderId="7" xfId="0" applyFont="1" applyBorder="1" applyAlignment="1">
      <alignment horizontal="left" wrapText="1" indent="5"/>
    </xf>
    <xf numFmtId="0" fontId="15" fillId="0" borderId="7" xfId="0" applyFont="1" applyBorder="1"/>
    <xf numFmtId="0" fontId="35" fillId="0" borderId="7" xfId="0" applyFont="1" applyBorder="1" applyAlignment="1">
      <alignment horizontal="center" vertical="center"/>
    </xf>
    <xf numFmtId="0" fontId="36" fillId="3" borderId="7" xfId="0" applyFont="1" applyFill="1" applyBorder="1" applyAlignment="1">
      <alignment horizontal="left" vertical="center" wrapText="1" indent="1"/>
    </xf>
    <xf numFmtId="164" fontId="37" fillId="3" borderId="7" xfId="0" applyNumberFormat="1" applyFont="1" applyFill="1" applyBorder="1" applyAlignment="1">
      <alignment horizontal="center" vertical="center"/>
    </xf>
    <xf numFmtId="0" fontId="38" fillId="3" borderId="7" xfId="0" applyFont="1" applyFill="1" applyBorder="1" applyAlignment="1">
      <alignment horizontal="left" vertical="center" wrapText="1" indent="2"/>
    </xf>
    <xf numFmtId="0" fontId="36" fillId="3" borderId="7" xfId="0" applyFont="1" applyFill="1" applyBorder="1" applyAlignment="1">
      <alignment horizontal="left" vertical="center" wrapText="1" indent="2"/>
    </xf>
    <xf numFmtId="0" fontId="38" fillId="3" borderId="7" xfId="0" applyFont="1" applyFill="1" applyBorder="1" applyAlignment="1">
      <alignment horizontal="left" vertical="center" wrapText="1" indent="3"/>
    </xf>
    <xf numFmtId="0" fontId="38" fillId="3" borderId="7" xfId="0" applyFont="1" applyFill="1" applyBorder="1" applyAlignment="1">
      <alignment horizontal="left" vertical="center" wrapText="1" indent="6"/>
    </xf>
    <xf numFmtId="0" fontId="38" fillId="3" borderId="7" xfId="0" applyFont="1" applyFill="1" applyBorder="1" applyAlignment="1">
      <alignment horizontal="left" vertical="center" wrapText="1" indent="4"/>
    </xf>
    <xf numFmtId="0" fontId="37" fillId="3" borderId="7" xfId="0" applyFont="1" applyFill="1" applyBorder="1" applyAlignment="1">
      <alignment horizontal="center" vertical="center" wrapText="1"/>
    </xf>
    <xf numFmtId="0" fontId="38" fillId="0" borderId="7" xfId="0" applyFont="1" applyBorder="1" applyAlignment="1">
      <alignment horizontal="left" vertical="center" wrapText="1" indent="3"/>
    </xf>
    <xf numFmtId="164" fontId="37" fillId="0" borderId="7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indent="1"/>
    </xf>
    <xf numFmtId="0" fontId="14" fillId="0" borderId="7" xfId="0" applyFont="1" applyBorder="1" applyAlignment="1">
      <alignment horizontal="left" vertical="center" wrapText="1" indent="1"/>
    </xf>
    <xf numFmtId="0" fontId="14" fillId="0" borderId="7" xfId="0" applyFont="1" applyBorder="1" applyAlignment="1">
      <alignment horizontal="left" vertical="center" indent="2"/>
    </xf>
    <xf numFmtId="0" fontId="19" fillId="0" borderId="7" xfId="0" applyFont="1" applyBorder="1" applyAlignment="1">
      <alignment horizontal="left"/>
    </xf>
    <xf numFmtId="0" fontId="19" fillId="0" borderId="7" xfId="0" applyFont="1" applyBorder="1" applyAlignment="1">
      <alignment horizontal="left" indent="1"/>
    </xf>
    <xf numFmtId="0" fontId="3" fillId="0" borderId="7" xfId="0" applyFont="1" applyBorder="1"/>
    <xf numFmtId="0" fontId="19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vertical="center"/>
    </xf>
    <xf numFmtId="0" fontId="40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 indent="1"/>
    </xf>
    <xf numFmtId="0" fontId="19" fillId="0" borderId="7" xfId="0" applyFont="1" applyBorder="1" applyAlignment="1">
      <alignment horizontal="left" vertical="center" indent="2"/>
    </xf>
    <xf numFmtId="0" fontId="20" fillId="0" borderId="7" xfId="0" applyFont="1" applyBorder="1" applyAlignment="1">
      <alignment horizontal="left" vertical="center" indent="4"/>
    </xf>
    <xf numFmtId="0" fontId="20" fillId="0" borderId="7" xfId="0" applyFont="1" applyBorder="1" applyAlignment="1">
      <alignment horizontal="left" vertical="center" indent="2"/>
    </xf>
    <xf numFmtId="0" fontId="20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indent="1"/>
    </xf>
    <xf numFmtId="0" fontId="20" fillId="0" borderId="7" xfId="0" applyFont="1" applyBorder="1" applyAlignment="1">
      <alignment horizontal="left" vertical="center" indent="3"/>
    </xf>
    <xf numFmtId="0" fontId="17" fillId="0" borderId="7" xfId="0" applyFont="1" applyBorder="1" applyAlignment="1">
      <alignment horizontal="left" vertical="center" wrapText="1" indent="1"/>
    </xf>
    <xf numFmtId="0" fontId="14" fillId="0" borderId="7" xfId="0" applyFont="1" applyBorder="1" applyAlignment="1">
      <alignment horizontal="left" vertical="center" indent="6"/>
    </xf>
    <xf numFmtId="0" fontId="19" fillId="0" borderId="7" xfId="0" applyFont="1" applyBorder="1" applyAlignment="1">
      <alignment horizontal="left" vertical="center" wrapText="1" indent="1"/>
    </xf>
    <xf numFmtId="0" fontId="20" fillId="0" borderId="7" xfId="0" applyFont="1" applyBorder="1" applyAlignment="1">
      <alignment horizontal="left" vertical="center" wrapText="1" indent="6"/>
    </xf>
    <xf numFmtId="0" fontId="17" fillId="0" borderId="7" xfId="0" applyFont="1" applyBorder="1" applyAlignment="1">
      <alignment horizontal="left" vertical="center" wrapText="1"/>
    </xf>
    <xf numFmtId="0" fontId="29" fillId="0" borderId="7" xfId="0" applyFont="1" applyBorder="1" applyAlignment="1">
      <alignment horizontal="left" wrapText="1" indent="1"/>
    </xf>
    <xf numFmtId="0" fontId="19" fillId="0" borderId="7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9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/>
    </xf>
    <xf numFmtId="0" fontId="19" fillId="0" borderId="7" xfId="0" applyFont="1" applyBorder="1" applyAlignment="1">
      <alignment horizontal="left" vertical="center" indent="3"/>
    </xf>
    <xf numFmtId="0" fontId="20" fillId="0" borderId="7" xfId="0" applyFont="1" applyBorder="1" applyAlignment="1">
      <alignment horizontal="left" vertical="center" indent="5"/>
    </xf>
    <xf numFmtId="0" fontId="19" fillId="0" borderId="7" xfId="0" applyFont="1" applyBorder="1" applyAlignment="1">
      <alignment horizontal="left" vertical="center" wrapText="1" indent="3"/>
    </xf>
    <xf numFmtId="2" fontId="41" fillId="0" borderId="7" xfId="0" applyNumberFormat="1" applyFont="1" applyBorder="1" applyAlignment="1">
      <alignment horizontal="right" vertical="center"/>
    </xf>
    <xf numFmtId="2" fontId="42" fillId="0" borderId="7" xfId="0" applyNumberFormat="1" applyFont="1" applyBorder="1" applyAlignment="1">
      <alignment horizontal="right" vertical="center"/>
    </xf>
    <xf numFmtId="0" fontId="20" fillId="0" borderId="7" xfId="0" applyFont="1" applyBorder="1" applyAlignment="1">
      <alignment horizontal="left" vertical="center" wrapText="1" indent="7"/>
    </xf>
    <xf numFmtId="0" fontId="19" fillId="0" borderId="7" xfId="0" applyFont="1" applyBorder="1" applyAlignment="1">
      <alignment horizontal="left" indent="3"/>
    </xf>
    <xf numFmtId="0" fontId="17" fillId="0" borderId="7" xfId="0" applyFont="1" applyBorder="1" applyAlignment="1">
      <alignment horizontal="left" vertical="center" wrapText="1" indent="3"/>
    </xf>
    <xf numFmtId="0" fontId="43" fillId="0" borderId="7" xfId="0" applyFont="1" applyBorder="1"/>
    <xf numFmtId="0" fontId="17" fillId="0" borderId="7" xfId="0" applyFont="1" applyBorder="1" applyAlignment="1">
      <alignment wrapText="1"/>
    </xf>
    <xf numFmtId="0" fontId="14" fillId="0" borderId="7" xfId="0" applyFont="1" applyBorder="1"/>
    <xf numFmtId="0" fontId="7" fillId="0" borderId="0" xfId="0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right"/>
    </xf>
    <xf numFmtId="4" fontId="12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165" fontId="7" fillId="0" borderId="0" xfId="0" applyNumberFormat="1" applyFont="1" applyAlignment="1">
      <alignment horizontal="right" vertical="center" wrapText="1"/>
    </xf>
    <xf numFmtId="0" fontId="0" fillId="0" borderId="7" xfId="0" applyBorder="1"/>
    <xf numFmtId="0" fontId="2" fillId="0" borderId="3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0" fillId="0" borderId="10" xfId="0" applyBorder="1"/>
    <xf numFmtId="0" fontId="2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4" fillId="0" borderId="3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4"/>
    </xf>
    <xf numFmtId="0" fontId="3" fillId="0" borderId="5" xfId="0" applyFont="1" applyBorder="1" applyAlignment="1">
      <alignment horizontal="left" wrapText="1" indent="1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wrapText="1" indent="4"/>
    </xf>
    <xf numFmtId="0" fontId="7" fillId="0" borderId="5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wrapText="1" indent="2"/>
    </xf>
    <xf numFmtId="0" fontId="8" fillId="0" borderId="5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wrapText="1" indent="1"/>
    </xf>
    <xf numFmtId="0" fontId="1" fillId="0" borderId="5" xfId="0" applyFont="1" applyBorder="1" applyAlignment="1">
      <alignment horizontal="left" wrapText="1" indent="4"/>
    </xf>
    <xf numFmtId="0" fontId="6" fillId="2" borderId="5" xfId="0" applyFont="1" applyFill="1" applyBorder="1" applyAlignment="1">
      <alignment horizontal="left" wrapText="1" indent="2"/>
    </xf>
    <xf numFmtId="0" fontId="1" fillId="0" borderId="5" xfId="0" applyFont="1" applyBorder="1" applyAlignment="1">
      <alignment horizontal="left" wrapText="1" indent="2"/>
    </xf>
    <xf numFmtId="0" fontId="13" fillId="7" borderId="7" xfId="0" applyFont="1" applyFill="1" applyBorder="1" applyAlignment="1">
      <alignment horizontal="left" vertical="center" wrapText="1" indent="1"/>
    </xf>
    <xf numFmtId="0" fontId="13" fillId="7" borderId="7" xfId="0" applyFont="1" applyFill="1" applyBorder="1" applyAlignment="1">
      <alignment horizontal="left" vertical="center" wrapText="1"/>
    </xf>
    <xf numFmtId="0" fontId="13" fillId="7" borderId="7" xfId="0" quotePrefix="1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13" fillId="6" borderId="2" xfId="0" applyFont="1" applyFill="1" applyBorder="1" applyAlignment="1">
      <alignment horizontal="left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wrapText="1"/>
    </xf>
    <xf numFmtId="49" fontId="0" fillId="0" borderId="0" xfId="0" applyNumberFormat="1"/>
    <xf numFmtId="0" fontId="13" fillId="0" borderId="7" xfId="0" applyFont="1" applyBorder="1" applyAlignment="1">
      <alignment horizontal="left" vertical="center" wrapText="1" indent="1"/>
    </xf>
    <xf numFmtId="0" fontId="13" fillId="0" borderId="7" xfId="0" applyFont="1" applyBorder="1" applyAlignment="1">
      <alignment horizontal="left" wrapText="1"/>
    </xf>
    <xf numFmtId="0" fontId="45" fillId="0" borderId="2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47" fillId="0" borderId="0" xfId="0" applyFont="1"/>
    <xf numFmtId="0" fontId="47" fillId="0" borderId="0" xfId="0" applyFont="1" applyAlignment="1">
      <alignment horizontal="left" vertical="center" wrapText="1"/>
    </xf>
    <xf numFmtId="9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10" fontId="0" fillId="0" borderId="0" xfId="0" applyNumberFormat="1"/>
    <xf numFmtId="0" fontId="0" fillId="0" borderId="5" xfId="0" applyBorder="1"/>
    <xf numFmtId="0" fontId="0" fillId="0" borderId="2" xfId="0" applyBorder="1"/>
    <xf numFmtId="0" fontId="20" fillId="0" borderId="7" xfId="0" applyFont="1" applyBorder="1" applyAlignment="1">
      <alignment horizontal="left" vertical="center" wrapText="1" indent="3"/>
    </xf>
    <xf numFmtId="0" fontId="19" fillId="0" borderId="7" xfId="0" applyFont="1" applyBorder="1" applyAlignment="1">
      <alignment horizontal="left" vertical="center" wrapText="1" indent="2"/>
    </xf>
    <xf numFmtId="0" fontId="17" fillId="0" borderId="7" xfId="0" applyFont="1" applyBorder="1" applyAlignment="1">
      <alignment horizontal="center" vertical="center"/>
    </xf>
    <xf numFmtId="0" fontId="0" fillId="0" borderId="12" xfId="0" applyBorder="1"/>
    <xf numFmtId="0" fontId="17" fillId="0" borderId="7" xfId="0" applyFont="1" applyBorder="1" applyAlignment="1">
      <alignment horizontal="left" vertical="center" wrapText="1" indent="2"/>
    </xf>
    <xf numFmtId="0" fontId="20" fillId="0" borderId="7" xfId="0" applyFont="1" applyBorder="1" applyAlignment="1">
      <alignment horizontal="left" vertical="center" wrapText="1" indent="4"/>
    </xf>
    <xf numFmtId="0" fontId="14" fillId="0" borderId="7" xfId="0" applyFont="1" applyBorder="1" applyAlignment="1">
      <alignment horizontal="left" vertical="center" wrapText="1" indent="6"/>
    </xf>
    <xf numFmtId="0" fontId="0" fillId="0" borderId="0" xfId="0"/>
    <xf numFmtId="0" fontId="0" fillId="0" borderId="11" xfId="0" applyBorder="1"/>
    <xf numFmtId="49" fontId="1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 indent="1"/>
    </xf>
    <xf numFmtId="49" fontId="2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4"/>
    </xf>
    <xf numFmtId="0" fontId="4" fillId="0" borderId="6" xfId="0" applyFont="1" applyBorder="1" applyAlignment="1">
      <alignment horizontal="left" vertical="center" wrapText="1" indent="1"/>
    </xf>
    <xf numFmtId="4" fontId="4" fillId="8" borderId="0" xfId="0" applyNumberFormat="1" applyFont="1" applyFill="1" applyAlignment="1">
      <alignment horizontal="right"/>
    </xf>
    <xf numFmtId="0" fontId="4" fillId="0" borderId="20" xfId="1" applyFont="1" applyAlignment="1">
      <alignment horizontal="center" vertical="center"/>
    </xf>
    <xf numFmtId="0" fontId="48" fillId="0" borderId="20" xfId="1"/>
    <xf numFmtId="0" fontId="44" fillId="0" borderId="20" xfId="1" applyFont="1" applyAlignment="1">
      <alignment horizontal="center" vertical="center" wrapText="1"/>
    </xf>
    <xf numFmtId="4" fontId="4" fillId="0" borderId="20" xfId="1" applyNumberFormat="1" applyFont="1" applyAlignment="1">
      <alignment horizontal="right"/>
    </xf>
    <xf numFmtId="4" fontId="12" fillId="0" borderId="20" xfId="1" applyNumberFormat="1" applyFont="1" applyAlignment="1">
      <alignment horizontal="right"/>
    </xf>
    <xf numFmtId="9" fontId="12" fillId="0" borderId="20" xfId="1" applyNumberFormat="1" applyFont="1" applyAlignment="1">
      <alignment horizontal="right"/>
    </xf>
    <xf numFmtId="4" fontId="4" fillId="8" borderId="20" xfId="1" applyNumberFormat="1" applyFont="1" applyFill="1" applyAlignment="1">
      <alignment horizontal="right"/>
    </xf>
    <xf numFmtId="165" fontId="7" fillId="0" borderId="20" xfId="1" applyNumberFormat="1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20" fillId="0" borderId="7" xfId="0" applyFont="1" applyBorder="1" applyAlignment="1">
      <alignment horizontal="left" vertical="center" wrapText="1" indent="3"/>
    </xf>
    <xf numFmtId="0" fontId="0" fillId="0" borderId="14" xfId="0" applyBorder="1"/>
    <xf numFmtId="0" fontId="27" fillId="3" borderId="7" xfId="0" applyFont="1" applyFill="1" applyBorder="1" applyAlignment="1">
      <alignment horizontal="left" vertical="center" wrapText="1" indent="3"/>
    </xf>
    <xf numFmtId="0" fontId="4" fillId="0" borderId="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 indent="7"/>
    </xf>
    <xf numFmtId="0" fontId="19" fillId="0" borderId="7" xfId="0" applyFont="1" applyBorder="1" applyAlignment="1">
      <alignment horizontal="left" vertical="center" wrapText="1" indent="2"/>
    </xf>
    <xf numFmtId="0" fontId="17" fillId="0" borderId="7" xfId="0" applyFont="1" applyBorder="1" applyAlignment="1">
      <alignment horizontal="center" vertical="center"/>
    </xf>
    <xf numFmtId="0" fontId="0" fillId="0" borderId="12" xfId="0" applyBorder="1"/>
    <xf numFmtId="0" fontId="17" fillId="0" borderId="7" xfId="0" applyFont="1" applyBorder="1" applyAlignment="1">
      <alignment horizontal="left" vertical="center" wrapText="1" indent="2"/>
    </xf>
    <xf numFmtId="0" fontId="20" fillId="0" borderId="7" xfId="0" applyFont="1" applyBorder="1" applyAlignment="1">
      <alignment horizontal="left" vertical="center" wrapText="1" indent="4"/>
    </xf>
    <xf numFmtId="0" fontId="14" fillId="0" borderId="7" xfId="0" applyFont="1" applyBorder="1" applyAlignment="1">
      <alignment horizontal="left" vertical="center" wrapText="1" indent="5"/>
    </xf>
    <xf numFmtId="0" fontId="4" fillId="0" borderId="15" xfId="0" applyFont="1" applyBorder="1" applyAlignment="1">
      <alignment horizontal="left" vertical="center" wrapText="1"/>
    </xf>
    <xf numFmtId="0" fontId="0" fillId="0" borderId="16" xfId="0" applyBorder="1"/>
    <xf numFmtId="0" fontId="26" fillId="0" borderId="7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center" vertical="center" wrapText="1"/>
    </xf>
    <xf numFmtId="0" fontId="0" fillId="0" borderId="13" xfId="0" applyBorder="1"/>
    <xf numFmtId="0" fontId="0" fillId="0" borderId="9" xfId="0" applyBorder="1"/>
    <xf numFmtId="0" fontId="17" fillId="0" borderId="7" xfId="0" applyFont="1" applyBorder="1" applyAlignment="1">
      <alignment horizontal="left" vertical="center" indent="3"/>
    </xf>
    <xf numFmtId="0" fontId="14" fillId="0" borderId="7" xfId="0" applyFont="1" applyBorder="1" applyAlignment="1">
      <alignment horizontal="left" vertical="center" wrapText="1" indent="6"/>
    </xf>
    <xf numFmtId="0" fontId="37" fillId="3" borderId="7" xfId="0" applyFont="1" applyFill="1" applyBorder="1" applyAlignment="1">
      <alignment horizontal="left" vertical="center" wrapText="1" indent="1"/>
    </xf>
    <xf numFmtId="0" fontId="20" fillId="0" borderId="7" xfId="0" applyFont="1" applyBorder="1" applyAlignment="1">
      <alignment horizontal="left" vertical="center" wrapText="1" indent="5"/>
    </xf>
    <xf numFmtId="0" fontId="46" fillId="0" borderId="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/>
    <xf numFmtId="0" fontId="19" fillId="0" borderId="1" xfId="0" applyFont="1" applyBorder="1" applyAlignment="1">
      <alignment horizontal="center" vertical="center" wrapText="1"/>
    </xf>
    <xf numFmtId="0" fontId="46" fillId="0" borderId="17" xfId="0" applyFont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11" xfId="0" applyBorder="1"/>
    <xf numFmtId="0" fontId="13" fillId="0" borderId="20" xfId="1" applyFont="1" applyAlignment="1">
      <alignment horizontal="center" vertical="center" wrapText="1"/>
    </xf>
    <xf numFmtId="0" fontId="7" fillId="0" borderId="20" xfId="1" applyFont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2"/>
    </xf>
    <xf numFmtId="49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 indent="4"/>
    </xf>
    <xf numFmtId="0" fontId="4" fillId="0" borderId="6" xfId="0" applyFont="1" applyBorder="1" applyAlignment="1">
      <alignment horizontal="left" vertical="center" wrapText="1" indent="1"/>
    </xf>
    <xf numFmtId="0" fontId="0" fillId="0" borderId="6" xfId="0" applyBorder="1"/>
    <xf numFmtId="0" fontId="1" fillId="0" borderId="6" xfId="0" applyFont="1" applyBorder="1" applyAlignment="1">
      <alignment horizontal="left" vertical="center" wrapText="1" indent="2"/>
    </xf>
  </cellXfs>
  <cellStyles count="2">
    <cellStyle name="user_custom_border" xfId="1"/>
    <cellStyle name="Обычный" xfId="0" builtinId="0"/>
  </cellStyles>
  <dxfs count="1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b/>
      </font>
      <numFmt numFmtId="166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</font>
      <numFmt numFmtId="166" formatCode="\-"/>
    </dxf>
    <dxf>
      <font>
        <b/>
      </font>
      <numFmt numFmtId="166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  <dxf>
      <font>
        <b/>
      </font>
      <numFmt numFmtId="166" formatCode="\-"/>
    </dxf>
    <dxf>
      <font>
        <color rgb="FF00B050"/>
      </font>
      <fill>
        <patternFill>
          <bgColor auto="1"/>
        </patternFill>
      </fill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RP\816\816_4_3\2.%20&#1046;&#1059;&#1042;%20&#1080;%20&#1055;&#1055;\03%20&#1052;&#1072;&#1090;%20&#1073;&#1072;&#1083;&#1072;&#1085;&#1089;%20(&#1082;&#1086;&#1088;%20&#1080;%20&#1090;&#1088;&#1077;&#1093;&#1083;&#1077;&#1090;&#1082;&#1072;)\2025-2027\16%202025-2027%20&#1088;&#1077;&#1072;&#1083;&#1080;&#1079;&#1072;&#1094;&#1080;&#1103;\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o203-1\&#1086;&#1073;&#1084;&#1077;&#1085;%20&#1076;&#1083;&#1103;%20&#1095;&#1086;&#1093;&#1077;&#1083;&#1080;\&#1069;&#1082;&#1086;&#1085;&#1086;&#1084;&#1080;&#1082;&#1072;\&#1055;&#1077;&#1089;&#1094;&#1086;&#1074;&#1086;&#1077;\&#1057;&#1054;&#1043;\2005\&#1057;&#1054;&#1043;-&#1101;&#1092;&#1092;%201&#1081;%20&#1074;&#1072;&#1088;&#1080;&#1072;&#1085;&#1090;%20&#1089;&#1077;&#1085;&#1090;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2008"/>
      <sheetName val="#ССЫЛКА"/>
      <sheetName val="Tables2003"/>
      <sheetName val="База"/>
      <sheetName val="Январь-февраль"/>
      <sheetName val="Балансы НП 2003"/>
      <sheetName val="Факсограммы"/>
      <sheetName val="Товарный баланс"/>
      <sheetName val="Товарныйбаланс"/>
      <sheetName val="баланс"/>
      <sheetName val="месяц квартал"/>
      <sheetName val="Распределение"/>
      <sheetName val="Ресурсы"/>
      <sheetName val="НП"/>
      <sheetName val="Поступление"/>
      <sheetName val="Транзит"/>
      <sheetName val="Correlation"/>
      <sheetName val="Bloomberg Extract (2)"/>
      <sheetName val="urea &amp; oil"/>
      <sheetName val="DAP Price Forecasts"/>
      <sheetName val="Forecasts"/>
      <sheetName val="Fertiliser Prices"/>
      <sheetName val="Consumption by Nutrient"/>
      <sheetName val="Monthly Correlation"/>
    </sheetNames>
    <sheetDataSet>
      <sheetData sheetId="0" refreshError="1"/>
      <sheetData sheetId="1" refreshError="1">
        <row r="1">
          <cell r="A1" t="str">
            <v>Баланс газа ООО "Ямбурггаздобыча"</v>
          </cell>
        </row>
        <row r="3">
          <cell r="I3">
            <v>0</v>
          </cell>
        </row>
        <row r="4">
          <cell r="E4" t="str">
            <v>2008г.</v>
          </cell>
          <cell r="F4" t="str">
            <v>I кв.</v>
          </cell>
          <cell r="G4" t="str">
            <v>II кв.</v>
          </cell>
          <cell r="H4" t="str">
            <v>III кв.</v>
          </cell>
          <cell r="I4" t="str">
            <v>IV кв.</v>
          </cell>
        </row>
        <row r="5">
          <cell r="A5" t="str">
            <v>Добыча газа</v>
          </cell>
        </row>
        <row r="6">
          <cell r="A6" t="str">
            <v xml:space="preserve">                из газоконденсатных скважин</v>
          </cell>
        </row>
        <row r="7">
          <cell r="A7" t="str">
            <v xml:space="preserve">                Заполярное месторождение</v>
          </cell>
        </row>
        <row r="8">
          <cell r="A8" t="str">
            <v>СН промыслов Ямбурггаздобычи</v>
          </cell>
        </row>
        <row r="9">
          <cell r="A9" t="str">
            <v xml:space="preserve">                в т.ч. ЗГНКМ и Тазовский УДГ</v>
          </cell>
        </row>
        <row r="10">
          <cell r="A10" t="str">
            <v>Товарный газ</v>
          </cell>
        </row>
        <row r="11">
          <cell r="A11" t="str">
            <v xml:space="preserve">     Потребители Ямбурггаздобычи</v>
          </cell>
        </row>
        <row r="12">
          <cell r="A12" t="str">
            <v>Распределение газа</v>
          </cell>
        </row>
        <row r="13">
          <cell r="A13" t="str">
            <v xml:space="preserve">         ЗАО "Северрегионгаз" (потребителям)</v>
          </cell>
        </row>
        <row r="14">
          <cell r="A14" t="str">
            <v>в т.ч. для ООО "Газпромэнерго"</v>
          </cell>
        </row>
        <row r="15">
          <cell r="A15" t="str">
            <v xml:space="preserve">       Подача в магистральные газопроводы</v>
          </cell>
        </row>
        <row r="16">
          <cell r="A16" t="str">
            <v xml:space="preserve">                               в т.ч. ООО "Сургутгазпром"</v>
          </cell>
        </row>
        <row r="17">
          <cell r="A17" t="str">
            <v xml:space="preserve">                        газ сухой отбензиненный</v>
          </cell>
        </row>
        <row r="18">
          <cell r="A18" t="str">
            <v xml:space="preserve">             газ ОАО "Газпром"</v>
          </cell>
        </row>
        <row r="19">
          <cell r="A19" t="str">
            <v xml:space="preserve">                        газ сухой отбензиненный</v>
          </cell>
        </row>
        <row r="23">
          <cell r="A23" t="str">
            <v>Заместитель Председателя Правления ОАО "Газпром" -</v>
          </cell>
        </row>
        <row r="24">
          <cell r="A24" t="str">
            <v>начальник  Финансово-экономического департамента                                                                       А.В. Круглов</v>
          </cell>
        </row>
        <row r="28">
          <cell r="A28" t="str">
            <v>Баланс газа ООО "Уренгойгазпром"</v>
          </cell>
        </row>
        <row r="30">
          <cell r="I30" t="str">
            <v>млн. куб. м</v>
          </cell>
        </row>
        <row r="31">
          <cell r="E31" t="str">
            <v>2008г.</v>
          </cell>
          <cell r="F31" t="str">
            <v>I кв.</v>
          </cell>
          <cell r="G31" t="str">
            <v>II кв.</v>
          </cell>
          <cell r="H31" t="str">
            <v>III кв.</v>
          </cell>
          <cell r="I31" t="str">
            <v>IV кв.</v>
          </cell>
        </row>
        <row r="32">
          <cell r="A32" t="str">
            <v>Ресурсы - всего</v>
          </cell>
        </row>
        <row r="33">
          <cell r="A33" t="str">
            <v xml:space="preserve">       Добыча газа</v>
          </cell>
        </row>
        <row r="34">
          <cell r="A34" t="str">
            <v xml:space="preserve">                     из газоконденсатных скважин</v>
          </cell>
        </row>
        <row r="35">
          <cell r="A35" t="str">
            <v xml:space="preserve">                     попутный нефтяной газ</v>
          </cell>
        </row>
        <row r="36">
          <cell r="A36" t="str">
            <v xml:space="preserve">       Газ деэтанизации конденсата</v>
          </cell>
        </row>
        <row r="37">
          <cell r="A37" t="str">
            <v>СТН Уренгойгазпрома - всего</v>
          </cell>
        </row>
        <row r="38">
          <cell r="A38" t="str">
            <v xml:space="preserve">                   СТН нужды промыслов</v>
          </cell>
        </row>
        <row r="39">
          <cell r="A39" t="str">
            <v xml:space="preserve">                             в т.ч. попутный нефтяной газ</v>
          </cell>
        </row>
        <row r="40">
          <cell r="A40" t="str">
            <v xml:space="preserve">                   СТН ЗПГК (газ деэтанизации конденсата)</v>
          </cell>
        </row>
        <row r="41">
          <cell r="A41" t="str">
            <v>Товарный газ</v>
          </cell>
        </row>
        <row r="42">
          <cell r="A42" t="str">
            <v xml:space="preserve">         Потребители газа ООО "Уренгойгазпром"</v>
          </cell>
        </row>
        <row r="43">
          <cell r="A43" t="str">
            <v xml:space="preserve">                       ЗАО "Северрегионгаз"</v>
          </cell>
        </row>
        <row r="44">
          <cell r="A44" t="str">
            <v xml:space="preserve">                       Прочие</v>
          </cell>
        </row>
        <row r="45">
          <cell r="A45" t="str">
            <v>СПРАВОЧНО:</v>
          </cell>
        </row>
        <row r="46">
          <cell r="A46" t="str">
            <v xml:space="preserve">         кр.т. газ ЗАО "Роспан Интернешнл"</v>
          </cell>
        </row>
        <row r="47">
          <cell r="A47" t="str">
            <v>Распределение газа</v>
          </cell>
        </row>
        <row r="48">
          <cell r="A48" t="str">
            <v xml:space="preserve">       Подача в Тюментрансгаз</v>
          </cell>
        </row>
        <row r="49">
          <cell r="A49" t="str">
            <v xml:space="preserve">             газ ОАО "Газпром"</v>
          </cell>
        </row>
        <row r="50">
          <cell r="A50" t="str">
            <v xml:space="preserve">                                 сухой отбензиненный</v>
          </cell>
        </row>
        <row r="51">
          <cell r="A51" t="str">
            <v xml:space="preserve">                                 газ деэтанизации конденсата</v>
          </cell>
        </row>
        <row r="52">
          <cell r="A52" t="str">
            <v xml:space="preserve">                                 попутный нефтяной газ</v>
          </cell>
        </row>
        <row r="53">
          <cell r="A53" t="str">
            <v xml:space="preserve">                                  кр. т. газ от ООО "Ноябрьскгаздобычи"</v>
          </cell>
        </row>
        <row r="55">
          <cell r="A55" t="str">
            <v xml:space="preserve">                 кр.т. газ ЗАО "Роспан Интернешнл" (справочно)</v>
          </cell>
        </row>
        <row r="58">
          <cell r="A58" t="str">
            <v>Заместитель Председателя Правления ОАО "Газпром" -</v>
          </cell>
        </row>
        <row r="59">
          <cell r="A59" t="str">
            <v>начальник  Финансово-экономического департамента                                                                       А.В. Круглов</v>
          </cell>
        </row>
        <row r="61">
          <cell r="A61" t="str">
            <v>Баланс газа ООО "Надымгазпром"</v>
          </cell>
        </row>
        <row r="63">
          <cell r="I63">
            <v>0</v>
          </cell>
        </row>
        <row r="64">
          <cell r="E64" t="str">
            <v>2008г.</v>
          </cell>
          <cell r="F64" t="str">
            <v>I кв.</v>
          </cell>
          <cell r="G64" t="str">
            <v>II кв.</v>
          </cell>
          <cell r="H64" t="str">
            <v>III кв.</v>
          </cell>
          <cell r="I64" t="str">
            <v>IV кв.</v>
          </cell>
        </row>
        <row r="65">
          <cell r="A65" t="str">
            <v>Добыча газа</v>
          </cell>
        </row>
        <row r="66">
          <cell r="A66" t="str">
            <v xml:space="preserve">      СН промыслов Надымгазпрома</v>
          </cell>
        </row>
        <row r="67">
          <cell r="A67" t="str">
            <v>Товарный газ</v>
          </cell>
        </row>
        <row r="68">
          <cell r="A68" t="str">
            <v xml:space="preserve">      Потребители Надымгазпрома</v>
          </cell>
        </row>
        <row r="69">
          <cell r="A69" t="str">
            <v>в т.ч. для ООО "Газпромэнерго" (ч/з ЗАО "СеверРГ")</v>
          </cell>
        </row>
        <row r="70">
          <cell r="A70" t="str">
            <v>Распределение газа</v>
          </cell>
        </row>
        <row r="71">
          <cell r="A71" t="str">
            <v xml:space="preserve">    Подача в Тюментрансгаз</v>
          </cell>
        </row>
        <row r="72">
          <cell r="A72" t="str">
            <v xml:space="preserve">           газ ОАО "Газпром"</v>
          </cell>
        </row>
        <row r="77">
          <cell r="A77" t="str">
            <v>Заместитель Председателя Правления ОАО "Газпром" -</v>
          </cell>
        </row>
        <row r="78">
          <cell r="A78" t="str">
            <v>начальник  Финансово-экономического департамента                                                                       А.В. Круглов</v>
          </cell>
        </row>
        <row r="80">
          <cell r="A80" t="str">
            <v>Баланс газа ООО "Тюментрансгаз"</v>
          </cell>
        </row>
        <row r="82">
          <cell r="I82">
            <v>0</v>
          </cell>
        </row>
        <row r="83">
          <cell r="E83" t="str">
            <v>2008г.</v>
          </cell>
          <cell r="F83" t="str">
            <v>I кв.</v>
          </cell>
          <cell r="G83" t="str">
            <v>II кв.</v>
          </cell>
          <cell r="H83" t="str">
            <v>III кв.</v>
          </cell>
          <cell r="I83" t="str">
            <v>IV кв.</v>
          </cell>
        </row>
        <row r="84">
          <cell r="A84" t="str">
            <v>Добыча газа</v>
          </cell>
        </row>
        <row r="85">
          <cell r="A85" t="str">
            <v xml:space="preserve">      СН промыслов</v>
          </cell>
        </row>
        <row r="86">
          <cell r="A86" t="str">
            <v>Товарный газ</v>
          </cell>
        </row>
        <row r="87">
          <cell r="A87" t="str">
            <v xml:space="preserve">      Потребителям промыслов</v>
          </cell>
        </row>
        <row r="88">
          <cell r="A88" t="str">
            <v>Подача газа в магистральный газопровод</v>
          </cell>
        </row>
        <row r="91">
          <cell r="A91" t="str">
            <v>Заместитель Председателя Правления ОАО "Газпром" -</v>
          </cell>
        </row>
        <row r="92">
          <cell r="A92" t="str">
            <v>начальник  Финансово-экономического департамента                                                                       А.В. Круглов</v>
          </cell>
        </row>
        <row r="95">
          <cell r="A95" t="str">
            <v>Баланс газа ООО "Ноябрьскгаздобыча"</v>
          </cell>
        </row>
        <row r="97">
          <cell r="I97">
            <v>0</v>
          </cell>
        </row>
        <row r="98">
          <cell r="E98" t="str">
            <v>2008г.</v>
          </cell>
          <cell r="F98" t="str">
            <v>I кв.</v>
          </cell>
          <cell r="G98" t="str">
            <v>II кв.</v>
          </cell>
          <cell r="H98" t="str">
            <v>III кв.</v>
          </cell>
          <cell r="I98" t="str">
            <v>IV кв.</v>
          </cell>
        </row>
        <row r="99">
          <cell r="A99" t="str">
            <v>Добыча газа</v>
          </cell>
        </row>
        <row r="100">
          <cell r="A100" t="str">
            <v xml:space="preserve">             кр.т. покупка газа у ООО "Янгпур"</v>
          </cell>
        </row>
        <row r="101">
          <cell r="A101" t="str">
            <v xml:space="preserve">      СН промыслов Ноябрьскгаздобычи</v>
          </cell>
        </row>
        <row r="102">
          <cell r="A102" t="str">
            <v>Товарный газ</v>
          </cell>
        </row>
        <row r="103">
          <cell r="A103" t="str">
            <v>Распределение газа</v>
          </cell>
        </row>
        <row r="104">
          <cell r="A104" t="str">
            <v xml:space="preserve">   Подача в магистральный газопровод</v>
          </cell>
        </row>
        <row r="105">
          <cell r="A105" t="str">
            <v xml:space="preserve">                        в т.ч. для подачи ч/з УренгойГП в ТюменТГ</v>
          </cell>
        </row>
        <row r="106">
          <cell r="A106" t="str">
            <v xml:space="preserve">       газ ОАО "Газпром"</v>
          </cell>
        </row>
        <row r="107">
          <cell r="A107" t="str">
            <v xml:space="preserve">       газ ОАО "НОВАТЭК"</v>
          </cell>
        </row>
        <row r="108">
          <cell r="A108" t="str">
            <v xml:space="preserve">       газ ООО "Ноябрьскгаздобыча"</v>
          </cell>
        </row>
        <row r="109">
          <cell r="A109" t="str">
            <v xml:space="preserve">               - собственное потребление в г. Ноябрьске</v>
          </cell>
        </row>
        <row r="110">
          <cell r="A110" t="str">
            <v xml:space="preserve">               - собств. пост-ка. потреб-ям в г. Ноябрьске</v>
          </cell>
        </row>
        <row r="111">
          <cell r="A111" t="str">
            <v xml:space="preserve">         кр.т. газ ООО "Межрегионгаз" (газ ООО "Янгпур")</v>
          </cell>
        </row>
        <row r="114">
          <cell r="A114" t="str">
            <v>Заместитель Председателя Правления ОАО "Газпром" -</v>
          </cell>
        </row>
        <row r="115">
          <cell r="A115" t="str">
            <v>начальник  Финансово-экономического департамента                                                                       А.В. Круглов</v>
          </cell>
        </row>
        <row r="117">
          <cell r="A117" t="str">
            <v>Баланс газа ООО "Пургаздобыча"</v>
          </cell>
        </row>
        <row r="119">
          <cell r="I119">
            <v>0</v>
          </cell>
        </row>
        <row r="120">
          <cell r="E120" t="str">
            <v>2008г.</v>
          </cell>
          <cell r="F120" t="str">
            <v>I кв.</v>
          </cell>
          <cell r="G120" t="str">
            <v>II кв.</v>
          </cell>
          <cell r="H120" t="str">
            <v>III кв.</v>
          </cell>
          <cell r="I120" t="str">
            <v>IV кв.</v>
          </cell>
        </row>
        <row r="121">
          <cell r="A121" t="str">
            <v>Добыча газа</v>
          </cell>
        </row>
        <row r="122">
          <cell r="A122" t="str">
            <v xml:space="preserve">      СН промыслов</v>
          </cell>
        </row>
        <row r="123">
          <cell r="A123" t="str">
            <v>Товарный газ</v>
          </cell>
        </row>
        <row r="124">
          <cell r="A124" t="str">
            <v>Распределение газа</v>
          </cell>
        </row>
        <row r="125">
          <cell r="A125" t="str">
            <v xml:space="preserve">   Подача в Сургутгазпром</v>
          </cell>
        </row>
        <row r="126">
          <cell r="A126" t="str">
            <v xml:space="preserve">                        в т.ч. для подачи ч/з УренгойГП в ТюменТГ</v>
          </cell>
        </row>
        <row r="127">
          <cell r="A127" t="str">
            <v xml:space="preserve">       газ ОАО "Газпром"</v>
          </cell>
        </row>
        <row r="128">
          <cell r="A128" t="str">
            <v xml:space="preserve">            - для поставки внутри РФ</v>
          </cell>
        </row>
        <row r="129">
          <cell r="A129" t="str">
            <v xml:space="preserve">                         в т.ч. для продажи ОАО "НОВАТЭК"</v>
          </cell>
        </row>
        <row r="131">
          <cell r="A131" t="str">
            <v>Заместитель Председателя Правления ОАО "Газпром" -</v>
          </cell>
        </row>
        <row r="132">
          <cell r="A132" t="str">
            <v>начальник  Финансово-экономического департамента                                                                       А.В. Круглов</v>
          </cell>
        </row>
        <row r="134">
          <cell r="A134" t="str">
            <v>Баланс газа по ООО "Оренбурггазпром"</v>
          </cell>
        </row>
        <row r="136">
          <cell r="I136">
            <v>0</v>
          </cell>
        </row>
        <row r="137">
          <cell r="E137" t="str">
            <v>2008г.</v>
          </cell>
          <cell r="F137" t="str">
            <v>I кв.</v>
          </cell>
          <cell r="G137" t="str">
            <v>II кв.</v>
          </cell>
          <cell r="H137" t="str">
            <v>III кв.</v>
          </cell>
          <cell r="I137" t="str">
            <v>IV кв.</v>
          </cell>
        </row>
        <row r="138">
          <cell r="A138" t="str">
            <v>1. Сырой газа (поступление на переработку)</v>
          </cell>
        </row>
        <row r="139">
          <cell r="A139" t="str">
            <v xml:space="preserve">                  ООО "Оренбурггазпром" (собственная добыча)</v>
          </cell>
        </row>
        <row r="140">
          <cell r="A140" t="str">
            <v xml:space="preserve">                            в т.ч. из газоконденсатных скважин</v>
          </cell>
        </row>
        <row r="141">
          <cell r="A141" t="str">
            <v xml:space="preserve">                                     попутный нефтяной газ</v>
          </cell>
        </row>
        <row r="142">
          <cell r="A142" t="str">
            <v xml:space="preserve">                  ООО "Сервиснефтегаз"</v>
          </cell>
        </row>
        <row r="143">
          <cell r="A143" t="str">
            <v xml:space="preserve">                  ЗАО "Стимул"</v>
          </cell>
        </row>
        <row r="144">
          <cell r="A144" t="str">
            <v xml:space="preserve">                  ЗАО "Уралнефтегазпром"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ка_исх"/>
      <sheetName val="сводка2вар"/>
      <sheetName val="ССР-СОГ 1в"/>
      <sheetName val="ССР-СОГбезБЗ 1в"/>
      <sheetName val="ССР-СОГ 2в"/>
      <sheetName val="ССР-СОГбезБЗ 2в"/>
      <sheetName val="ССР-АВО"/>
      <sheetName val="Кал(по мес)"/>
      <sheetName val="КВдин"/>
      <sheetName val="ЕСН"/>
      <sheetName val="ИД"/>
      <sheetName val="ИД ОБЩ"/>
      <sheetName val="мат"/>
      <sheetName val="КВ,Ам"/>
      <sheetName val="издер"/>
      <sheetName val="поток"/>
      <sheetName val="поток1"/>
      <sheetName val="доход"/>
      <sheetName val="чуств"/>
      <sheetName val="КВпеч"/>
      <sheetName val="удель"/>
      <sheetName val="осн-пок"/>
      <sheetName val="осн-печ"/>
      <sheetName val="чуств зн 1в"/>
      <sheetName val="чуств зн 2в"/>
      <sheetName val="мат печ"/>
      <sheetName val="плата за природ"/>
      <sheetName val="природ 1в"/>
      <sheetName val="п5.Атмосф"/>
      <sheetName val="п6.Сброс"/>
      <sheetName val="п7. ПЭМ"/>
      <sheetName val="ПЭМ"/>
      <sheetName val="отходы"/>
      <sheetName val="КВ"/>
      <sheetName val="главы 1-7p"/>
      <sheetName val="Лист3"/>
      <sheetName val="Справочники"/>
      <sheetName val="СИ"/>
      <sheetName val="4.2.4 (предложения)"/>
      <sheetName val="ССР-СОГ_1в"/>
      <sheetName val="ССР-СОГбезБЗ_1в"/>
      <sheetName val="ССР-СОГ_2в"/>
      <sheetName val="ССР-СОГбезБЗ_2в"/>
      <sheetName val="Кал(по_мес)"/>
      <sheetName val="ИД_ОБЩ"/>
      <sheetName val="чуств_зн_1в"/>
      <sheetName val="чуств_зн_2в"/>
      <sheetName val="мат_печ"/>
      <sheetName val="плата_за_природ"/>
      <sheetName val="природ_1в"/>
      <sheetName val="п5_Атмосф"/>
      <sheetName val="п6_Сброс"/>
      <sheetName val="п7__ПЭМ"/>
      <sheetName val="главы_1-7p"/>
      <sheetName val="ССР-СОГ_1в1"/>
      <sheetName val="ССР-СОГбезБЗ_1в1"/>
      <sheetName val="ССР-СОГ_2в1"/>
      <sheetName val="ССР-СОГбезБЗ_2в1"/>
      <sheetName val="Кал(по_мес)1"/>
      <sheetName val="ИД_ОБЩ1"/>
      <sheetName val="чуств_зн_1в1"/>
      <sheetName val="чуств_зн_2в1"/>
      <sheetName val="мат_печ1"/>
      <sheetName val="плата_за_природ1"/>
      <sheetName val="природ_1в1"/>
      <sheetName val="п5_Атмосф1"/>
      <sheetName val="п6_Сброс1"/>
      <sheetName val="п7__ПЭМ1"/>
      <sheetName val="главы_1-7p1"/>
      <sheetName val="3. Субъекты РФ"/>
      <sheetName val="5. Перечень месторождений"/>
      <sheetName val="4. Периметр организаций"/>
      <sheetName val="320-330"/>
      <sheetName val="Общие"/>
      <sheetName val="Заполнить_ФИО!"/>
      <sheetName val="synthgraph"/>
      <sheetName val="Лист_4"/>
      <sheetName val="Добыча-факт"/>
      <sheetName val="Константы"/>
      <sheetName val="Financials"/>
      <sheetName val="90190016"/>
      <sheetName val="УСО"/>
      <sheetName val="RSOILBAL"/>
      <sheetName val="СОГ-эфф 1й вариант сент2005"/>
      <sheetName val="норм КВ"/>
      <sheetName val="технол показ"/>
      <sheetName val="налоги из себ"/>
      <sheetName val="Параметры"/>
      <sheetName val="на 1 тут"/>
      <sheetName val="IPL Level 2 Curves 04-May-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tables/table1.xml><?xml version="1.0" encoding="utf-8"?>
<table xmlns="http://schemas.openxmlformats.org/spreadsheetml/2006/main" id="1" name="_TAB_COL_SET" displayName="_TAB_COL_SET" ref="H1:I13" totalsRowShown="0" headerRowDxfId="3" dataDxfId="2">
  <autoFilter ref="H1:I13"/>
  <tableColumns count="2">
    <tableColumn id="1" name="VAR_KEY" dataDxfId="1"/>
    <tableColumn id="2" name="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B2:I1455"/>
  <sheetViews>
    <sheetView workbookViewId="0">
      <selection activeCell="C1" sqref="C1:H1048576"/>
    </sheetView>
  </sheetViews>
  <sheetFormatPr defaultRowHeight="15" outlineLevelCol="1" x14ac:dyDescent="0.25"/>
  <cols>
    <col min="2" max="2" width="66.28515625" style="261" customWidth="1"/>
    <col min="3" max="5" width="18.85546875" style="261" customWidth="1" outlineLevel="1"/>
    <col min="6" max="6" width="31.7109375" style="261" customWidth="1" outlineLevel="1"/>
    <col min="7" max="8" width="13.85546875" style="261" customWidth="1" outlineLevel="1"/>
    <col min="9" max="9" width="12.28515625" style="261" customWidth="1"/>
  </cols>
  <sheetData>
    <row r="2" spans="2:9" ht="15.75" customHeight="1" x14ac:dyDescent="0.25">
      <c r="B2" s="288" t="s">
        <v>0</v>
      </c>
      <c r="C2" s="296" t="s">
        <v>1</v>
      </c>
      <c r="D2" s="297"/>
      <c r="E2" s="297"/>
      <c r="F2" s="297"/>
      <c r="G2" s="297"/>
      <c r="H2" s="298"/>
      <c r="I2" s="279" t="s">
        <v>2</v>
      </c>
    </row>
    <row r="3" spans="2:9" ht="15" customHeight="1" x14ac:dyDescent="0.25">
      <c r="B3" s="289"/>
      <c r="C3" s="293" t="s">
        <v>3</v>
      </c>
      <c r="D3" s="285" t="s">
        <v>4</v>
      </c>
      <c r="E3" s="285" t="s">
        <v>5</v>
      </c>
      <c r="F3" s="285" t="s">
        <v>6</v>
      </c>
      <c r="G3" s="285" t="s">
        <v>7</v>
      </c>
      <c r="H3" s="285" t="s">
        <v>8</v>
      </c>
      <c r="I3" s="280"/>
    </row>
    <row r="4" spans="2:9" ht="22.5" customHeight="1" x14ac:dyDescent="0.25">
      <c r="B4" s="283"/>
      <c r="C4" s="294"/>
      <c r="D4" s="281"/>
      <c r="E4" s="281"/>
      <c r="F4" s="281"/>
      <c r="G4" s="281"/>
      <c r="H4" s="281"/>
      <c r="I4" s="281"/>
    </row>
    <row r="5" spans="2:9" x14ac:dyDescent="0.25">
      <c r="B5" s="43"/>
      <c r="C5" s="43"/>
      <c r="D5" s="43"/>
      <c r="E5" s="43"/>
      <c r="F5" s="43"/>
      <c r="G5" s="43"/>
      <c r="H5" s="43"/>
      <c r="I5" s="43"/>
    </row>
    <row r="6" spans="2:9" ht="15.75" hidden="1" customHeight="1" x14ac:dyDescent="0.25">
      <c r="B6" s="45" t="s">
        <v>9</v>
      </c>
      <c r="C6" s="45"/>
      <c r="D6" s="45"/>
      <c r="E6" s="45">
        <v>1</v>
      </c>
      <c r="F6" s="45"/>
      <c r="G6" s="45"/>
      <c r="H6" s="45"/>
      <c r="I6" s="46" t="s">
        <v>10</v>
      </c>
    </row>
    <row r="7" spans="2:9" ht="15.75" hidden="1" customHeight="1" x14ac:dyDescent="0.25">
      <c r="B7" s="47" t="s">
        <v>11</v>
      </c>
      <c r="C7" s="47"/>
      <c r="D7" s="47"/>
      <c r="E7" s="47">
        <v>2</v>
      </c>
      <c r="F7" s="47"/>
      <c r="G7" s="47"/>
      <c r="H7" s="47"/>
      <c r="I7" s="48" t="s">
        <v>10</v>
      </c>
    </row>
    <row r="8" spans="2:9" ht="15.75" hidden="1" customHeight="1" x14ac:dyDescent="0.25">
      <c r="B8" s="47" t="s">
        <v>12</v>
      </c>
      <c r="C8" s="47"/>
      <c r="D8" s="47"/>
      <c r="E8" s="47">
        <v>3</v>
      </c>
      <c r="F8" s="47"/>
      <c r="G8" s="47"/>
      <c r="H8" s="47"/>
      <c r="I8" s="48" t="s">
        <v>10</v>
      </c>
    </row>
    <row r="9" spans="2:9" ht="31.5" hidden="1" customHeight="1" x14ac:dyDescent="0.25">
      <c r="B9" s="45" t="s">
        <v>13</v>
      </c>
      <c r="C9" s="45"/>
      <c r="D9" s="45"/>
      <c r="E9" s="45">
        <v>4</v>
      </c>
      <c r="F9" s="45"/>
      <c r="G9" s="45"/>
      <c r="H9" s="45"/>
      <c r="I9" s="48" t="s">
        <v>14</v>
      </c>
    </row>
    <row r="10" spans="2:9" ht="31.5" hidden="1" customHeight="1" x14ac:dyDescent="0.25">
      <c r="B10" s="47" t="s">
        <v>11</v>
      </c>
      <c r="C10" s="47"/>
      <c r="D10" s="47"/>
      <c r="E10" s="47">
        <v>5</v>
      </c>
      <c r="F10" s="47"/>
      <c r="G10" s="47"/>
      <c r="H10" s="47"/>
      <c r="I10" s="48" t="s">
        <v>14</v>
      </c>
    </row>
    <row r="11" spans="2:9" ht="31.5" hidden="1" customHeight="1" x14ac:dyDescent="0.25">
      <c r="B11" s="47" t="s">
        <v>12</v>
      </c>
      <c r="C11" s="47"/>
      <c r="D11" s="47"/>
      <c r="E11" s="47">
        <v>6</v>
      </c>
      <c r="F11" s="47"/>
      <c r="G11" s="47"/>
      <c r="H11" s="47"/>
      <c r="I11" s="48" t="s">
        <v>14</v>
      </c>
    </row>
    <row r="12" spans="2:9" ht="31.5" hidden="1" customHeight="1" x14ac:dyDescent="0.25">
      <c r="B12" s="49" t="s">
        <v>15</v>
      </c>
      <c r="C12" s="49"/>
      <c r="D12" s="49"/>
      <c r="E12" s="49">
        <v>7</v>
      </c>
      <c r="F12" s="49"/>
      <c r="G12" s="49"/>
      <c r="H12" s="49"/>
      <c r="I12" s="46" t="s">
        <v>10</v>
      </c>
    </row>
    <row r="13" spans="2:9" ht="31.5" hidden="1" customHeight="1" x14ac:dyDescent="0.25">
      <c r="B13" s="49" t="s">
        <v>16</v>
      </c>
      <c r="C13" s="49"/>
      <c r="D13" s="49"/>
      <c r="E13" s="49">
        <v>8</v>
      </c>
      <c r="F13" s="49"/>
      <c r="G13" s="49"/>
      <c r="H13" s="49"/>
      <c r="I13" s="46" t="s">
        <v>10</v>
      </c>
    </row>
    <row r="14" spans="2:9" ht="15.75" hidden="1" customHeight="1" x14ac:dyDescent="0.25">
      <c r="B14" s="50"/>
      <c r="C14" s="50"/>
      <c r="D14" s="50"/>
      <c r="E14" s="50">
        <v>9</v>
      </c>
      <c r="F14" s="50"/>
      <c r="G14" s="50"/>
      <c r="H14" s="50"/>
      <c r="I14" s="48"/>
    </row>
    <row r="15" spans="2:9" ht="15.75" customHeight="1" x14ac:dyDescent="0.25">
      <c r="B15" s="44" t="s">
        <v>17</v>
      </c>
      <c r="C15" s="44"/>
      <c r="D15" s="44"/>
      <c r="E15" s="44">
        <v>10</v>
      </c>
      <c r="F15" s="44"/>
      <c r="G15" s="44"/>
      <c r="H15" s="44"/>
      <c r="I15" s="44"/>
    </row>
    <row r="16" spans="2:9" ht="15.75" customHeight="1" x14ac:dyDescent="0.25">
      <c r="B16" s="44" t="s">
        <v>18</v>
      </c>
      <c r="C16" s="44"/>
      <c r="D16" s="44"/>
      <c r="E16" s="44">
        <v>11</v>
      </c>
      <c r="F16" s="44"/>
      <c r="G16" s="44"/>
      <c r="H16" s="44"/>
      <c r="I16" s="44"/>
    </row>
    <row r="17" spans="2:9" ht="15.75" customHeight="1" x14ac:dyDescent="0.25">
      <c r="B17" s="51" t="s">
        <v>19</v>
      </c>
      <c r="C17" s="51"/>
      <c r="D17" s="51"/>
      <c r="E17" s="51">
        <v>12</v>
      </c>
      <c r="F17" s="51"/>
      <c r="G17" s="51"/>
      <c r="H17" s="51"/>
      <c r="I17" s="52"/>
    </row>
    <row r="18" spans="2:9" ht="15.75" customHeight="1" x14ac:dyDescent="0.25">
      <c r="B18" s="53"/>
      <c r="C18" s="53"/>
      <c r="D18" s="53"/>
      <c r="E18" s="53">
        <v>13</v>
      </c>
      <c r="F18" s="53"/>
      <c r="G18" s="53"/>
      <c r="H18" s="53"/>
      <c r="I18" s="52"/>
    </row>
    <row r="19" spans="2:9" ht="63.75" customHeight="1" x14ac:dyDescent="0.25">
      <c r="B19" s="55" t="s">
        <v>20</v>
      </c>
      <c r="C19" s="234"/>
      <c r="D19" s="234"/>
      <c r="E19" s="235"/>
      <c r="F19" s="232" t="s">
        <v>21</v>
      </c>
      <c r="G19" s="231"/>
      <c r="H19" s="242"/>
      <c r="I19" s="80" t="s">
        <v>22</v>
      </c>
    </row>
    <row r="20" spans="2:9" ht="15.75" customHeight="1" x14ac:dyDescent="0.25">
      <c r="B20" s="56" t="s">
        <v>23</v>
      </c>
      <c r="C20" s="234"/>
      <c r="D20" s="234"/>
      <c r="E20" s="235">
        <v>14</v>
      </c>
      <c r="F20" s="232"/>
      <c r="G20" s="231"/>
      <c r="H20" s="242"/>
      <c r="I20" s="57" t="s">
        <v>22</v>
      </c>
    </row>
    <row r="21" spans="2:9" ht="51" customHeight="1" x14ac:dyDescent="0.25">
      <c r="B21" s="81" t="s">
        <v>24</v>
      </c>
      <c r="C21" s="234"/>
      <c r="D21" s="234"/>
      <c r="E21" s="235"/>
      <c r="F21" s="232" t="s">
        <v>25</v>
      </c>
      <c r="G21" s="231"/>
      <c r="H21" s="242"/>
      <c r="I21" s="80" t="s">
        <v>22</v>
      </c>
    </row>
    <row r="22" spans="2:9" ht="15.75" customHeight="1" x14ac:dyDescent="0.25">
      <c r="B22" s="75" t="s">
        <v>26</v>
      </c>
      <c r="C22" s="234"/>
      <c r="D22" s="234"/>
      <c r="E22" s="235"/>
      <c r="F22" s="232" t="s">
        <v>27</v>
      </c>
      <c r="G22" s="231"/>
      <c r="H22" s="242"/>
      <c r="I22" s="58" t="s">
        <v>22</v>
      </c>
    </row>
    <row r="23" spans="2:9" ht="38.25" customHeight="1" x14ac:dyDescent="0.25">
      <c r="B23" s="75" t="s">
        <v>28</v>
      </c>
      <c r="C23" s="234"/>
      <c r="D23" s="234"/>
      <c r="E23" s="235"/>
      <c r="F23" s="232" t="s">
        <v>29</v>
      </c>
      <c r="G23" s="231"/>
      <c r="H23" s="242"/>
      <c r="I23" s="58" t="s">
        <v>22</v>
      </c>
    </row>
    <row r="24" spans="2:9" ht="15.75" customHeight="1" x14ac:dyDescent="0.25">
      <c r="B24" s="75" t="s">
        <v>30</v>
      </c>
      <c r="C24" s="234"/>
      <c r="D24" s="234"/>
      <c r="E24" s="235"/>
      <c r="F24" s="232" t="s">
        <v>31</v>
      </c>
      <c r="G24" s="231"/>
      <c r="H24" s="242"/>
      <c r="I24" s="58" t="s">
        <v>22</v>
      </c>
    </row>
    <row r="25" spans="2:9" ht="15.75" customHeight="1" x14ac:dyDescent="0.25">
      <c r="B25" s="81" t="s">
        <v>32</v>
      </c>
      <c r="C25" s="234"/>
      <c r="D25" s="234"/>
      <c r="E25" s="235"/>
      <c r="F25" s="232" t="s">
        <v>33</v>
      </c>
      <c r="G25" s="231"/>
      <c r="H25" s="242"/>
      <c r="I25" s="80" t="s">
        <v>22</v>
      </c>
    </row>
    <row r="26" spans="2:9" ht="15.75" customHeight="1" x14ac:dyDescent="0.25">
      <c r="B26" s="75" t="s">
        <v>34</v>
      </c>
      <c r="C26" s="234"/>
      <c r="D26" s="234"/>
      <c r="E26" s="235"/>
      <c r="F26" s="232" t="s">
        <v>33</v>
      </c>
      <c r="G26" s="231"/>
      <c r="H26" s="242"/>
      <c r="I26" s="58" t="s">
        <v>22</v>
      </c>
    </row>
    <row r="27" spans="2:9" ht="15.75" customHeight="1" x14ac:dyDescent="0.25">
      <c r="B27" s="81" t="s">
        <v>35</v>
      </c>
      <c r="C27" s="234"/>
      <c r="D27" s="234"/>
      <c r="E27" s="235">
        <v>15</v>
      </c>
      <c r="F27" s="232"/>
      <c r="G27" s="231"/>
      <c r="H27" s="242"/>
      <c r="I27" s="80" t="s">
        <v>22</v>
      </c>
    </row>
    <row r="28" spans="2:9" ht="15.75" customHeight="1" x14ac:dyDescent="0.25">
      <c r="B28" s="75" t="s">
        <v>36</v>
      </c>
      <c r="C28" s="234"/>
      <c r="D28" s="234"/>
      <c r="E28" s="235">
        <v>16</v>
      </c>
      <c r="F28" s="232"/>
      <c r="G28" s="231"/>
      <c r="H28" s="242"/>
      <c r="I28" s="58" t="s">
        <v>22</v>
      </c>
    </row>
    <row r="29" spans="2:9" ht="25.5" customHeight="1" x14ac:dyDescent="0.25">
      <c r="B29" s="82" t="s">
        <v>37</v>
      </c>
      <c r="C29" s="234"/>
      <c r="D29" s="234"/>
      <c r="E29" s="235"/>
      <c r="F29" s="232" t="s">
        <v>38</v>
      </c>
      <c r="G29" s="231"/>
      <c r="H29" s="242"/>
      <c r="I29" s="80" t="s">
        <v>22</v>
      </c>
    </row>
    <row r="30" spans="2:9" ht="15.75" customHeight="1" x14ac:dyDescent="0.25">
      <c r="B30" s="81" t="s">
        <v>24</v>
      </c>
      <c r="C30" s="234"/>
      <c r="D30" s="234"/>
      <c r="E30" s="235"/>
      <c r="F30" s="232" t="s">
        <v>39</v>
      </c>
      <c r="G30" s="231"/>
      <c r="H30" s="242"/>
      <c r="I30" s="80" t="s">
        <v>22</v>
      </c>
    </row>
    <row r="31" spans="2:9" ht="15.75" customHeight="1" x14ac:dyDescent="0.25">
      <c r="B31" s="75" t="s">
        <v>26</v>
      </c>
      <c r="C31" s="234"/>
      <c r="D31" s="234"/>
      <c r="E31" s="235"/>
      <c r="F31" s="232" t="s">
        <v>27</v>
      </c>
      <c r="G31" s="231"/>
      <c r="H31" s="242"/>
      <c r="I31" s="58" t="s">
        <v>22</v>
      </c>
    </row>
    <row r="32" spans="2:9" ht="15.75" customHeight="1" x14ac:dyDescent="0.25">
      <c r="B32" s="75" t="s">
        <v>30</v>
      </c>
      <c r="C32" s="234"/>
      <c r="D32" s="234"/>
      <c r="E32" s="235"/>
      <c r="F32" s="232" t="s">
        <v>40</v>
      </c>
      <c r="G32" s="231"/>
      <c r="H32" s="242"/>
      <c r="I32" s="58" t="s">
        <v>22</v>
      </c>
    </row>
    <row r="33" spans="2:9" ht="15.75" customHeight="1" x14ac:dyDescent="0.25">
      <c r="B33" s="76" t="s">
        <v>41</v>
      </c>
      <c r="C33" s="234"/>
      <c r="D33" s="234"/>
      <c r="E33" s="235"/>
      <c r="F33" s="232" t="s">
        <v>40</v>
      </c>
      <c r="G33" s="231"/>
      <c r="H33" s="242"/>
      <c r="I33" s="59" t="s">
        <v>22</v>
      </c>
    </row>
    <row r="34" spans="2:9" ht="15.75" customHeight="1" x14ac:dyDescent="0.25">
      <c r="B34" s="81" t="s">
        <v>32</v>
      </c>
      <c r="C34" s="234"/>
      <c r="D34" s="234"/>
      <c r="E34" s="235"/>
      <c r="F34" s="232" t="s">
        <v>42</v>
      </c>
      <c r="G34" s="231"/>
      <c r="H34" s="242"/>
      <c r="I34" s="80" t="s">
        <v>22</v>
      </c>
    </row>
    <row r="35" spans="2:9" ht="15.75" customHeight="1" x14ac:dyDescent="0.25">
      <c r="B35" s="75" t="s">
        <v>34</v>
      </c>
      <c r="C35" s="234"/>
      <c r="D35" s="234"/>
      <c r="E35" s="235"/>
      <c r="F35" s="232" t="s">
        <v>42</v>
      </c>
      <c r="G35" s="231"/>
      <c r="H35" s="242"/>
      <c r="I35" s="58" t="s">
        <v>22</v>
      </c>
    </row>
    <row r="36" spans="2:9" ht="15.75" customHeight="1" x14ac:dyDescent="0.25">
      <c r="B36" s="65" t="s">
        <v>35</v>
      </c>
      <c r="C36" s="234"/>
      <c r="D36" s="234"/>
      <c r="E36" s="235">
        <v>17</v>
      </c>
      <c r="F36" s="232"/>
      <c r="G36" s="231"/>
      <c r="H36" s="242"/>
      <c r="I36" s="60" t="s">
        <v>22</v>
      </c>
    </row>
    <row r="37" spans="2:9" ht="15.75" customHeight="1" x14ac:dyDescent="0.25">
      <c r="B37" s="66" t="s">
        <v>36</v>
      </c>
      <c r="C37" s="234"/>
      <c r="D37" s="234"/>
      <c r="E37" s="235">
        <v>18</v>
      </c>
      <c r="F37" s="232"/>
      <c r="G37" s="231"/>
      <c r="H37" s="242"/>
      <c r="I37" s="61" t="s">
        <v>22</v>
      </c>
    </row>
    <row r="38" spans="2:9" ht="15.75" customHeight="1" x14ac:dyDescent="0.25">
      <c r="B38" s="63" t="s">
        <v>43</v>
      </c>
      <c r="C38" s="234"/>
      <c r="D38" s="234"/>
      <c r="E38" s="235">
        <v>19</v>
      </c>
      <c r="F38" s="232"/>
      <c r="G38" s="231"/>
      <c r="H38" s="242"/>
      <c r="I38" s="62" t="s">
        <v>22</v>
      </c>
    </row>
    <row r="39" spans="2:9" ht="15.75" customHeight="1" x14ac:dyDescent="0.25">
      <c r="B39" s="63" t="s">
        <v>44</v>
      </c>
      <c r="C39" s="234"/>
      <c r="D39" s="234"/>
      <c r="E39" s="235">
        <v>20</v>
      </c>
      <c r="F39" s="232"/>
      <c r="G39" s="231"/>
      <c r="H39" s="242"/>
      <c r="I39" s="62" t="s">
        <v>22</v>
      </c>
    </row>
    <row r="40" spans="2:9" ht="15.75" customHeight="1" x14ac:dyDescent="0.25">
      <c r="B40" s="63" t="s">
        <v>45</v>
      </c>
      <c r="C40" s="234"/>
      <c r="D40" s="234"/>
      <c r="E40" s="235">
        <v>21</v>
      </c>
      <c r="F40" s="232"/>
      <c r="G40" s="231"/>
      <c r="H40" s="242"/>
      <c r="I40" s="62" t="s">
        <v>22</v>
      </c>
    </row>
    <row r="41" spans="2:9" ht="51" customHeight="1" x14ac:dyDescent="0.25">
      <c r="B41" s="82" t="s">
        <v>46</v>
      </c>
      <c r="C41" s="234"/>
      <c r="D41" s="234"/>
      <c r="E41" s="235"/>
      <c r="F41" s="232" t="s">
        <v>47</v>
      </c>
      <c r="G41" s="231"/>
      <c r="H41" s="242"/>
      <c r="I41" s="80" t="s">
        <v>22</v>
      </c>
    </row>
    <row r="42" spans="2:9" ht="15.75" customHeight="1" x14ac:dyDescent="0.25">
      <c r="B42" s="81" t="s">
        <v>48</v>
      </c>
      <c r="C42" s="234"/>
      <c r="D42" s="234"/>
      <c r="E42" s="235"/>
      <c r="F42" s="232">
        <v>0</v>
      </c>
      <c r="G42" s="231"/>
      <c r="H42" s="242"/>
      <c r="I42" s="80" t="s">
        <v>22</v>
      </c>
    </row>
    <row r="43" spans="2:9" ht="15.75" customHeight="1" x14ac:dyDescent="0.25">
      <c r="B43" s="64" t="s">
        <v>26</v>
      </c>
      <c r="C43" s="234"/>
      <c r="D43" s="234"/>
      <c r="E43" s="235"/>
      <c r="F43" s="232">
        <v>0</v>
      </c>
      <c r="G43" s="231"/>
      <c r="H43" s="242"/>
      <c r="I43" s="58" t="s">
        <v>22</v>
      </c>
    </row>
    <row r="44" spans="2:9" ht="15.75" customHeight="1" x14ac:dyDescent="0.25">
      <c r="B44" s="83" t="s">
        <v>48</v>
      </c>
      <c r="C44" s="234"/>
      <c r="D44" s="234"/>
      <c r="E44" s="235">
        <v>22</v>
      </c>
      <c r="F44" s="232"/>
      <c r="G44" s="231"/>
      <c r="H44" s="242"/>
      <c r="I44" s="59" t="s">
        <v>22</v>
      </c>
    </row>
    <row r="45" spans="2:9" ht="38.25" customHeight="1" x14ac:dyDescent="0.25">
      <c r="B45" s="81" t="s">
        <v>24</v>
      </c>
      <c r="C45" s="234"/>
      <c r="D45" s="234"/>
      <c r="E45" s="235"/>
      <c r="F45" s="232" t="s">
        <v>29</v>
      </c>
      <c r="G45" s="231"/>
      <c r="H45" s="242"/>
      <c r="I45" s="80" t="s">
        <v>22</v>
      </c>
    </row>
    <row r="46" spans="2:9" ht="38.25" customHeight="1" x14ac:dyDescent="0.25">
      <c r="B46" s="75" t="s">
        <v>28</v>
      </c>
      <c r="C46" s="234"/>
      <c r="D46" s="234"/>
      <c r="E46" s="235"/>
      <c r="F46" s="232" t="s">
        <v>29</v>
      </c>
      <c r="G46" s="231"/>
      <c r="H46" s="242"/>
      <c r="I46" s="58" t="s">
        <v>22</v>
      </c>
    </row>
    <row r="47" spans="2:9" ht="38.25" customHeight="1" x14ac:dyDescent="0.25">
      <c r="B47" s="75" t="s">
        <v>49</v>
      </c>
      <c r="C47" s="234"/>
      <c r="D47" s="234"/>
      <c r="E47" s="235"/>
      <c r="F47" s="232" t="s">
        <v>29</v>
      </c>
      <c r="G47" s="231"/>
      <c r="H47" s="242"/>
      <c r="I47" s="59" t="s">
        <v>22</v>
      </c>
    </row>
    <row r="48" spans="2:9" ht="15.75" customHeight="1" x14ac:dyDescent="0.25">
      <c r="B48" s="76" t="s">
        <v>50</v>
      </c>
      <c r="C48" s="234"/>
      <c r="D48" s="234"/>
      <c r="E48" s="235"/>
      <c r="F48" s="232" t="s">
        <v>51</v>
      </c>
      <c r="G48" s="231"/>
      <c r="H48" s="242"/>
      <c r="I48" s="59" t="s">
        <v>22</v>
      </c>
    </row>
    <row r="49" spans="2:9" ht="15.75" customHeight="1" x14ac:dyDescent="0.25">
      <c r="B49" s="76" t="s">
        <v>52</v>
      </c>
      <c r="C49" s="234"/>
      <c r="D49" s="234"/>
      <c r="E49" s="235"/>
      <c r="F49" s="232" t="s">
        <v>53</v>
      </c>
      <c r="G49" s="231"/>
      <c r="H49" s="242"/>
      <c r="I49" s="59" t="s">
        <v>22</v>
      </c>
    </row>
    <row r="50" spans="2:9" ht="15.75" customHeight="1" x14ac:dyDescent="0.25">
      <c r="B50" s="76" t="s">
        <v>54</v>
      </c>
      <c r="C50" s="234"/>
      <c r="D50" s="234"/>
      <c r="E50" s="235"/>
      <c r="F50" s="232" t="s">
        <v>55</v>
      </c>
      <c r="G50" s="231"/>
      <c r="H50" s="242"/>
      <c r="I50" s="59" t="s">
        <v>22</v>
      </c>
    </row>
    <row r="51" spans="2:9" ht="15.75" customHeight="1" x14ac:dyDescent="0.25">
      <c r="B51" s="76" t="s">
        <v>56</v>
      </c>
      <c r="C51" s="234"/>
      <c r="D51" s="234"/>
      <c r="E51" s="235"/>
      <c r="F51" s="232" t="s">
        <v>57</v>
      </c>
      <c r="G51" s="231"/>
      <c r="H51" s="242"/>
      <c r="I51" s="59" t="s">
        <v>22</v>
      </c>
    </row>
    <row r="52" spans="2:9" ht="15.75" customHeight="1" x14ac:dyDescent="0.25">
      <c r="B52" s="76" t="s">
        <v>58</v>
      </c>
      <c r="C52" s="234"/>
      <c r="D52" s="234"/>
      <c r="E52" s="235"/>
      <c r="F52" s="232" t="s">
        <v>59</v>
      </c>
      <c r="G52" s="231"/>
      <c r="H52" s="242"/>
      <c r="I52" s="59" t="s">
        <v>22</v>
      </c>
    </row>
    <row r="53" spans="2:9" ht="15.75" customHeight="1" x14ac:dyDescent="0.25">
      <c r="B53" s="76" t="s">
        <v>60</v>
      </c>
      <c r="C53" s="234"/>
      <c r="D53" s="234"/>
      <c r="E53" s="235"/>
      <c r="F53" s="232" t="s">
        <v>61</v>
      </c>
      <c r="G53" s="231"/>
      <c r="H53" s="242"/>
      <c r="I53" s="59" t="s">
        <v>22</v>
      </c>
    </row>
    <row r="54" spans="2:9" ht="15.75" customHeight="1" x14ac:dyDescent="0.25">
      <c r="B54" s="76" t="s">
        <v>62</v>
      </c>
      <c r="C54" s="234"/>
      <c r="D54" s="234"/>
      <c r="E54" s="235"/>
      <c r="F54" s="232" t="s">
        <v>63</v>
      </c>
      <c r="G54" s="231"/>
      <c r="H54" s="242"/>
      <c r="I54" s="59" t="s">
        <v>22</v>
      </c>
    </row>
    <row r="55" spans="2:9" ht="15.75" customHeight="1" x14ac:dyDescent="0.25">
      <c r="B55" s="81" t="s">
        <v>64</v>
      </c>
      <c r="C55" s="234"/>
      <c r="D55" s="234"/>
      <c r="E55" s="235"/>
      <c r="F55" s="232" t="s">
        <v>65</v>
      </c>
      <c r="G55" s="231"/>
      <c r="H55" s="242"/>
      <c r="I55" s="80" t="s">
        <v>22</v>
      </c>
    </row>
    <row r="56" spans="2:9" ht="15.75" customHeight="1" x14ac:dyDescent="0.25">
      <c r="B56" s="75" t="s">
        <v>30</v>
      </c>
      <c r="C56" s="234"/>
      <c r="D56" s="234"/>
      <c r="E56" s="235"/>
      <c r="F56" s="232" t="s">
        <v>65</v>
      </c>
      <c r="G56" s="231"/>
      <c r="H56" s="242"/>
      <c r="I56" s="58" t="s">
        <v>22</v>
      </c>
    </row>
    <row r="57" spans="2:9" ht="15.75" customHeight="1" x14ac:dyDescent="0.25">
      <c r="B57" s="76" t="s">
        <v>66</v>
      </c>
      <c r="C57" s="234"/>
      <c r="D57" s="234"/>
      <c r="E57" s="235"/>
      <c r="F57" s="232" t="s">
        <v>65</v>
      </c>
      <c r="G57" s="231"/>
      <c r="H57" s="242"/>
      <c r="I57" s="59" t="s">
        <v>22</v>
      </c>
    </row>
    <row r="58" spans="2:9" ht="15.75" customHeight="1" x14ac:dyDescent="0.25">
      <c r="B58" s="81" t="s">
        <v>32</v>
      </c>
      <c r="C58" s="234"/>
      <c r="D58" s="234"/>
      <c r="E58" s="235"/>
      <c r="F58" s="232" t="s">
        <v>67</v>
      </c>
      <c r="G58" s="231"/>
      <c r="H58" s="242"/>
      <c r="I58" s="80" t="s">
        <v>22</v>
      </c>
    </row>
    <row r="59" spans="2:9" ht="15.75" customHeight="1" x14ac:dyDescent="0.25">
      <c r="B59" s="75" t="s">
        <v>34</v>
      </c>
      <c r="C59" s="234"/>
      <c r="D59" s="234"/>
      <c r="E59" s="235"/>
      <c r="F59" s="232" t="s">
        <v>67</v>
      </c>
      <c r="G59" s="231"/>
      <c r="H59" s="242"/>
      <c r="I59" s="58" t="s">
        <v>22</v>
      </c>
    </row>
    <row r="60" spans="2:9" ht="15.75" customHeight="1" x14ac:dyDescent="0.25">
      <c r="B60" s="65" t="s">
        <v>35</v>
      </c>
      <c r="C60" s="234"/>
      <c r="D60" s="234"/>
      <c r="E60" s="235">
        <v>23</v>
      </c>
      <c r="F60" s="232"/>
      <c r="G60" s="231"/>
      <c r="H60" s="242"/>
      <c r="I60" s="60" t="s">
        <v>22</v>
      </c>
    </row>
    <row r="61" spans="2:9" ht="15.75" customHeight="1" x14ac:dyDescent="0.25">
      <c r="B61" s="66" t="s">
        <v>68</v>
      </c>
      <c r="C61" s="234"/>
      <c r="D61" s="234"/>
      <c r="E61" s="235">
        <v>24</v>
      </c>
      <c r="F61" s="232"/>
      <c r="G61" s="231"/>
      <c r="H61" s="242"/>
      <c r="I61" s="61" t="s">
        <v>22</v>
      </c>
    </row>
    <row r="62" spans="2:9" ht="15.75" customHeight="1" x14ac:dyDescent="0.25">
      <c r="B62" s="63" t="s">
        <v>69</v>
      </c>
      <c r="C62" s="234"/>
      <c r="D62" s="234"/>
      <c r="E62" s="235">
        <v>25</v>
      </c>
      <c r="F62" s="232"/>
      <c r="G62" s="231"/>
      <c r="H62" s="242"/>
      <c r="I62" s="62" t="s">
        <v>22</v>
      </c>
    </row>
    <row r="63" spans="2:9" ht="15.75" customHeight="1" x14ac:dyDescent="0.25">
      <c r="B63" s="63" t="s">
        <v>70</v>
      </c>
      <c r="C63" s="234"/>
      <c r="D63" s="234"/>
      <c r="E63" s="235">
        <v>26</v>
      </c>
      <c r="F63" s="232"/>
      <c r="G63" s="231"/>
      <c r="H63" s="242"/>
      <c r="I63" s="62" t="s">
        <v>22</v>
      </c>
    </row>
    <row r="64" spans="2:9" ht="15.75" customHeight="1" x14ac:dyDescent="0.25">
      <c r="B64" s="81"/>
      <c r="C64" s="234"/>
      <c r="D64" s="234"/>
      <c r="E64" s="235">
        <v>27</v>
      </c>
      <c r="F64" s="232"/>
      <c r="G64" s="231"/>
      <c r="H64" s="242"/>
      <c r="I64" s="80"/>
    </row>
    <row r="65" spans="2:9" ht="15.75" customHeight="1" x14ac:dyDescent="0.25">
      <c r="B65" s="88" t="s">
        <v>71</v>
      </c>
      <c r="C65" s="234"/>
      <c r="D65" s="234"/>
      <c r="E65" s="235">
        <v>28</v>
      </c>
      <c r="F65" s="232"/>
      <c r="G65" s="231"/>
      <c r="H65" s="242"/>
      <c r="I65" s="80"/>
    </row>
    <row r="66" spans="2:9" ht="51" customHeight="1" x14ac:dyDescent="0.25">
      <c r="B66" s="81" t="s">
        <v>32</v>
      </c>
      <c r="C66" s="234"/>
      <c r="D66" s="234"/>
      <c r="E66" s="235"/>
      <c r="F66" s="232" t="s">
        <v>72</v>
      </c>
      <c r="G66" s="231"/>
      <c r="H66" s="242"/>
      <c r="I66" s="80" t="s">
        <v>22</v>
      </c>
    </row>
    <row r="67" spans="2:9" ht="51" customHeight="1" x14ac:dyDescent="0.25">
      <c r="B67" s="75" t="s">
        <v>34</v>
      </c>
      <c r="C67" s="234"/>
      <c r="D67" s="234"/>
      <c r="E67" s="235"/>
      <c r="F67" s="232" t="s">
        <v>72</v>
      </c>
      <c r="G67" s="231"/>
      <c r="H67" s="242"/>
      <c r="I67" s="58" t="s">
        <v>22</v>
      </c>
    </row>
    <row r="68" spans="2:9" ht="15.75" customHeight="1" x14ac:dyDescent="0.25">
      <c r="B68" s="82" t="s">
        <v>73</v>
      </c>
      <c r="C68" s="234"/>
      <c r="D68" s="234"/>
      <c r="E68" s="235">
        <v>29</v>
      </c>
      <c r="F68" s="232"/>
      <c r="G68" s="231"/>
      <c r="H68" s="242"/>
      <c r="I68" s="80"/>
    </row>
    <row r="69" spans="2:9" ht="25.5" customHeight="1" x14ac:dyDescent="0.25">
      <c r="B69" s="81" t="s">
        <v>32</v>
      </c>
      <c r="C69" s="234"/>
      <c r="D69" s="234"/>
      <c r="E69" s="235"/>
      <c r="F69" s="232" t="s">
        <v>74</v>
      </c>
      <c r="G69" s="231"/>
      <c r="H69" s="242"/>
      <c r="I69" s="80" t="s">
        <v>22</v>
      </c>
    </row>
    <row r="70" spans="2:9" ht="25.5" customHeight="1" x14ac:dyDescent="0.25">
      <c r="B70" s="75" t="s">
        <v>34</v>
      </c>
      <c r="C70" s="234"/>
      <c r="D70" s="234"/>
      <c r="E70" s="235"/>
      <c r="F70" s="232" t="s">
        <v>74</v>
      </c>
      <c r="G70" s="231"/>
      <c r="H70" s="242"/>
      <c r="I70" s="58" t="s">
        <v>22</v>
      </c>
    </row>
    <row r="71" spans="2:9" ht="15.75" customHeight="1" x14ac:dyDescent="0.25">
      <c r="B71" s="82" t="s">
        <v>75</v>
      </c>
      <c r="C71" s="234"/>
      <c r="D71" s="234"/>
      <c r="E71" s="235">
        <v>30</v>
      </c>
      <c r="F71" s="232"/>
      <c r="G71" s="231"/>
      <c r="H71" s="242"/>
      <c r="I71" s="80"/>
    </row>
    <row r="72" spans="2:9" ht="15.75" customHeight="1" x14ac:dyDescent="0.25">
      <c r="B72" s="81" t="s">
        <v>32</v>
      </c>
      <c r="C72" s="234"/>
      <c r="D72" s="234"/>
      <c r="E72" s="235"/>
      <c r="F72" s="232" t="s">
        <v>76</v>
      </c>
      <c r="G72" s="231"/>
      <c r="H72" s="242"/>
      <c r="I72" s="80" t="s">
        <v>22</v>
      </c>
    </row>
    <row r="73" spans="2:9" ht="15.75" customHeight="1" x14ac:dyDescent="0.25">
      <c r="B73" s="75" t="s">
        <v>34</v>
      </c>
      <c r="C73" s="234"/>
      <c r="D73" s="234"/>
      <c r="E73" s="235"/>
      <c r="F73" s="232" t="s">
        <v>76</v>
      </c>
      <c r="G73" s="231"/>
      <c r="H73" s="242"/>
      <c r="I73" s="58" t="s">
        <v>22</v>
      </c>
    </row>
    <row r="74" spans="2:9" ht="15.75" customHeight="1" x14ac:dyDescent="0.25">
      <c r="B74" s="81"/>
      <c r="C74" s="234"/>
      <c r="D74" s="234"/>
      <c r="E74" s="235">
        <v>31</v>
      </c>
      <c r="F74" s="232"/>
      <c r="G74" s="231"/>
      <c r="H74" s="242"/>
      <c r="I74" s="80"/>
    </row>
    <row r="75" spans="2:9" ht="15.75" customHeight="1" x14ac:dyDescent="0.25">
      <c r="B75" s="79" t="s">
        <v>77</v>
      </c>
      <c r="C75" s="234"/>
      <c r="D75" s="234"/>
      <c r="E75" s="235">
        <v>32</v>
      </c>
      <c r="F75" s="232"/>
      <c r="G75" s="231"/>
      <c r="H75" s="242"/>
      <c r="I75" s="80"/>
    </row>
    <row r="76" spans="2:9" ht="25.5" customHeight="1" x14ac:dyDescent="0.25">
      <c r="B76" s="81" t="s">
        <v>24</v>
      </c>
      <c r="C76" s="234"/>
      <c r="D76" s="234"/>
      <c r="E76" s="235"/>
      <c r="F76" s="232" t="s">
        <v>78</v>
      </c>
      <c r="G76" s="231"/>
      <c r="H76" s="242"/>
      <c r="I76" s="80" t="s">
        <v>22</v>
      </c>
    </row>
    <row r="77" spans="2:9" ht="25.5" customHeight="1" x14ac:dyDescent="0.25">
      <c r="B77" s="75" t="s">
        <v>79</v>
      </c>
      <c r="C77" s="234"/>
      <c r="D77" s="234"/>
      <c r="E77" s="235"/>
      <c r="F77" s="232" t="s">
        <v>78</v>
      </c>
      <c r="G77" s="231"/>
      <c r="H77" s="242"/>
      <c r="I77" s="58" t="s">
        <v>22</v>
      </c>
    </row>
    <row r="78" spans="2:9" ht="15.75" customHeight="1" x14ac:dyDescent="0.25">
      <c r="B78" s="82" t="s">
        <v>80</v>
      </c>
      <c r="C78" s="234"/>
      <c r="D78" s="234"/>
      <c r="E78" s="235"/>
      <c r="F78" s="232">
        <v>0</v>
      </c>
      <c r="G78" s="231"/>
      <c r="H78" s="242"/>
      <c r="I78" s="80" t="s">
        <v>22</v>
      </c>
    </row>
    <row r="79" spans="2:9" ht="25.5" customHeight="1" x14ac:dyDescent="0.25">
      <c r="B79" s="82" t="s">
        <v>81</v>
      </c>
      <c r="C79" s="234"/>
      <c r="D79" s="234"/>
      <c r="E79" s="235"/>
      <c r="F79" s="232" t="s">
        <v>78</v>
      </c>
      <c r="G79" s="231"/>
      <c r="H79" s="242"/>
      <c r="I79" s="80" t="s">
        <v>22</v>
      </c>
    </row>
    <row r="80" spans="2:9" ht="25.5" customHeight="1" x14ac:dyDescent="0.25">
      <c r="B80" s="81" t="s">
        <v>24</v>
      </c>
      <c r="C80" s="234"/>
      <c r="D80" s="234"/>
      <c r="E80" s="235"/>
      <c r="F80" s="232" t="s">
        <v>78</v>
      </c>
      <c r="G80" s="231"/>
      <c r="H80" s="242"/>
      <c r="I80" s="80" t="s">
        <v>22</v>
      </c>
    </row>
    <row r="81" spans="2:9" ht="25.5" customHeight="1" x14ac:dyDescent="0.25">
      <c r="B81" s="75" t="s">
        <v>79</v>
      </c>
      <c r="C81" s="234"/>
      <c r="D81" s="234"/>
      <c r="E81" s="235"/>
      <c r="F81" s="232" t="s">
        <v>78</v>
      </c>
      <c r="G81" s="231"/>
      <c r="H81" s="242"/>
      <c r="I81" s="58" t="s">
        <v>22</v>
      </c>
    </row>
    <row r="82" spans="2:9" ht="15.75" customHeight="1" x14ac:dyDescent="0.25">
      <c r="B82" s="76" t="s">
        <v>82</v>
      </c>
      <c r="C82" s="234"/>
      <c r="D82" s="234"/>
      <c r="E82" s="235"/>
      <c r="F82" s="232" t="s">
        <v>83</v>
      </c>
      <c r="G82" s="231"/>
      <c r="H82" s="242"/>
      <c r="I82" s="59" t="s">
        <v>22</v>
      </c>
    </row>
    <row r="83" spans="2:9" ht="15.75" customHeight="1" x14ac:dyDescent="0.25">
      <c r="B83" s="76" t="s">
        <v>52</v>
      </c>
      <c r="C83" s="234"/>
      <c r="D83" s="234"/>
      <c r="E83" s="235"/>
      <c r="F83" s="232" t="s">
        <v>84</v>
      </c>
      <c r="G83" s="231"/>
      <c r="H83" s="242"/>
      <c r="I83" s="59" t="s">
        <v>22</v>
      </c>
    </row>
    <row r="84" spans="2:9" ht="15.75" customHeight="1" x14ac:dyDescent="0.25">
      <c r="B84" s="106" t="s">
        <v>85</v>
      </c>
      <c r="C84" s="234"/>
      <c r="D84" s="234"/>
      <c r="E84" s="235"/>
      <c r="F84" s="232" t="s">
        <v>86</v>
      </c>
      <c r="G84" s="231"/>
      <c r="H84" s="242"/>
      <c r="I84" s="59" t="s">
        <v>22</v>
      </c>
    </row>
    <row r="85" spans="2:9" ht="38.25" customHeight="1" x14ac:dyDescent="0.25">
      <c r="B85" s="67"/>
      <c r="C85" s="234"/>
      <c r="D85" s="234"/>
      <c r="E85" s="235"/>
      <c r="F85" s="232" t="s">
        <v>87</v>
      </c>
      <c r="G85" s="231"/>
      <c r="H85" s="242"/>
      <c r="I85" s="68" t="s">
        <v>88</v>
      </c>
    </row>
    <row r="86" spans="2:9" ht="51" customHeight="1" x14ac:dyDescent="0.25">
      <c r="B86" s="69"/>
      <c r="C86" s="234"/>
      <c r="D86" s="234"/>
      <c r="E86" s="235"/>
      <c r="F86" s="232" t="s">
        <v>89</v>
      </c>
      <c r="G86" s="231"/>
      <c r="H86" s="242"/>
      <c r="I86" s="68" t="s">
        <v>90</v>
      </c>
    </row>
    <row r="87" spans="2:9" ht="15.75" customHeight="1" x14ac:dyDescent="0.25">
      <c r="B87" s="69"/>
      <c r="C87" s="234"/>
      <c r="D87" s="234"/>
      <c r="E87" s="235">
        <v>33</v>
      </c>
      <c r="F87" s="232"/>
      <c r="G87" s="231"/>
      <c r="H87" s="242"/>
      <c r="I87" s="68"/>
    </row>
    <row r="88" spans="2:9" ht="153" customHeight="1" x14ac:dyDescent="0.25">
      <c r="B88" s="70" t="s">
        <v>91</v>
      </c>
      <c r="C88" s="234"/>
      <c r="D88" s="234"/>
      <c r="E88" s="235"/>
      <c r="F88" s="232" t="s">
        <v>92</v>
      </c>
      <c r="G88" s="231"/>
      <c r="H88" s="242"/>
      <c r="I88" s="80" t="s">
        <v>10</v>
      </c>
    </row>
    <row r="89" spans="2:9" ht="102" customHeight="1" x14ac:dyDescent="0.25">
      <c r="B89" s="82" t="s">
        <v>93</v>
      </c>
      <c r="C89" s="234"/>
      <c r="D89" s="234"/>
      <c r="E89" s="235"/>
      <c r="F89" s="232" t="s">
        <v>94</v>
      </c>
      <c r="G89" s="231"/>
      <c r="H89" s="242"/>
      <c r="I89" s="80" t="s">
        <v>10</v>
      </c>
    </row>
    <row r="90" spans="2:9" ht="51" customHeight="1" x14ac:dyDescent="0.25">
      <c r="B90" s="81" t="s">
        <v>95</v>
      </c>
      <c r="C90" s="234"/>
      <c r="D90" s="234"/>
      <c r="E90" s="235"/>
      <c r="F90" s="232" t="s">
        <v>96</v>
      </c>
      <c r="G90" s="231"/>
      <c r="H90" s="242"/>
      <c r="I90" s="80" t="s">
        <v>10</v>
      </c>
    </row>
    <row r="91" spans="2:9" ht="15.75" customHeight="1" x14ac:dyDescent="0.25">
      <c r="B91" s="75" t="s">
        <v>26</v>
      </c>
      <c r="C91" s="234"/>
      <c r="D91" s="234"/>
      <c r="E91" s="235"/>
      <c r="F91" s="232" t="s">
        <v>97</v>
      </c>
      <c r="G91" s="231"/>
      <c r="H91" s="242"/>
      <c r="I91" s="58" t="s">
        <v>10</v>
      </c>
    </row>
    <row r="92" spans="2:9" ht="25.5" customHeight="1" x14ac:dyDescent="0.25">
      <c r="B92" s="75" t="s">
        <v>28</v>
      </c>
      <c r="C92" s="234"/>
      <c r="D92" s="234"/>
      <c r="E92" s="235"/>
      <c r="F92" s="232" t="s">
        <v>98</v>
      </c>
      <c r="G92" s="231"/>
      <c r="H92" s="242"/>
      <c r="I92" s="58" t="s">
        <v>10</v>
      </c>
    </row>
    <row r="93" spans="2:9" ht="15.75" customHeight="1" x14ac:dyDescent="0.25">
      <c r="B93" s="75" t="s">
        <v>30</v>
      </c>
      <c r="C93" s="234"/>
      <c r="D93" s="234"/>
      <c r="E93" s="235"/>
      <c r="F93" s="232" t="s">
        <v>99</v>
      </c>
      <c r="G93" s="231"/>
      <c r="H93" s="242"/>
      <c r="I93" s="58" t="s">
        <v>10</v>
      </c>
    </row>
    <row r="94" spans="2:9" ht="25.5" customHeight="1" x14ac:dyDescent="0.25">
      <c r="B94" s="75" t="s">
        <v>100</v>
      </c>
      <c r="C94" s="234"/>
      <c r="D94" s="234"/>
      <c r="E94" s="235"/>
      <c r="F94" s="232" t="s">
        <v>101</v>
      </c>
      <c r="G94" s="231"/>
      <c r="H94" s="242"/>
      <c r="I94" s="58" t="s">
        <v>10</v>
      </c>
    </row>
    <row r="95" spans="2:9" ht="15.75" customHeight="1" x14ac:dyDescent="0.25">
      <c r="B95" s="81" t="s">
        <v>102</v>
      </c>
      <c r="C95" s="234"/>
      <c r="D95" s="234"/>
      <c r="E95" s="235"/>
      <c r="F95" s="232" t="s">
        <v>103</v>
      </c>
      <c r="G95" s="231"/>
      <c r="H95" s="242"/>
      <c r="I95" s="80" t="s">
        <v>10</v>
      </c>
    </row>
    <row r="96" spans="2:9" ht="15.75" customHeight="1" x14ac:dyDescent="0.25">
      <c r="B96" s="81" t="s">
        <v>104</v>
      </c>
      <c r="C96" s="234"/>
      <c r="D96" s="234"/>
      <c r="E96" s="235"/>
      <c r="F96" s="232" t="s">
        <v>105</v>
      </c>
      <c r="G96" s="231"/>
      <c r="H96" s="242"/>
      <c r="I96" s="80" t="s">
        <v>10</v>
      </c>
    </row>
    <row r="97" spans="2:9" ht="15.75" customHeight="1" x14ac:dyDescent="0.25">
      <c r="B97" s="71" t="s">
        <v>106</v>
      </c>
      <c r="C97" s="234"/>
      <c r="D97" s="234"/>
      <c r="E97" s="235"/>
      <c r="F97" s="232" t="s">
        <v>107</v>
      </c>
      <c r="G97" s="231"/>
      <c r="H97" s="242"/>
      <c r="I97" s="80" t="s">
        <v>108</v>
      </c>
    </row>
    <row r="98" spans="2:9" ht="25.5" customHeight="1" x14ac:dyDescent="0.25">
      <c r="B98" s="81" t="s">
        <v>109</v>
      </c>
      <c r="C98" s="234"/>
      <c r="D98" s="234"/>
      <c r="E98" s="235"/>
      <c r="F98" s="232" t="s">
        <v>110</v>
      </c>
      <c r="G98" s="231"/>
      <c r="H98" s="242"/>
      <c r="I98" s="80" t="s">
        <v>108</v>
      </c>
    </row>
    <row r="99" spans="2:9" ht="15.75" customHeight="1" x14ac:dyDescent="0.25">
      <c r="B99" s="81" t="s">
        <v>111</v>
      </c>
      <c r="C99" s="234"/>
      <c r="D99" s="234"/>
      <c r="E99" s="235"/>
      <c r="F99" s="232" t="s">
        <v>112</v>
      </c>
      <c r="G99" s="231"/>
      <c r="H99" s="242"/>
      <c r="I99" s="80" t="s">
        <v>108</v>
      </c>
    </row>
    <row r="100" spans="2:9" ht="15.75" customHeight="1" x14ac:dyDescent="0.25">
      <c r="B100" s="81" t="s">
        <v>41</v>
      </c>
      <c r="C100" s="234"/>
      <c r="D100" s="234"/>
      <c r="E100" s="235"/>
      <c r="F100" s="232" t="s">
        <v>113</v>
      </c>
      <c r="G100" s="231"/>
      <c r="H100" s="242"/>
      <c r="I100" s="80" t="s">
        <v>108</v>
      </c>
    </row>
    <row r="101" spans="2:9" ht="63.75" customHeight="1" x14ac:dyDescent="0.25">
      <c r="B101" s="72" t="s">
        <v>114</v>
      </c>
      <c r="C101" s="234"/>
      <c r="D101" s="234"/>
      <c r="E101" s="235"/>
      <c r="F101" s="232" t="s">
        <v>115</v>
      </c>
      <c r="G101" s="231"/>
      <c r="H101" s="242"/>
      <c r="I101" s="80" t="s">
        <v>10</v>
      </c>
    </row>
    <row r="102" spans="2:9" ht="38.25" customHeight="1" x14ac:dyDescent="0.25">
      <c r="B102" s="81" t="s">
        <v>95</v>
      </c>
      <c r="C102" s="234"/>
      <c r="D102" s="234"/>
      <c r="E102" s="235"/>
      <c r="F102" s="232" t="s">
        <v>116</v>
      </c>
      <c r="G102" s="231"/>
      <c r="H102" s="242"/>
      <c r="I102" s="80" t="s">
        <v>10</v>
      </c>
    </row>
    <row r="103" spans="2:9" ht="15.75" customHeight="1" x14ac:dyDescent="0.25">
      <c r="B103" s="75" t="s">
        <v>26</v>
      </c>
      <c r="C103" s="234"/>
      <c r="D103" s="234"/>
      <c r="E103" s="235"/>
      <c r="F103" s="232" t="s">
        <v>97</v>
      </c>
      <c r="G103" s="231"/>
      <c r="H103" s="242"/>
      <c r="I103" s="58" t="s">
        <v>10</v>
      </c>
    </row>
    <row r="104" spans="2:9" ht="15.75" customHeight="1" x14ac:dyDescent="0.25">
      <c r="B104" s="75" t="s">
        <v>28</v>
      </c>
      <c r="C104" s="234"/>
      <c r="D104" s="234"/>
      <c r="E104" s="235"/>
      <c r="F104" s="232" t="s">
        <v>117</v>
      </c>
      <c r="G104" s="231"/>
      <c r="H104" s="242"/>
      <c r="I104" s="58" t="s">
        <v>10</v>
      </c>
    </row>
    <row r="105" spans="2:9" ht="15.75" customHeight="1" x14ac:dyDescent="0.25">
      <c r="B105" s="76" t="s">
        <v>82</v>
      </c>
      <c r="C105" s="234"/>
      <c r="D105" s="234"/>
      <c r="E105" s="235"/>
      <c r="F105" s="232" t="s">
        <v>117</v>
      </c>
      <c r="G105" s="231"/>
      <c r="H105" s="242"/>
      <c r="I105" s="59" t="s">
        <v>10</v>
      </c>
    </row>
    <row r="106" spans="2:9" ht="15.75" customHeight="1" x14ac:dyDescent="0.25">
      <c r="B106" s="75" t="s">
        <v>118</v>
      </c>
      <c r="C106" s="234"/>
      <c r="D106" s="234"/>
      <c r="E106" s="235"/>
      <c r="F106" s="232" t="s">
        <v>99</v>
      </c>
      <c r="G106" s="231"/>
      <c r="H106" s="242"/>
      <c r="I106" s="58" t="s">
        <v>10</v>
      </c>
    </row>
    <row r="107" spans="2:9" ht="15.75" customHeight="1" x14ac:dyDescent="0.25">
      <c r="B107" s="76" t="s">
        <v>119</v>
      </c>
      <c r="C107" s="234"/>
      <c r="D107" s="234"/>
      <c r="E107" s="235"/>
      <c r="F107" s="232" t="s">
        <v>99</v>
      </c>
      <c r="G107" s="231"/>
      <c r="H107" s="242"/>
      <c r="I107" s="59" t="s">
        <v>10</v>
      </c>
    </row>
    <row r="108" spans="2:9" ht="25.5" customHeight="1" x14ac:dyDescent="0.25">
      <c r="B108" s="75" t="s">
        <v>100</v>
      </c>
      <c r="C108" s="234"/>
      <c r="D108" s="234"/>
      <c r="E108" s="235"/>
      <c r="F108" s="232" t="s">
        <v>120</v>
      </c>
      <c r="G108" s="231"/>
      <c r="H108" s="242"/>
      <c r="I108" s="58" t="s">
        <v>10</v>
      </c>
    </row>
    <row r="109" spans="2:9" ht="15.75" customHeight="1" x14ac:dyDescent="0.25">
      <c r="B109" s="76" t="s">
        <v>121</v>
      </c>
      <c r="C109" s="234"/>
      <c r="D109" s="234"/>
      <c r="E109" s="235"/>
      <c r="F109" s="232" t="s">
        <v>122</v>
      </c>
      <c r="G109" s="231"/>
      <c r="H109" s="242"/>
      <c r="I109" s="59" t="s">
        <v>10</v>
      </c>
    </row>
    <row r="110" spans="2:9" ht="15.75" customHeight="1" x14ac:dyDescent="0.25">
      <c r="B110" s="73" t="s">
        <v>123</v>
      </c>
      <c r="C110" s="234"/>
      <c r="D110" s="234"/>
      <c r="E110" s="235"/>
      <c r="F110" s="232" t="s">
        <v>124</v>
      </c>
      <c r="G110" s="231"/>
      <c r="H110" s="242"/>
      <c r="I110" s="59" t="s">
        <v>10</v>
      </c>
    </row>
    <row r="111" spans="2:9" ht="15.75" customHeight="1" x14ac:dyDescent="0.25">
      <c r="B111" s="76" t="s">
        <v>125</v>
      </c>
      <c r="C111" s="234"/>
      <c r="D111" s="234"/>
      <c r="E111" s="235"/>
      <c r="F111" s="232" t="s">
        <v>126</v>
      </c>
      <c r="G111" s="231"/>
      <c r="H111" s="242"/>
      <c r="I111" s="59" t="s">
        <v>10</v>
      </c>
    </row>
    <row r="112" spans="2:9" ht="15.75" customHeight="1" x14ac:dyDescent="0.25">
      <c r="B112" s="76" t="s">
        <v>127</v>
      </c>
      <c r="C112" s="234"/>
      <c r="D112" s="234"/>
      <c r="E112" s="235"/>
      <c r="F112" s="232" t="s">
        <v>128</v>
      </c>
      <c r="G112" s="231"/>
      <c r="H112" s="242"/>
      <c r="I112" s="59" t="s">
        <v>10</v>
      </c>
    </row>
    <row r="113" spans="2:9" ht="15.75" customHeight="1" x14ac:dyDescent="0.25">
      <c r="B113" s="76" t="s">
        <v>129</v>
      </c>
      <c r="C113" s="234"/>
      <c r="D113" s="234"/>
      <c r="E113" s="235"/>
      <c r="F113" s="232" t="s">
        <v>130</v>
      </c>
      <c r="G113" s="231"/>
      <c r="H113" s="242"/>
      <c r="I113" s="59" t="s">
        <v>10</v>
      </c>
    </row>
    <row r="114" spans="2:9" ht="15.75" customHeight="1" x14ac:dyDescent="0.25">
      <c r="B114" s="74" t="s">
        <v>131</v>
      </c>
      <c r="C114" s="234"/>
      <c r="D114" s="234"/>
      <c r="E114" s="235"/>
      <c r="F114" s="232" t="s">
        <v>132</v>
      </c>
      <c r="G114" s="231"/>
      <c r="H114" s="242"/>
      <c r="I114" s="59" t="s">
        <v>10</v>
      </c>
    </row>
    <row r="115" spans="2:9" ht="15.75" customHeight="1" x14ac:dyDescent="0.25">
      <c r="B115" s="81" t="s">
        <v>104</v>
      </c>
      <c r="C115" s="234"/>
      <c r="D115" s="234"/>
      <c r="E115" s="235"/>
      <c r="F115" s="232" t="s">
        <v>105</v>
      </c>
      <c r="G115" s="231"/>
      <c r="H115" s="242"/>
      <c r="I115" s="80" t="s">
        <v>10</v>
      </c>
    </row>
    <row r="116" spans="2:9" ht="15.75" customHeight="1" x14ac:dyDescent="0.25">
      <c r="B116" s="76" t="s">
        <v>133</v>
      </c>
      <c r="C116" s="234"/>
      <c r="D116" s="234"/>
      <c r="E116" s="235"/>
      <c r="F116" s="232" t="s">
        <v>134</v>
      </c>
      <c r="G116" s="231"/>
      <c r="H116" s="242"/>
      <c r="I116" s="59" t="s">
        <v>10</v>
      </c>
    </row>
    <row r="117" spans="2:9" ht="15.75" customHeight="1" x14ac:dyDescent="0.25">
      <c r="B117" s="76" t="s">
        <v>135</v>
      </c>
      <c r="C117" s="234"/>
      <c r="D117" s="234"/>
      <c r="E117" s="235"/>
      <c r="F117" s="232">
        <v>0</v>
      </c>
      <c r="G117" s="231"/>
      <c r="H117" s="242"/>
      <c r="I117" s="59" t="s">
        <v>10</v>
      </c>
    </row>
    <row r="118" spans="2:9" ht="15.75" customHeight="1" x14ac:dyDescent="0.25">
      <c r="B118" s="81" t="s">
        <v>106</v>
      </c>
      <c r="C118" s="234"/>
      <c r="D118" s="234"/>
      <c r="E118" s="235"/>
      <c r="F118" s="232" t="s">
        <v>107</v>
      </c>
      <c r="G118" s="231"/>
      <c r="H118" s="242"/>
      <c r="I118" s="80" t="s">
        <v>108</v>
      </c>
    </row>
    <row r="119" spans="2:9" ht="15.75" customHeight="1" x14ac:dyDescent="0.25">
      <c r="B119" s="81" t="s">
        <v>109</v>
      </c>
      <c r="C119" s="234"/>
      <c r="D119" s="234"/>
      <c r="E119" s="235"/>
      <c r="F119" s="232" t="s">
        <v>136</v>
      </c>
      <c r="G119" s="231"/>
      <c r="H119" s="242"/>
      <c r="I119" s="80" t="s">
        <v>108</v>
      </c>
    </row>
    <row r="120" spans="2:9" ht="15.75" customHeight="1" x14ac:dyDescent="0.25">
      <c r="B120" s="76" t="s">
        <v>137</v>
      </c>
      <c r="C120" s="234"/>
      <c r="D120" s="234"/>
      <c r="E120" s="235"/>
      <c r="F120" s="232" t="s">
        <v>138</v>
      </c>
      <c r="G120" s="231"/>
      <c r="H120" s="242"/>
      <c r="I120" s="59" t="s">
        <v>10</v>
      </c>
    </row>
    <row r="121" spans="2:9" ht="15.75" customHeight="1" x14ac:dyDescent="0.25">
      <c r="B121" s="76" t="s">
        <v>139</v>
      </c>
      <c r="C121" s="234"/>
      <c r="D121" s="234"/>
      <c r="E121" s="235"/>
      <c r="F121" s="232" t="s">
        <v>140</v>
      </c>
      <c r="G121" s="231"/>
      <c r="H121" s="242"/>
      <c r="I121" s="59" t="s">
        <v>10</v>
      </c>
    </row>
    <row r="122" spans="2:9" ht="38.25" customHeight="1" x14ac:dyDescent="0.25">
      <c r="B122" s="72" t="s">
        <v>141</v>
      </c>
      <c r="C122" s="234"/>
      <c r="D122" s="234"/>
      <c r="E122" s="235"/>
      <c r="F122" s="232" t="s">
        <v>142</v>
      </c>
      <c r="G122" s="231"/>
      <c r="H122" s="242"/>
      <c r="I122" s="80" t="s">
        <v>10</v>
      </c>
    </row>
    <row r="123" spans="2:9" ht="15.75" customHeight="1" x14ac:dyDescent="0.25">
      <c r="B123" s="81" t="s">
        <v>48</v>
      </c>
      <c r="C123" s="234"/>
      <c r="D123" s="234"/>
      <c r="E123" s="235"/>
      <c r="F123" s="232">
        <v>0</v>
      </c>
      <c r="G123" s="231"/>
      <c r="H123" s="242"/>
      <c r="I123" s="80" t="s">
        <v>10</v>
      </c>
    </row>
    <row r="124" spans="2:9" ht="15.75" customHeight="1" x14ac:dyDescent="0.25">
      <c r="B124" s="75" t="s">
        <v>26</v>
      </c>
      <c r="C124" s="234"/>
      <c r="D124" s="234"/>
      <c r="E124" s="235"/>
      <c r="F124" s="232">
        <v>0</v>
      </c>
      <c r="G124" s="231"/>
      <c r="H124" s="242"/>
      <c r="I124" s="58" t="s">
        <v>10</v>
      </c>
    </row>
    <row r="125" spans="2:9" ht="15.75" customHeight="1" x14ac:dyDescent="0.25">
      <c r="B125" s="76" t="s">
        <v>48</v>
      </c>
      <c r="C125" s="234"/>
      <c r="D125" s="234"/>
      <c r="E125" s="235">
        <v>34</v>
      </c>
      <c r="F125" s="232"/>
      <c r="G125" s="231"/>
      <c r="H125" s="242"/>
      <c r="I125" s="59" t="s">
        <v>10</v>
      </c>
    </row>
    <row r="126" spans="2:9" ht="25.5" customHeight="1" x14ac:dyDescent="0.25">
      <c r="B126" s="81" t="s">
        <v>95</v>
      </c>
      <c r="C126" s="234"/>
      <c r="D126" s="234"/>
      <c r="E126" s="235"/>
      <c r="F126" s="232" t="s">
        <v>143</v>
      </c>
      <c r="G126" s="231"/>
      <c r="H126" s="242"/>
      <c r="I126" s="80" t="s">
        <v>10</v>
      </c>
    </row>
    <row r="127" spans="2:9" ht="15.75" customHeight="1" x14ac:dyDescent="0.25">
      <c r="B127" s="75" t="s">
        <v>28</v>
      </c>
      <c r="C127" s="234"/>
      <c r="D127" s="234"/>
      <c r="E127" s="235"/>
      <c r="F127" s="232" t="s">
        <v>144</v>
      </c>
      <c r="G127" s="231"/>
      <c r="H127" s="242"/>
      <c r="I127" s="59" t="s">
        <v>10</v>
      </c>
    </row>
    <row r="128" spans="2:9" ht="15.75" customHeight="1" x14ac:dyDescent="0.25">
      <c r="B128" s="76" t="s">
        <v>54</v>
      </c>
      <c r="C128" s="234"/>
      <c r="D128" s="234"/>
      <c r="E128" s="235"/>
      <c r="F128" s="232" t="s">
        <v>145</v>
      </c>
      <c r="G128" s="231"/>
      <c r="H128" s="242"/>
      <c r="I128" s="59" t="s">
        <v>10</v>
      </c>
    </row>
    <row r="129" spans="2:9" ht="15.75" customHeight="1" x14ac:dyDescent="0.25">
      <c r="B129" s="76" t="s">
        <v>60</v>
      </c>
      <c r="C129" s="234"/>
      <c r="D129" s="234"/>
      <c r="E129" s="235"/>
      <c r="F129" s="232" t="s">
        <v>146</v>
      </c>
      <c r="G129" s="231"/>
      <c r="H129" s="242"/>
      <c r="I129" s="59" t="s">
        <v>10</v>
      </c>
    </row>
    <row r="130" spans="2:9" ht="15.75" customHeight="1" x14ac:dyDescent="0.25">
      <c r="B130" s="75" t="s">
        <v>147</v>
      </c>
      <c r="C130" s="234"/>
      <c r="D130" s="234"/>
      <c r="E130" s="235"/>
      <c r="F130" s="232" t="s">
        <v>148</v>
      </c>
      <c r="G130" s="231"/>
      <c r="H130" s="242"/>
      <c r="I130" s="58" t="s">
        <v>10</v>
      </c>
    </row>
    <row r="131" spans="2:9" ht="15.75" customHeight="1" x14ac:dyDescent="0.25">
      <c r="B131" s="76" t="s">
        <v>127</v>
      </c>
      <c r="C131" s="234"/>
      <c r="D131" s="234"/>
      <c r="E131" s="235"/>
      <c r="F131" s="232" t="s">
        <v>148</v>
      </c>
      <c r="G131" s="231"/>
      <c r="H131" s="242"/>
      <c r="I131" s="59" t="s">
        <v>10</v>
      </c>
    </row>
    <row r="132" spans="2:9" ht="15.75" customHeight="1" x14ac:dyDescent="0.25">
      <c r="B132" s="81" t="s">
        <v>127</v>
      </c>
      <c r="C132" s="234"/>
      <c r="D132" s="234"/>
      <c r="E132" s="235"/>
      <c r="F132" s="232">
        <v>0</v>
      </c>
      <c r="G132" s="231"/>
      <c r="H132" s="242"/>
      <c r="I132" s="80" t="s">
        <v>10</v>
      </c>
    </row>
    <row r="133" spans="2:9" ht="15.75" customHeight="1" x14ac:dyDescent="0.25">
      <c r="B133" s="75" t="s">
        <v>149</v>
      </c>
      <c r="C133" s="234"/>
      <c r="D133" s="234"/>
      <c r="E133" s="235"/>
      <c r="F133" s="232">
        <v>0</v>
      </c>
      <c r="G133" s="231"/>
      <c r="H133" s="242"/>
      <c r="I133" s="58" t="s">
        <v>10</v>
      </c>
    </row>
    <row r="134" spans="2:9" ht="15.75" customHeight="1" x14ac:dyDescent="0.25">
      <c r="B134" s="76" t="s">
        <v>127</v>
      </c>
      <c r="C134" s="234"/>
      <c r="D134" s="234"/>
      <c r="E134" s="235"/>
      <c r="F134" s="232">
        <v>0</v>
      </c>
      <c r="G134" s="231"/>
      <c r="H134" s="242"/>
      <c r="I134" s="59" t="s">
        <v>10</v>
      </c>
    </row>
    <row r="135" spans="2:9" ht="15.75" customHeight="1" x14ac:dyDescent="0.25">
      <c r="B135" s="81" t="s">
        <v>102</v>
      </c>
      <c r="C135" s="234"/>
      <c r="D135" s="234"/>
      <c r="E135" s="235"/>
      <c r="F135" s="232" t="s">
        <v>103</v>
      </c>
      <c r="G135" s="231"/>
      <c r="H135" s="242"/>
      <c r="I135" s="80" t="s">
        <v>10</v>
      </c>
    </row>
    <row r="136" spans="2:9" ht="15.75" customHeight="1" x14ac:dyDescent="0.25">
      <c r="B136" s="81" t="s">
        <v>109</v>
      </c>
      <c r="C136" s="234"/>
      <c r="D136" s="234"/>
      <c r="E136" s="235"/>
      <c r="F136" s="232" t="s">
        <v>150</v>
      </c>
      <c r="G136" s="231"/>
      <c r="H136" s="242"/>
      <c r="I136" s="80" t="s">
        <v>108</v>
      </c>
    </row>
    <row r="137" spans="2:9" ht="15.75" customHeight="1" x14ac:dyDescent="0.25">
      <c r="B137" s="77" t="s">
        <v>151</v>
      </c>
      <c r="C137" s="234"/>
      <c r="D137" s="234"/>
      <c r="E137" s="235"/>
      <c r="F137" s="232" t="s">
        <v>150</v>
      </c>
      <c r="G137" s="231"/>
      <c r="H137" s="242"/>
      <c r="I137" s="59" t="s">
        <v>10</v>
      </c>
    </row>
    <row r="138" spans="2:9" ht="15.75" customHeight="1" x14ac:dyDescent="0.25">
      <c r="B138" s="81" t="s">
        <v>111</v>
      </c>
      <c r="C138" s="234"/>
      <c r="D138" s="234"/>
      <c r="E138" s="235"/>
      <c r="F138" s="232" t="s">
        <v>112</v>
      </c>
      <c r="G138" s="231"/>
      <c r="H138" s="242"/>
      <c r="I138" s="80" t="s">
        <v>108</v>
      </c>
    </row>
    <row r="139" spans="2:9" ht="15.75" customHeight="1" x14ac:dyDescent="0.25">
      <c r="B139" s="76" t="s">
        <v>152</v>
      </c>
      <c r="C139" s="234"/>
      <c r="D139" s="234"/>
      <c r="E139" s="235"/>
      <c r="F139" s="232" t="s">
        <v>153</v>
      </c>
      <c r="G139" s="231"/>
      <c r="H139" s="242"/>
      <c r="I139" s="59" t="s">
        <v>10</v>
      </c>
    </row>
    <row r="140" spans="2:9" ht="15.75" customHeight="1" x14ac:dyDescent="0.25">
      <c r="B140" s="81" t="s">
        <v>41</v>
      </c>
      <c r="C140" s="234"/>
      <c r="D140" s="234"/>
      <c r="E140" s="235"/>
      <c r="F140" s="232" t="s">
        <v>113</v>
      </c>
      <c r="G140" s="231"/>
      <c r="H140" s="242"/>
      <c r="I140" s="80" t="s">
        <v>10</v>
      </c>
    </row>
    <row r="141" spans="2:9" ht="15.75" customHeight="1" x14ac:dyDescent="0.25">
      <c r="B141" s="78"/>
      <c r="C141" s="234"/>
      <c r="D141" s="234"/>
      <c r="E141" s="235">
        <v>35</v>
      </c>
      <c r="F141" s="232"/>
      <c r="G141" s="231"/>
      <c r="H141" s="242"/>
      <c r="I141" s="80"/>
    </row>
    <row r="142" spans="2:9" ht="51" customHeight="1" x14ac:dyDescent="0.25">
      <c r="B142" s="82" t="s">
        <v>154</v>
      </c>
      <c r="C142" s="234"/>
      <c r="D142" s="234"/>
      <c r="E142" s="235"/>
      <c r="F142" s="232" t="s">
        <v>155</v>
      </c>
      <c r="G142" s="231"/>
      <c r="H142" s="242"/>
      <c r="I142" s="80" t="s">
        <v>10</v>
      </c>
    </row>
    <row r="143" spans="2:9" ht="51" customHeight="1" x14ac:dyDescent="0.25">
      <c r="B143" s="81" t="s">
        <v>95</v>
      </c>
      <c r="C143" s="234"/>
      <c r="D143" s="234"/>
      <c r="E143" s="235"/>
      <c r="F143" s="232" t="s">
        <v>156</v>
      </c>
      <c r="G143" s="231"/>
      <c r="H143" s="242"/>
      <c r="I143" s="80" t="s">
        <v>10</v>
      </c>
    </row>
    <row r="144" spans="2:9" ht="25.5" customHeight="1" x14ac:dyDescent="0.25">
      <c r="B144" s="75" t="s">
        <v>28</v>
      </c>
      <c r="C144" s="234"/>
      <c r="D144" s="234"/>
      <c r="E144" s="235"/>
      <c r="F144" s="232" t="s">
        <v>157</v>
      </c>
      <c r="G144" s="231"/>
      <c r="H144" s="242"/>
      <c r="I144" s="58" t="s">
        <v>10</v>
      </c>
    </row>
    <row r="145" spans="2:9" ht="15.75" customHeight="1" x14ac:dyDescent="0.25">
      <c r="B145" s="75" t="s">
        <v>30</v>
      </c>
      <c r="C145" s="234"/>
      <c r="D145" s="234"/>
      <c r="E145" s="235"/>
      <c r="F145" s="232" t="s">
        <v>158</v>
      </c>
      <c r="G145" s="231"/>
      <c r="H145" s="242"/>
      <c r="I145" s="58" t="s">
        <v>10</v>
      </c>
    </row>
    <row r="146" spans="2:9" ht="15.75" customHeight="1" x14ac:dyDescent="0.25">
      <c r="B146" s="75" t="s">
        <v>159</v>
      </c>
      <c r="C146" s="234"/>
      <c r="D146" s="234"/>
      <c r="E146" s="235"/>
      <c r="F146" s="232" t="s">
        <v>160</v>
      </c>
      <c r="G146" s="231"/>
      <c r="H146" s="242"/>
      <c r="I146" s="58" t="s">
        <v>10</v>
      </c>
    </row>
    <row r="147" spans="2:9" ht="15.75" customHeight="1" x14ac:dyDescent="0.25">
      <c r="B147" s="75" t="s">
        <v>161</v>
      </c>
      <c r="C147" s="234"/>
      <c r="D147" s="234"/>
      <c r="E147" s="235"/>
      <c r="F147" s="232" t="s">
        <v>162</v>
      </c>
      <c r="G147" s="231"/>
      <c r="H147" s="242"/>
      <c r="I147" s="58" t="s">
        <v>10</v>
      </c>
    </row>
    <row r="148" spans="2:9" ht="15.75" customHeight="1" x14ac:dyDescent="0.25">
      <c r="B148" s="81" t="s">
        <v>41</v>
      </c>
      <c r="C148" s="234"/>
      <c r="D148" s="234"/>
      <c r="E148" s="235"/>
      <c r="F148" s="232" t="s">
        <v>163</v>
      </c>
      <c r="G148" s="231"/>
      <c r="H148" s="242"/>
      <c r="I148" s="80" t="s">
        <v>10</v>
      </c>
    </row>
    <row r="149" spans="2:9" ht="25.5" customHeight="1" x14ac:dyDescent="0.25">
      <c r="B149" s="72" t="s">
        <v>164</v>
      </c>
      <c r="C149" s="234"/>
      <c r="D149" s="234"/>
      <c r="E149" s="235"/>
      <c r="F149" s="232" t="s">
        <v>165</v>
      </c>
      <c r="G149" s="231"/>
      <c r="H149" s="242"/>
      <c r="I149" s="80" t="s">
        <v>10</v>
      </c>
    </row>
    <row r="150" spans="2:9" ht="25.5" customHeight="1" x14ac:dyDescent="0.25">
      <c r="B150" s="81" t="s">
        <v>95</v>
      </c>
      <c r="C150" s="234"/>
      <c r="D150" s="234"/>
      <c r="E150" s="235"/>
      <c r="F150" s="232" t="s">
        <v>165</v>
      </c>
      <c r="G150" s="231"/>
      <c r="H150" s="242"/>
      <c r="I150" s="80" t="s">
        <v>10</v>
      </c>
    </row>
    <row r="151" spans="2:9" ht="15.75" customHeight="1" x14ac:dyDescent="0.25">
      <c r="B151" s="75" t="s">
        <v>28</v>
      </c>
      <c r="C151" s="234"/>
      <c r="D151" s="234"/>
      <c r="E151" s="235"/>
      <c r="F151" s="232" t="s">
        <v>166</v>
      </c>
      <c r="G151" s="231"/>
      <c r="H151" s="242"/>
      <c r="I151" s="58" t="s">
        <v>10</v>
      </c>
    </row>
    <row r="152" spans="2:9" ht="15.75" customHeight="1" x14ac:dyDescent="0.25">
      <c r="B152" s="76" t="s">
        <v>82</v>
      </c>
      <c r="C152" s="234"/>
      <c r="D152" s="234"/>
      <c r="E152" s="235"/>
      <c r="F152" s="232" t="s">
        <v>167</v>
      </c>
      <c r="G152" s="231"/>
      <c r="H152" s="242"/>
      <c r="I152" s="59" t="s">
        <v>10</v>
      </c>
    </row>
    <row r="153" spans="2:9" ht="15.75" customHeight="1" x14ac:dyDescent="0.25">
      <c r="B153" s="76" t="s">
        <v>52</v>
      </c>
      <c r="C153" s="234"/>
      <c r="D153" s="234"/>
      <c r="E153" s="235"/>
      <c r="F153" s="232" t="s">
        <v>168</v>
      </c>
      <c r="G153" s="231"/>
      <c r="H153" s="242"/>
      <c r="I153" s="59" t="s">
        <v>10</v>
      </c>
    </row>
    <row r="154" spans="2:9" ht="15.75" customHeight="1" x14ac:dyDescent="0.25">
      <c r="B154" s="75" t="s">
        <v>169</v>
      </c>
      <c r="C154" s="234"/>
      <c r="D154" s="234"/>
      <c r="E154" s="235"/>
      <c r="F154" s="232" t="s">
        <v>158</v>
      </c>
      <c r="G154" s="231"/>
      <c r="H154" s="242"/>
      <c r="I154" s="58" t="s">
        <v>10</v>
      </c>
    </row>
    <row r="155" spans="2:9" ht="15.75" customHeight="1" x14ac:dyDescent="0.25">
      <c r="B155" s="76" t="s">
        <v>119</v>
      </c>
      <c r="C155" s="234"/>
      <c r="D155" s="234"/>
      <c r="E155" s="235"/>
      <c r="F155" s="232" t="s">
        <v>158</v>
      </c>
      <c r="G155" s="231"/>
      <c r="H155" s="242"/>
      <c r="I155" s="59" t="s">
        <v>10</v>
      </c>
    </row>
    <row r="156" spans="2:9" ht="15.75" customHeight="1" x14ac:dyDescent="0.25">
      <c r="B156" s="75" t="s">
        <v>159</v>
      </c>
      <c r="C156" s="234"/>
      <c r="D156" s="234"/>
      <c r="E156" s="235"/>
      <c r="F156" s="232" t="s">
        <v>170</v>
      </c>
      <c r="G156" s="231"/>
      <c r="H156" s="242"/>
      <c r="I156" s="58" t="s">
        <v>10</v>
      </c>
    </row>
    <row r="157" spans="2:9" ht="15.75" customHeight="1" x14ac:dyDescent="0.25">
      <c r="B157" s="76" t="s">
        <v>127</v>
      </c>
      <c r="C157" s="234"/>
      <c r="D157" s="234"/>
      <c r="E157" s="235"/>
      <c r="F157" s="232" t="s">
        <v>170</v>
      </c>
      <c r="G157" s="231"/>
      <c r="H157" s="242"/>
      <c r="I157" s="59" t="s">
        <v>10</v>
      </c>
    </row>
    <row r="158" spans="2:9" ht="15.75" customHeight="1" x14ac:dyDescent="0.25">
      <c r="B158" s="75" t="s">
        <v>161</v>
      </c>
      <c r="C158" s="234"/>
      <c r="D158" s="234"/>
      <c r="E158" s="235"/>
      <c r="F158" s="232" t="s">
        <v>162</v>
      </c>
      <c r="G158" s="231"/>
      <c r="H158" s="242"/>
      <c r="I158" s="58" t="s">
        <v>10</v>
      </c>
    </row>
    <row r="159" spans="2:9" ht="15.75" customHeight="1" x14ac:dyDescent="0.25">
      <c r="B159" s="76" t="s">
        <v>171</v>
      </c>
      <c r="C159" s="234"/>
      <c r="D159" s="234"/>
      <c r="E159" s="235"/>
      <c r="F159" s="232" t="s">
        <v>162</v>
      </c>
      <c r="G159" s="231"/>
      <c r="H159" s="242"/>
      <c r="I159" s="59" t="s">
        <v>10</v>
      </c>
    </row>
    <row r="160" spans="2:9" ht="25.5" customHeight="1" x14ac:dyDescent="0.25">
      <c r="B160" s="72" t="s">
        <v>172</v>
      </c>
      <c r="C160" s="234"/>
      <c r="D160" s="234"/>
      <c r="E160" s="235"/>
      <c r="F160" s="232" t="s">
        <v>173</v>
      </c>
      <c r="G160" s="231"/>
      <c r="H160" s="242"/>
      <c r="I160" s="80" t="s">
        <v>10</v>
      </c>
    </row>
    <row r="161" spans="2:9" ht="25.5" customHeight="1" x14ac:dyDescent="0.25">
      <c r="B161" s="81" t="s">
        <v>95</v>
      </c>
      <c r="C161" s="234"/>
      <c r="D161" s="234"/>
      <c r="E161" s="235"/>
      <c r="F161" s="232" t="s">
        <v>174</v>
      </c>
      <c r="G161" s="231"/>
      <c r="H161" s="242"/>
      <c r="I161" s="80" t="s">
        <v>10</v>
      </c>
    </row>
    <row r="162" spans="2:9" ht="15.75" customHeight="1" x14ac:dyDescent="0.25">
      <c r="B162" s="75" t="s">
        <v>28</v>
      </c>
      <c r="C162" s="234"/>
      <c r="D162" s="234"/>
      <c r="E162" s="235"/>
      <c r="F162" s="232" t="s">
        <v>175</v>
      </c>
      <c r="G162" s="231"/>
      <c r="H162" s="242"/>
      <c r="I162" s="58" t="s">
        <v>10</v>
      </c>
    </row>
    <row r="163" spans="2:9" ht="15.75" customHeight="1" x14ac:dyDescent="0.25">
      <c r="B163" s="76" t="s">
        <v>54</v>
      </c>
      <c r="C163" s="234"/>
      <c r="D163" s="234"/>
      <c r="E163" s="235"/>
      <c r="F163" s="232" t="s">
        <v>176</v>
      </c>
      <c r="G163" s="231"/>
      <c r="H163" s="242"/>
      <c r="I163" s="59" t="s">
        <v>10</v>
      </c>
    </row>
    <row r="164" spans="2:9" ht="15.75" customHeight="1" x14ac:dyDescent="0.25">
      <c r="B164" s="76" t="s">
        <v>60</v>
      </c>
      <c r="C164" s="234"/>
      <c r="D164" s="234"/>
      <c r="E164" s="235"/>
      <c r="F164" s="232" t="s">
        <v>177</v>
      </c>
      <c r="G164" s="231"/>
      <c r="H164" s="242"/>
      <c r="I164" s="59" t="s">
        <v>10</v>
      </c>
    </row>
    <row r="165" spans="2:9" ht="15.75" customHeight="1" x14ac:dyDescent="0.25">
      <c r="B165" s="75" t="s">
        <v>149</v>
      </c>
      <c r="C165" s="234"/>
      <c r="D165" s="234"/>
      <c r="E165" s="235"/>
      <c r="F165" s="232" t="s">
        <v>178</v>
      </c>
      <c r="G165" s="231"/>
      <c r="H165" s="242"/>
      <c r="I165" s="58" t="s">
        <v>10</v>
      </c>
    </row>
    <row r="166" spans="2:9" ht="15.75" customHeight="1" x14ac:dyDescent="0.25">
      <c r="B166" s="76" t="s">
        <v>127</v>
      </c>
      <c r="C166" s="234"/>
      <c r="D166" s="234"/>
      <c r="E166" s="235"/>
      <c r="F166" s="232" t="s">
        <v>178</v>
      </c>
      <c r="G166" s="231"/>
      <c r="H166" s="242"/>
      <c r="I166" s="59" t="s">
        <v>10</v>
      </c>
    </row>
    <row r="167" spans="2:9" ht="15.75" customHeight="1" x14ac:dyDescent="0.25">
      <c r="B167" s="81" t="s">
        <v>56</v>
      </c>
      <c r="C167" s="234"/>
      <c r="D167" s="234"/>
      <c r="E167" s="235"/>
      <c r="F167" s="232" t="s">
        <v>179</v>
      </c>
      <c r="G167" s="231"/>
      <c r="H167" s="242"/>
      <c r="I167" s="80" t="s">
        <v>10</v>
      </c>
    </row>
    <row r="168" spans="2:9" ht="15.75" customHeight="1" x14ac:dyDescent="0.25">
      <c r="B168" s="75" t="s">
        <v>180</v>
      </c>
      <c r="C168" s="234"/>
      <c r="D168" s="234"/>
      <c r="E168" s="235"/>
      <c r="F168" s="232" t="s">
        <v>179</v>
      </c>
      <c r="G168" s="231"/>
      <c r="H168" s="242"/>
      <c r="I168" s="58" t="s">
        <v>10</v>
      </c>
    </row>
    <row r="169" spans="2:9" ht="15.75" customHeight="1" x14ac:dyDescent="0.25">
      <c r="B169" s="76" t="s">
        <v>56</v>
      </c>
      <c r="C169" s="234"/>
      <c r="D169" s="234"/>
      <c r="E169" s="235"/>
      <c r="F169" s="232" t="s">
        <v>179</v>
      </c>
      <c r="G169" s="231"/>
      <c r="H169" s="242"/>
      <c r="I169" s="59" t="s">
        <v>10</v>
      </c>
    </row>
    <row r="170" spans="2:9" ht="15.75" customHeight="1" x14ac:dyDescent="0.25">
      <c r="B170" s="89" t="s">
        <v>41</v>
      </c>
      <c r="C170" s="234"/>
      <c r="D170" s="234"/>
      <c r="E170" s="235"/>
      <c r="F170" s="232" t="s">
        <v>163</v>
      </c>
      <c r="G170" s="231"/>
      <c r="H170" s="242"/>
      <c r="I170" s="80" t="s">
        <v>10</v>
      </c>
    </row>
    <row r="171" spans="2:9" ht="15.75" customHeight="1" x14ac:dyDescent="0.25">
      <c r="B171" s="76"/>
      <c r="C171" s="234"/>
      <c r="D171" s="234"/>
      <c r="E171" s="235">
        <v>36</v>
      </c>
      <c r="F171" s="232"/>
      <c r="G171" s="231"/>
      <c r="H171" s="242"/>
      <c r="I171" s="80"/>
    </row>
    <row r="172" spans="2:9" ht="63.75" customHeight="1" x14ac:dyDescent="0.25">
      <c r="B172" s="79" t="s">
        <v>181</v>
      </c>
      <c r="C172" s="234"/>
      <c r="D172" s="234"/>
      <c r="E172" s="235"/>
      <c r="F172" s="232" t="s">
        <v>182</v>
      </c>
      <c r="G172" s="231"/>
      <c r="H172" s="242"/>
      <c r="I172" s="80" t="s">
        <v>10</v>
      </c>
    </row>
    <row r="173" spans="2:9" ht="15.75" customHeight="1" x14ac:dyDescent="0.25">
      <c r="B173" s="81" t="s">
        <v>102</v>
      </c>
      <c r="C173" s="234"/>
      <c r="D173" s="234"/>
      <c r="E173" s="235"/>
      <c r="F173" s="232" t="s">
        <v>183</v>
      </c>
      <c r="G173" s="231"/>
      <c r="H173" s="242"/>
      <c r="I173" s="80" t="s">
        <v>10</v>
      </c>
    </row>
    <row r="174" spans="2:9" ht="38.25" customHeight="1" x14ac:dyDescent="0.25">
      <c r="B174" s="81" t="s">
        <v>127</v>
      </c>
      <c r="C174" s="234"/>
      <c r="D174" s="234"/>
      <c r="E174" s="235"/>
      <c r="F174" s="232" t="s">
        <v>184</v>
      </c>
      <c r="G174" s="231"/>
      <c r="H174" s="242"/>
      <c r="I174" s="80" t="s">
        <v>10</v>
      </c>
    </row>
    <row r="175" spans="2:9" ht="25.5" customHeight="1" x14ac:dyDescent="0.25">
      <c r="B175" s="81" t="s">
        <v>109</v>
      </c>
      <c r="C175" s="234"/>
      <c r="D175" s="234"/>
      <c r="E175" s="235"/>
      <c r="F175" s="232" t="s">
        <v>185</v>
      </c>
      <c r="G175" s="231"/>
      <c r="H175" s="242"/>
      <c r="I175" s="80" t="s">
        <v>108</v>
      </c>
    </row>
    <row r="176" spans="2:9" ht="15.75" customHeight="1" x14ac:dyDescent="0.25">
      <c r="B176" s="82" t="s">
        <v>186</v>
      </c>
      <c r="C176" s="234"/>
      <c r="D176" s="234"/>
      <c r="E176" s="235"/>
      <c r="F176" s="232" t="s">
        <v>187</v>
      </c>
      <c r="G176" s="231"/>
      <c r="H176" s="242"/>
      <c r="I176" s="80" t="s">
        <v>10</v>
      </c>
    </row>
    <row r="177" spans="2:9" ht="15.75" customHeight="1" x14ac:dyDescent="0.25">
      <c r="B177" s="81" t="s">
        <v>127</v>
      </c>
      <c r="C177" s="234"/>
      <c r="D177" s="234"/>
      <c r="E177" s="235"/>
      <c r="F177" s="232">
        <v>0</v>
      </c>
      <c r="G177" s="231"/>
      <c r="H177" s="242"/>
      <c r="I177" s="80" t="s">
        <v>10</v>
      </c>
    </row>
    <row r="178" spans="2:9" ht="15.75" customHeight="1" x14ac:dyDescent="0.25">
      <c r="B178" s="76" t="s">
        <v>188</v>
      </c>
      <c r="C178" s="234"/>
      <c r="D178" s="234"/>
      <c r="E178" s="235">
        <v>37</v>
      </c>
      <c r="F178" s="232"/>
      <c r="G178" s="231"/>
      <c r="H178" s="242"/>
      <c r="I178" s="59" t="s">
        <v>10</v>
      </c>
    </row>
    <row r="179" spans="2:9" ht="15.75" customHeight="1" x14ac:dyDescent="0.25">
      <c r="B179" s="81" t="s">
        <v>109</v>
      </c>
      <c r="C179" s="234"/>
      <c r="D179" s="234"/>
      <c r="E179" s="235"/>
      <c r="F179" s="232" t="s">
        <v>189</v>
      </c>
      <c r="G179" s="231"/>
      <c r="H179" s="242"/>
      <c r="I179" s="80" t="s">
        <v>108</v>
      </c>
    </row>
    <row r="180" spans="2:9" ht="15.75" customHeight="1" x14ac:dyDescent="0.25">
      <c r="B180" s="76" t="s">
        <v>137</v>
      </c>
      <c r="C180" s="234"/>
      <c r="D180" s="234"/>
      <c r="E180" s="235"/>
      <c r="F180" s="232" t="s">
        <v>189</v>
      </c>
      <c r="G180" s="231"/>
      <c r="H180" s="242"/>
      <c r="I180" s="59" t="s">
        <v>10</v>
      </c>
    </row>
    <row r="181" spans="2:9" ht="15.75" customHeight="1" x14ac:dyDescent="0.25">
      <c r="B181" s="76" t="s">
        <v>190</v>
      </c>
      <c r="C181" s="234"/>
      <c r="D181" s="234"/>
      <c r="E181" s="235"/>
      <c r="F181" s="232" t="s">
        <v>191</v>
      </c>
      <c r="G181" s="231"/>
      <c r="H181" s="242"/>
      <c r="I181" s="59" t="s">
        <v>10</v>
      </c>
    </row>
    <row r="182" spans="2:9" ht="63.75" customHeight="1" x14ac:dyDescent="0.25">
      <c r="B182" s="82" t="s">
        <v>192</v>
      </c>
      <c r="C182" s="234"/>
      <c r="D182" s="234"/>
      <c r="E182" s="235"/>
      <c r="F182" s="232" t="s">
        <v>193</v>
      </c>
      <c r="G182" s="231"/>
      <c r="H182" s="242"/>
      <c r="I182" s="80" t="s">
        <v>10</v>
      </c>
    </row>
    <row r="183" spans="2:9" ht="15.75" customHeight="1" x14ac:dyDescent="0.25">
      <c r="B183" s="81" t="s">
        <v>102</v>
      </c>
      <c r="C183" s="234"/>
      <c r="D183" s="234"/>
      <c r="E183" s="235"/>
      <c r="F183" s="232" t="s">
        <v>183</v>
      </c>
      <c r="G183" s="231"/>
      <c r="H183" s="242"/>
      <c r="I183" s="80" t="s">
        <v>10</v>
      </c>
    </row>
    <row r="184" spans="2:9" ht="15.75" customHeight="1" x14ac:dyDescent="0.25">
      <c r="B184" s="76" t="s">
        <v>194</v>
      </c>
      <c r="C184" s="234"/>
      <c r="D184" s="234"/>
      <c r="E184" s="235"/>
      <c r="F184" s="232" t="s">
        <v>195</v>
      </c>
      <c r="G184" s="231"/>
      <c r="H184" s="242"/>
      <c r="I184" s="59" t="s">
        <v>10</v>
      </c>
    </row>
    <row r="185" spans="2:9" ht="15.75" customHeight="1" x14ac:dyDescent="0.25">
      <c r="B185" s="83" t="s">
        <v>196</v>
      </c>
      <c r="C185" s="234"/>
      <c r="D185" s="234"/>
      <c r="E185" s="235"/>
      <c r="F185" s="232" t="s">
        <v>197</v>
      </c>
      <c r="G185" s="231"/>
      <c r="H185" s="242"/>
      <c r="I185" s="59" t="s">
        <v>10</v>
      </c>
    </row>
    <row r="186" spans="2:9" ht="38.25" customHeight="1" x14ac:dyDescent="0.25">
      <c r="B186" s="84" t="s">
        <v>127</v>
      </c>
      <c r="C186" s="234"/>
      <c r="D186" s="234"/>
      <c r="E186" s="235"/>
      <c r="F186" s="232" t="s">
        <v>198</v>
      </c>
      <c r="G186" s="231"/>
      <c r="H186" s="242"/>
      <c r="I186" s="80" t="s">
        <v>10</v>
      </c>
    </row>
    <row r="187" spans="2:9" ht="25.5" customHeight="1" x14ac:dyDescent="0.25">
      <c r="B187" s="83" t="s">
        <v>188</v>
      </c>
      <c r="C187" s="234"/>
      <c r="D187" s="234"/>
      <c r="E187" s="235"/>
      <c r="F187" s="232" t="s">
        <v>199</v>
      </c>
      <c r="G187" s="231"/>
      <c r="H187" s="242"/>
      <c r="I187" s="59" t="s">
        <v>10</v>
      </c>
    </row>
    <row r="188" spans="2:9" ht="15.75" customHeight="1" x14ac:dyDescent="0.25">
      <c r="B188" s="83" t="s">
        <v>200</v>
      </c>
      <c r="C188" s="234"/>
      <c r="D188" s="234"/>
      <c r="E188" s="235"/>
      <c r="F188" s="232" t="s">
        <v>201</v>
      </c>
      <c r="G188" s="231"/>
      <c r="H188" s="242"/>
      <c r="I188" s="59" t="s">
        <v>10</v>
      </c>
    </row>
    <row r="189" spans="2:9" ht="15.75" customHeight="1" x14ac:dyDescent="0.25">
      <c r="B189" s="83" t="s">
        <v>202</v>
      </c>
      <c r="C189" s="234"/>
      <c r="D189" s="234"/>
      <c r="E189" s="235"/>
      <c r="F189" s="232" t="s">
        <v>203</v>
      </c>
      <c r="G189" s="231"/>
      <c r="H189" s="242"/>
      <c r="I189" s="59" t="s">
        <v>10</v>
      </c>
    </row>
    <row r="190" spans="2:9" ht="15.75" customHeight="1" x14ac:dyDescent="0.25">
      <c r="B190" s="84" t="s">
        <v>109</v>
      </c>
      <c r="C190" s="234"/>
      <c r="D190" s="234"/>
      <c r="E190" s="235"/>
      <c r="F190" s="232" t="s">
        <v>204</v>
      </c>
      <c r="G190" s="231"/>
      <c r="H190" s="242"/>
      <c r="I190" s="80" t="s">
        <v>108</v>
      </c>
    </row>
    <row r="191" spans="2:9" ht="15.75" customHeight="1" x14ac:dyDescent="0.25">
      <c r="B191" s="83" t="s">
        <v>205</v>
      </c>
      <c r="C191" s="234"/>
      <c r="D191" s="234"/>
      <c r="E191" s="235"/>
      <c r="F191" s="232" t="s">
        <v>206</v>
      </c>
      <c r="G191" s="231"/>
      <c r="H191" s="242"/>
      <c r="I191" s="59" t="s">
        <v>10</v>
      </c>
    </row>
    <row r="192" spans="2:9" ht="15.75" customHeight="1" x14ac:dyDescent="0.25">
      <c r="B192" s="83" t="s">
        <v>207</v>
      </c>
      <c r="C192" s="234"/>
      <c r="D192" s="234"/>
      <c r="E192" s="235"/>
      <c r="F192" s="232" t="s">
        <v>208</v>
      </c>
      <c r="G192" s="231"/>
      <c r="H192" s="242"/>
      <c r="I192" s="59" t="s">
        <v>10</v>
      </c>
    </row>
    <row r="193" spans="2:9" ht="15.75" customHeight="1" x14ac:dyDescent="0.25">
      <c r="B193" s="83"/>
      <c r="C193" s="234"/>
      <c r="D193" s="234"/>
      <c r="E193" s="235">
        <v>38</v>
      </c>
      <c r="F193" s="232"/>
      <c r="G193" s="231"/>
      <c r="H193" s="242"/>
      <c r="I193" s="80"/>
    </row>
    <row r="194" spans="2:9" ht="63.75" customHeight="1" x14ac:dyDescent="0.25">
      <c r="B194" s="85" t="s">
        <v>209</v>
      </c>
      <c r="C194" s="234"/>
      <c r="D194" s="234"/>
      <c r="E194" s="235"/>
      <c r="F194" s="232" t="s">
        <v>210</v>
      </c>
      <c r="G194" s="231"/>
      <c r="H194" s="242"/>
      <c r="I194" s="80" t="s">
        <v>10</v>
      </c>
    </row>
    <row r="195" spans="2:9" ht="15.75" customHeight="1" x14ac:dyDescent="0.25">
      <c r="B195" s="84" t="s">
        <v>102</v>
      </c>
      <c r="C195" s="234"/>
      <c r="D195" s="234"/>
      <c r="E195" s="235"/>
      <c r="F195" s="232" t="s">
        <v>211</v>
      </c>
      <c r="G195" s="231"/>
      <c r="H195" s="242"/>
      <c r="I195" s="80" t="s">
        <v>10</v>
      </c>
    </row>
    <row r="196" spans="2:9" ht="38.25" customHeight="1" x14ac:dyDescent="0.25">
      <c r="B196" s="84" t="s">
        <v>127</v>
      </c>
      <c r="C196" s="234"/>
      <c r="D196" s="234"/>
      <c r="E196" s="235"/>
      <c r="F196" s="232" t="s">
        <v>212</v>
      </c>
      <c r="G196" s="231"/>
      <c r="H196" s="242"/>
      <c r="I196" s="80" t="s">
        <v>10</v>
      </c>
    </row>
    <row r="197" spans="2:9" ht="15.75" customHeight="1" x14ac:dyDescent="0.25">
      <c r="B197" s="84" t="s">
        <v>213</v>
      </c>
      <c r="C197" s="234"/>
      <c r="D197" s="234"/>
      <c r="E197" s="235"/>
      <c r="F197" s="232" t="s">
        <v>214</v>
      </c>
      <c r="G197" s="231"/>
      <c r="H197" s="242"/>
      <c r="I197" s="80" t="s">
        <v>10</v>
      </c>
    </row>
    <row r="198" spans="2:9" ht="15.75" customHeight="1" x14ac:dyDescent="0.25">
      <c r="B198" s="81" t="s">
        <v>109</v>
      </c>
      <c r="C198" s="234"/>
      <c r="D198" s="234"/>
      <c r="E198" s="235"/>
      <c r="F198" s="232" t="s">
        <v>215</v>
      </c>
      <c r="G198" s="231"/>
      <c r="H198" s="242"/>
      <c r="I198" s="80" t="s">
        <v>108</v>
      </c>
    </row>
    <row r="199" spans="2:9" ht="15.75" customHeight="1" x14ac:dyDescent="0.25">
      <c r="B199" s="86" t="s">
        <v>216</v>
      </c>
      <c r="C199" s="234"/>
      <c r="D199" s="234"/>
      <c r="E199" s="235">
        <v>39</v>
      </c>
      <c r="F199" s="232"/>
      <c r="G199" s="231"/>
      <c r="H199" s="242"/>
      <c r="I199" s="80" t="s">
        <v>10</v>
      </c>
    </row>
    <row r="200" spans="2:9" ht="63.75" customHeight="1" x14ac:dyDescent="0.25">
      <c r="B200" s="86" t="s">
        <v>217</v>
      </c>
      <c r="C200" s="234"/>
      <c r="D200" s="234"/>
      <c r="E200" s="235"/>
      <c r="F200" s="232" t="s">
        <v>210</v>
      </c>
      <c r="G200" s="231"/>
      <c r="H200" s="242"/>
      <c r="I200" s="80" t="s">
        <v>10</v>
      </c>
    </row>
    <row r="201" spans="2:9" ht="15.75" customHeight="1" x14ac:dyDescent="0.25">
      <c r="B201" s="84" t="s">
        <v>102</v>
      </c>
      <c r="C201" s="234"/>
      <c r="D201" s="234"/>
      <c r="E201" s="235"/>
      <c r="F201" s="232" t="s">
        <v>211</v>
      </c>
      <c r="G201" s="231"/>
      <c r="H201" s="242"/>
      <c r="I201" s="80" t="s">
        <v>10</v>
      </c>
    </row>
    <row r="202" spans="2:9" ht="15.75" customHeight="1" x14ac:dyDescent="0.25">
      <c r="B202" s="83" t="s">
        <v>194</v>
      </c>
      <c r="C202" s="234"/>
      <c r="D202" s="234"/>
      <c r="E202" s="235"/>
      <c r="F202" s="232" t="s">
        <v>211</v>
      </c>
      <c r="G202" s="231"/>
      <c r="H202" s="242"/>
      <c r="I202" s="59" t="s">
        <v>10</v>
      </c>
    </row>
    <row r="203" spans="2:9" ht="38.25" customHeight="1" x14ac:dyDescent="0.25">
      <c r="B203" s="84" t="s">
        <v>127</v>
      </c>
      <c r="C203" s="234"/>
      <c r="D203" s="234"/>
      <c r="E203" s="235"/>
      <c r="F203" s="232" t="s">
        <v>212</v>
      </c>
      <c r="G203" s="231"/>
      <c r="H203" s="242"/>
      <c r="I203" s="80" t="s">
        <v>10</v>
      </c>
    </row>
    <row r="204" spans="2:9" ht="25.5" customHeight="1" x14ac:dyDescent="0.25">
      <c r="B204" s="83" t="s">
        <v>218</v>
      </c>
      <c r="C204" s="234"/>
      <c r="D204" s="234"/>
      <c r="E204" s="235"/>
      <c r="F204" s="232" t="s">
        <v>219</v>
      </c>
      <c r="G204" s="231"/>
      <c r="H204" s="242"/>
      <c r="I204" s="59" t="s">
        <v>10</v>
      </c>
    </row>
    <row r="205" spans="2:9" ht="25.5" customHeight="1" x14ac:dyDescent="0.25">
      <c r="B205" s="83" t="s">
        <v>220</v>
      </c>
      <c r="C205" s="234"/>
      <c r="D205" s="234"/>
      <c r="E205" s="235"/>
      <c r="F205" s="232" t="s">
        <v>221</v>
      </c>
      <c r="G205" s="231"/>
      <c r="H205" s="242"/>
      <c r="I205" s="59" t="s">
        <v>10</v>
      </c>
    </row>
    <row r="206" spans="2:9" ht="15.75" customHeight="1" x14ac:dyDescent="0.25">
      <c r="B206" s="83" t="s">
        <v>222</v>
      </c>
      <c r="C206" s="234"/>
      <c r="D206" s="234"/>
      <c r="E206" s="235"/>
      <c r="F206" s="232" t="s">
        <v>223</v>
      </c>
      <c r="G206" s="231"/>
      <c r="H206" s="242"/>
      <c r="I206" s="59" t="s">
        <v>10</v>
      </c>
    </row>
    <row r="207" spans="2:9" ht="15.75" customHeight="1" x14ac:dyDescent="0.25">
      <c r="B207" s="84" t="s">
        <v>213</v>
      </c>
      <c r="C207" s="234"/>
      <c r="D207" s="234"/>
      <c r="E207" s="235"/>
      <c r="F207" s="232" t="s">
        <v>214</v>
      </c>
      <c r="G207" s="231"/>
      <c r="H207" s="242"/>
      <c r="I207" s="80" t="s">
        <v>10</v>
      </c>
    </row>
    <row r="208" spans="2:9" ht="15.75" customHeight="1" x14ac:dyDescent="0.25">
      <c r="B208" s="102" t="s">
        <v>224</v>
      </c>
      <c r="C208" s="234"/>
      <c r="D208" s="234"/>
      <c r="E208" s="235"/>
      <c r="F208" s="232" t="s">
        <v>225</v>
      </c>
      <c r="G208" s="231"/>
      <c r="H208" s="242"/>
      <c r="I208" s="59" t="s">
        <v>10</v>
      </c>
    </row>
    <row r="209" spans="2:9" ht="15.75" customHeight="1" x14ac:dyDescent="0.25">
      <c r="B209" s="102" t="s">
        <v>226</v>
      </c>
      <c r="C209" s="234"/>
      <c r="D209" s="234"/>
      <c r="E209" s="235"/>
      <c r="F209" s="232" t="s">
        <v>227</v>
      </c>
      <c r="G209" s="231"/>
      <c r="H209" s="242"/>
      <c r="I209" s="59" t="s">
        <v>10</v>
      </c>
    </row>
    <row r="210" spans="2:9" ht="15.75" customHeight="1" x14ac:dyDescent="0.25">
      <c r="B210" s="84" t="s">
        <v>109</v>
      </c>
      <c r="C210" s="234"/>
      <c r="D210" s="234"/>
      <c r="E210" s="235"/>
      <c r="F210" s="232" t="s">
        <v>215</v>
      </c>
      <c r="G210" s="231"/>
      <c r="H210" s="242"/>
      <c r="I210" s="80" t="s">
        <v>10</v>
      </c>
    </row>
    <row r="211" spans="2:9" ht="15.75" customHeight="1" x14ac:dyDescent="0.25">
      <c r="B211" s="102" t="s">
        <v>207</v>
      </c>
      <c r="C211" s="234"/>
      <c r="D211" s="234"/>
      <c r="E211" s="235"/>
      <c r="F211" s="232" t="s">
        <v>215</v>
      </c>
      <c r="G211" s="231"/>
      <c r="H211" s="242"/>
      <c r="I211" s="59" t="s">
        <v>10</v>
      </c>
    </row>
    <row r="212" spans="2:9" ht="15.75" customHeight="1" x14ac:dyDescent="0.25">
      <c r="B212" s="102"/>
      <c r="C212" s="234"/>
      <c r="D212" s="234"/>
      <c r="E212" s="235">
        <v>40</v>
      </c>
      <c r="F212" s="232"/>
      <c r="G212" s="231"/>
      <c r="H212" s="242"/>
      <c r="I212" s="80"/>
    </row>
    <row r="213" spans="2:9" ht="15.75" customHeight="1" x14ac:dyDescent="0.25">
      <c r="B213" s="75"/>
      <c r="C213" s="234"/>
      <c r="D213" s="234"/>
      <c r="E213" s="235">
        <v>41</v>
      </c>
      <c r="F213" s="232"/>
      <c r="G213" s="231"/>
      <c r="H213" s="242"/>
      <c r="I213" s="80"/>
    </row>
    <row r="214" spans="2:9" ht="15.75" customHeight="1" x14ac:dyDescent="0.25">
      <c r="B214" s="79" t="s">
        <v>228</v>
      </c>
      <c r="C214" s="234"/>
      <c r="D214" s="234"/>
      <c r="E214" s="235">
        <v>42</v>
      </c>
      <c r="F214" s="232"/>
      <c r="G214" s="231"/>
      <c r="H214" s="242"/>
      <c r="I214" s="80"/>
    </row>
    <row r="215" spans="2:9" ht="25.5" customHeight="1" x14ac:dyDescent="0.25">
      <c r="B215" s="79" t="s">
        <v>229</v>
      </c>
      <c r="C215" s="234"/>
      <c r="D215" s="234"/>
      <c r="E215" s="235"/>
      <c r="F215" s="232" t="s">
        <v>230</v>
      </c>
      <c r="G215" s="231"/>
      <c r="H215" s="242"/>
      <c r="I215" s="80" t="s">
        <v>10</v>
      </c>
    </row>
    <row r="216" spans="2:9" ht="25.5" customHeight="1" x14ac:dyDescent="0.25">
      <c r="B216" s="81" t="s">
        <v>95</v>
      </c>
      <c r="C216" s="234"/>
      <c r="D216" s="234"/>
      <c r="E216" s="235"/>
      <c r="F216" s="232" t="s">
        <v>231</v>
      </c>
      <c r="G216" s="231"/>
      <c r="H216" s="242"/>
      <c r="I216" s="80" t="s">
        <v>10</v>
      </c>
    </row>
    <row r="217" spans="2:9" ht="15.75" customHeight="1" x14ac:dyDescent="0.25">
      <c r="B217" s="75" t="s">
        <v>26</v>
      </c>
      <c r="C217" s="234"/>
      <c r="D217" s="234"/>
      <c r="E217" s="235"/>
      <c r="F217" s="232" t="s">
        <v>232</v>
      </c>
      <c r="G217" s="231"/>
      <c r="H217" s="242"/>
      <c r="I217" s="58" t="s">
        <v>10</v>
      </c>
    </row>
    <row r="218" spans="2:9" ht="15.75" customHeight="1" x14ac:dyDescent="0.25">
      <c r="B218" s="75" t="s">
        <v>233</v>
      </c>
      <c r="C218" s="234"/>
      <c r="D218" s="234"/>
      <c r="E218" s="235"/>
      <c r="F218" s="232" t="s">
        <v>234</v>
      </c>
      <c r="G218" s="231"/>
      <c r="H218" s="242"/>
      <c r="I218" s="58" t="s">
        <v>10</v>
      </c>
    </row>
    <row r="219" spans="2:9" ht="15.75" customHeight="1" x14ac:dyDescent="0.25">
      <c r="B219" s="75" t="s">
        <v>235</v>
      </c>
      <c r="C219" s="234"/>
      <c r="D219" s="234"/>
      <c r="E219" s="235"/>
      <c r="F219" s="232" t="s">
        <v>236</v>
      </c>
      <c r="G219" s="231"/>
      <c r="H219" s="242"/>
      <c r="I219" s="58" t="s">
        <v>10</v>
      </c>
    </row>
    <row r="220" spans="2:9" ht="15.75" customHeight="1" x14ac:dyDescent="0.25">
      <c r="B220" s="81" t="s">
        <v>102</v>
      </c>
      <c r="C220" s="234"/>
      <c r="D220" s="234"/>
      <c r="E220" s="235"/>
      <c r="F220" s="232" t="s">
        <v>237</v>
      </c>
      <c r="G220" s="231"/>
      <c r="H220" s="242"/>
      <c r="I220" s="80" t="s">
        <v>10</v>
      </c>
    </row>
    <row r="221" spans="2:9" ht="25.5" customHeight="1" x14ac:dyDescent="0.25">
      <c r="B221" s="82" t="s">
        <v>238</v>
      </c>
      <c r="C221" s="234"/>
      <c r="D221" s="234"/>
      <c r="E221" s="235"/>
      <c r="F221" s="232" t="s">
        <v>239</v>
      </c>
      <c r="G221" s="231"/>
      <c r="H221" s="242"/>
      <c r="I221" s="80" t="s">
        <v>10</v>
      </c>
    </row>
    <row r="222" spans="2:9" ht="25.5" customHeight="1" x14ac:dyDescent="0.25">
      <c r="B222" s="81" t="s">
        <v>95</v>
      </c>
      <c r="C222" s="234"/>
      <c r="D222" s="234"/>
      <c r="E222" s="235"/>
      <c r="F222" s="232" t="s">
        <v>239</v>
      </c>
      <c r="G222" s="231"/>
      <c r="H222" s="242"/>
      <c r="I222" s="80" t="s">
        <v>10</v>
      </c>
    </row>
    <row r="223" spans="2:9" ht="15.75" customHeight="1" x14ac:dyDescent="0.25">
      <c r="B223" s="75" t="s">
        <v>26</v>
      </c>
      <c r="C223" s="234"/>
      <c r="D223" s="234"/>
      <c r="E223" s="235"/>
      <c r="F223" s="232" t="s">
        <v>240</v>
      </c>
      <c r="G223" s="231"/>
      <c r="H223" s="242"/>
      <c r="I223" s="58" t="s">
        <v>10</v>
      </c>
    </row>
    <row r="224" spans="2:9" ht="15.75" customHeight="1" x14ac:dyDescent="0.25">
      <c r="B224" s="75" t="s">
        <v>233</v>
      </c>
      <c r="C224" s="234"/>
      <c r="D224" s="234"/>
      <c r="E224" s="235"/>
      <c r="F224" s="232" t="s">
        <v>234</v>
      </c>
      <c r="G224" s="231"/>
      <c r="H224" s="242"/>
      <c r="I224" s="58" t="s">
        <v>10</v>
      </c>
    </row>
    <row r="225" spans="2:9" ht="15.75" customHeight="1" x14ac:dyDescent="0.25">
      <c r="B225" s="75" t="s">
        <v>235</v>
      </c>
      <c r="C225" s="234"/>
      <c r="D225" s="234"/>
      <c r="E225" s="235"/>
      <c r="F225" s="232" t="s">
        <v>236</v>
      </c>
      <c r="G225" s="231"/>
      <c r="H225" s="242"/>
      <c r="I225" s="58" t="s">
        <v>10</v>
      </c>
    </row>
    <row r="226" spans="2:9" ht="15.75" customHeight="1" x14ac:dyDescent="0.25">
      <c r="B226" s="82" t="s">
        <v>241</v>
      </c>
      <c r="C226" s="234"/>
      <c r="D226" s="234"/>
      <c r="E226" s="235"/>
      <c r="F226" s="232" t="s">
        <v>242</v>
      </c>
      <c r="G226" s="231"/>
      <c r="H226" s="242"/>
      <c r="I226" s="80" t="s">
        <v>10</v>
      </c>
    </row>
    <row r="227" spans="2:9" ht="15.75" customHeight="1" x14ac:dyDescent="0.25">
      <c r="B227" s="81" t="s">
        <v>95</v>
      </c>
      <c r="C227" s="234"/>
      <c r="D227" s="234"/>
      <c r="E227" s="235"/>
      <c r="F227" s="232">
        <v>0</v>
      </c>
      <c r="G227" s="231"/>
      <c r="H227" s="242"/>
      <c r="I227" s="80" t="s">
        <v>10</v>
      </c>
    </row>
    <row r="228" spans="2:9" ht="15.75" customHeight="1" x14ac:dyDescent="0.25">
      <c r="B228" s="75" t="s">
        <v>26</v>
      </c>
      <c r="C228" s="234"/>
      <c r="D228" s="234"/>
      <c r="E228" s="235"/>
      <c r="F228" s="232">
        <v>0</v>
      </c>
      <c r="G228" s="231"/>
      <c r="H228" s="242"/>
      <c r="I228" s="58" t="s">
        <v>10</v>
      </c>
    </row>
    <row r="229" spans="2:9" ht="15.75" customHeight="1" x14ac:dyDescent="0.25">
      <c r="B229" s="81" t="s">
        <v>102</v>
      </c>
      <c r="C229" s="234"/>
      <c r="D229" s="234"/>
      <c r="E229" s="235"/>
      <c r="F229" s="232" t="s">
        <v>237</v>
      </c>
      <c r="G229" s="231"/>
      <c r="H229" s="242"/>
      <c r="I229" s="80" t="s">
        <v>10</v>
      </c>
    </row>
    <row r="230" spans="2:9" ht="15.75" customHeight="1" x14ac:dyDescent="0.25">
      <c r="B230" s="81"/>
      <c r="C230" s="234"/>
      <c r="D230" s="234"/>
      <c r="E230" s="235">
        <v>43</v>
      </c>
      <c r="F230" s="232"/>
      <c r="G230" s="231"/>
      <c r="H230" s="242"/>
      <c r="I230" s="80"/>
    </row>
    <row r="231" spans="2:9" ht="15.75" customHeight="1" x14ac:dyDescent="0.25">
      <c r="B231" s="87" t="s">
        <v>243</v>
      </c>
      <c r="C231" s="234"/>
      <c r="D231" s="234"/>
      <c r="E231" s="235">
        <v>44</v>
      </c>
      <c r="F231" s="232"/>
      <c r="G231" s="231"/>
      <c r="H231" s="242"/>
      <c r="I231" s="80"/>
    </row>
    <row r="232" spans="2:9" ht="15.75" customHeight="1" x14ac:dyDescent="0.25">
      <c r="B232" s="79" t="s">
        <v>244</v>
      </c>
      <c r="C232" s="234"/>
      <c r="D232" s="234"/>
      <c r="E232" s="235"/>
      <c r="F232" s="232" t="s">
        <v>245</v>
      </c>
      <c r="G232" s="231"/>
      <c r="H232" s="242"/>
      <c r="I232" s="80" t="s">
        <v>10</v>
      </c>
    </row>
    <row r="233" spans="2:9" ht="15.75" customHeight="1" x14ac:dyDescent="0.25">
      <c r="B233" s="82" t="s">
        <v>246</v>
      </c>
      <c r="C233" s="234"/>
      <c r="D233" s="234"/>
      <c r="E233" s="235"/>
      <c r="F233" s="232" t="s">
        <v>247</v>
      </c>
      <c r="G233" s="231"/>
      <c r="H233" s="242"/>
      <c r="I233" s="80" t="s">
        <v>10</v>
      </c>
    </row>
    <row r="234" spans="2:9" ht="15.75" customHeight="1" x14ac:dyDescent="0.25">
      <c r="B234" s="81" t="s">
        <v>95</v>
      </c>
      <c r="C234" s="234"/>
      <c r="D234" s="234"/>
      <c r="E234" s="235"/>
      <c r="F234" s="232" t="s">
        <v>247</v>
      </c>
      <c r="G234" s="231"/>
      <c r="H234" s="242"/>
      <c r="I234" s="80" t="s">
        <v>10</v>
      </c>
    </row>
    <row r="235" spans="2:9" ht="15.75" customHeight="1" x14ac:dyDescent="0.25">
      <c r="B235" s="75" t="s">
        <v>147</v>
      </c>
      <c r="C235" s="234"/>
      <c r="D235" s="234"/>
      <c r="E235" s="235"/>
      <c r="F235" s="232" t="s">
        <v>248</v>
      </c>
      <c r="G235" s="231"/>
      <c r="H235" s="242"/>
      <c r="I235" s="58" t="s">
        <v>10</v>
      </c>
    </row>
    <row r="236" spans="2:9" ht="15.75" customHeight="1" x14ac:dyDescent="0.25">
      <c r="B236" s="75" t="s">
        <v>235</v>
      </c>
      <c r="C236" s="234"/>
      <c r="D236" s="234"/>
      <c r="E236" s="235"/>
      <c r="F236" s="232" t="s">
        <v>249</v>
      </c>
      <c r="G236" s="231"/>
      <c r="H236" s="242"/>
      <c r="I236" s="58" t="s">
        <v>10</v>
      </c>
    </row>
    <row r="237" spans="2:9" ht="15.75" customHeight="1" x14ac:dyDescent="0.25">
      <c r="B237" s="82" t="s">
        <v>250</v>
      </c>
      <c r="C237" s="234"/>
      <c r="D237" s="234"/>
      <c r="E237" s="235"/>
      <c r="F237" s="232">
        <v>0</v>
      </c>
      <c r="G237" s="231"/>
      <c r="H237" s="242"/>
      <c r="I237" s="80" t="s">
        <v>10</v>
      </c>
    </row>
    <row r="238" spans="2:9" ht="15.75" customHeight="1" x14ac:dyDescent="0.25">
      <c r="B238" s="88"/>
      <c r="C238" s="234"/>
      <c r="D238" s="234"/>
      <c r="E238" s="235">
        <v>45</v>
      </c>
      <c r="F238" s="232"/>
      <c r="G238" s="231"/>
      <c r="H238" s="242"/>
      <c r="I238" s="171"/>
    </row>
    <row r="239" spans="2:9" ht="15.75" customHeight="1" x14ac:dyDescent="0.25">
      <c r="B239" s="202"/>
      <c r="C239" s="234"/>
      <c r="D239" s="234"/>
      <c r="E239" s="235">
        <v>46</v>
      </c>
      <c r="F239" s="232"/>
      <c r="G239" s="231"/>
      <c r="H239" s="242"/>
      <c r="I239" s="171"/>
    </row>
    <row r="240" spans="2:9" ht="15.75" customHeight="1" x14ac:dyDescent="0.25">
      <c r="B240" s="88" t="s">
        <v>251</v>
      </c>
      <c r="C240" s="234"/>
      <c r="D240" s="234"/>
      <c r="E240" s="235"/>
      <c r="F240" s="232" t="s">
        <v>252</v>
      </c>
      <c r="G240" s="231"/>
      <c r="H240" s="242"/>
      <c r="I240" s="171" t="s">
        <v>10</v>
      </c>
    </row>
    <row r="241" spans="2:9" ht="15.75" customHeight="1" x14ac:dyDescent="0.25">
      <c r="B241" s="82" t="s">
        <v>246</v>
      </c>
      <c r="C241" s="234"/>
      <c r="D241" s="234"/>
      <c r="E241" s="235"/>
      <c r="F241" s="232" t="s">
        <v>253</v>
      </c>
      <c r="G241" s="231"/>
      <c r="H241" s="242"/>
      <c r="I241" s="171" t="s">
        <v>10</v>
      </c>
    </row>
    <row r="242" spans="2:9" ht="15.75" customHeight="1" x14ac:dyDescent="0.25">
      <c r="B242" s="106" t="s">
        <v>254</v>
      </c>
      <c r="C242" s="234"/>
      <c r="D242" s="234"/>
      <c r="E242" s="235"/>
      <c r="F242" s="232" t="s">
        <v>255</v>
      </c>
      <c r="G242" s="231"/>
      <c r="H242" s="242"/>
      <c r="I242" s="59" t="s">
        <v>10</v>
      </c>
    </row>
    <row r="243" spans="2:9" ht="15.75" customHeight="1" x14ac:dyDescent="0.25">
      <c r="B243" s="106" t="s">
        <v>256</v>
      </c>
      <c r="C243" s="234"/>
      <c r="D243" s="234"/>
      <c r="E243" s="235"/>
      <c r="F243" s="232" t="s">
        <v>257</v>
      </c>
      <c r="G243" s="231"/>
      <c r="H243" s="242"/>
      <c r="I243" s="59" t="s">
        <v>10</v>
      </c>
    </row>
    <row r="244" spans="2:9" ht="15.75" customHeight="1" x14ac:dyDescent="0.25">
      <c r="B244" s="82" t="s">
        <v>250</v>
      </c>
      <c r="C244" s="234"/>
      <c r="D244" s="234"/>
      <c r="E244" s="235"/>
      <c r="F244" s="232">
        <v>0</v>
      </c>
      <c r="G244" s="231"/>
      <c r="H244" s="242"/>
      <c r="I244" s="171" t="s">
        <v>10</v>
      </c>
    </row>
    <row r="245" spans="2:9" ht="15.75" customHeight="1" x14ac:dyDescent="0.25">
      <c r="B245" s="89" t="s">
        <v>95</v>
      </c>
      <c r="C245" s="234"/>
      <c r="D245" s="234"/>
      <c r="E245" s="235"/>
      <c r="F245" s="232">
        <v>0</v>
      </c>
      <c r="G245" s="231"/>
      <c r="H245" s="242"/>
      <c r="I245" s="171" t="s">
        <v>10</v>
      </c>
    </row>
    <row r="246" spans="2:9" ht="15.75" customHeight="1" x14ac:dyDescent="0.25">
      <c r="B246" s="106" t="s">
        <v>258</v>
      </c>
      <c r="C246" s="234"/>
      <c r="D246" s="234"/>
      <c r="E246" s="235"/>
      <c r="F246" s="232">
        <v>0</v>
      </c>
      <c r="G246" s="231"/>
      <c r="H246" s="242"/>
      <c r="I246" s="59" t="s">
        <v>10</v>
      </c>
    </row>
    <row r="247" spans="2:9" ht="15.75" customHeight="1" x14ac:dyDescent="0.25">
      <c r="B247" s="106" t="s">
        <v>259</v>
      </c>
      <c r="C247" s="234"/>
      <c r="D247" s="234"/>
      <c r="E247" s="235">
        <v>47</v>
      </c>
      <c r="F247" s="232"/>
      <c r="G247" s="231"/>
      <c r="H247" s="242"/>
      <c r="I247" s="59" t="s">
        <v>10</v>
      </c>
    </row>
    <row r="248" spans="2:9" ht="15.75" customHeight="1" x14ac:dyDescent="0.25">
      <c r="B248" s="106"/>
      <c r="C248" s="234"/>
      <c r="D248" s="234"/>
      <c r="E248" s="235">
        <v>48</v>
      </c>
      <c r="F248" s="232"/>
      <c r="G248" s="231"/>
      <c r="H248" s="242"/>
      <c r="I248" s="171"/>
    </row>
    <row r="249" spans="2:9" ht="15.75" customHeight="1" x14ac:dyDescent="0.25">
      <c r="B249" s="88" t="s">
        <v>260</v>
      </c>
      <c r="C249" s="234"/>
      <c r="D249" s="234"/>
      <c r="E249" s="235">
        <v>49</v>
      </c>
      <c r="F249" s="232"/>
      <c r="G249" s="231"/>
      <c r="H249" s="242"/>
      <c r="I249" s="171"/>
    </row>
    <row r="250" spans="2:9" ht="38.25" customHeight="1" x14ac:dyDescent="0.25">
      <c r="B250" s="89" t="s">
        <v>95</v>
      </c>
      <c r="C250" s="234"/>
      <c r="D250" s="234"/>
      <c r="E250" s="235"/>
      <c r="F250" s="232" t="s">
        <v>261</v>
      </c>
      <c r="G250" s="231"/>
      <c r="H250" s="242"/>
      <c r="I250" s="171" t="s">
        <v>10</v>
      </c>
    </row>
    <row r="251" spans="2:9" ht="15.75" customHeight="1" x14ac:dyDescent="0.25">
      <c r="B251" s="120" t="s">
        <v>26</v>
      </c>
      <c r="C251" s="234"/>
      <c r="D251" s="234"/>
      <c r="E251" s="235"/>
      <c r="F251" s="232" t="s">
        <v>262</v>
      </c>
      <c r="G251" s="231"/>
      <c r="H251" s="242"/>
      <c r="I251" s="58" t="s">
        <v>10</v>
      </c>
    </row>
    <row r="252" spans="2:9" ht="25.5" customHeight="1" x14ac:dyDescent="0.25">
      <c r="B252" s="120" t="s">
        <v>180</v>
      </c>
      <c r="C252" s="234"/>
      <c r="D252" s="234"/>
      <c r="E252" s="235"/>
      <c r="F252" s="232" t="s">
        <v>263</v>
      </c>
      <c r="G252" s="231"/>
      <c r="H252" s="242"/>
      <c r="I252" s="58" t="s">
        <v>10</v>
      </c>
    </row>
    <row r="253" spans="2:9" ht="15.75" customHeight="1" x14ac:dyDescent="0.25">
      <c r="B253" s="120" t="s">
        <v>147</v>
      </c>
      <c r="C253" s="234"/>
      <c r="D253" s="234"/>
      <c r="E253" s="235"/>
      <c r="F253" s="232" t="s">
        <v>264</v>
      </c>
      <c r="G253" s="231"/>
      <c r="H253" s="242"/>
      <c r="I253" s="58" t="s">
        <v>10</v>
      </c>
    </row>
    <row r="254" spans="2:9" ht="15.75" customHeight="1" x14ac:dyDescent="0.25">
      <c r="B254" s="120" t="s">
        <v>235</v>
      </c>
      <c r="C254" s="234"/>
      <c r="D254" s="234"/>
      <c r="E254" s="235"/>
      <c r="F254" s="232" t="s">
        <v>265</v>
      </c>
      <c r="G254" s="231"/>
      <c r="H254" s="242"/>
      <c r="I254" s="58" t="s">
        <v>10</v>
      </c>
    </row>
    <row r="255" spans="2:9" ht="25.5" customHeight="1" x14ac:dyDescent="0.25">
      <c r="B255" s="90" t="s">
        <v>246</v>
      </c>
      <c r="C255" s="234"/>
      <c r="D255" s="234"/>
      <c r="E255" s="235"/>
      <c r="F255" s="232" t="s">
        <v>266</v>
      </c>
      <c r="G255" s="231"/>
      <c r="H255" s="242"/>
      <c r="I255" s="171" t="s">
        <v>10</v>
      </c>
    </row>
    <row r="256" spans="2:9" ht="25.5" customHeight="1" x14ac:dyDescent="0.25">
      <c r="B256" s="89" t="s">
        <v>95</v>
      </c>
      <c r="C256" s="234"/>
      <c r="D256" s="234"/>
      <c r="E256" s="235"/>
      <c r="F256" s="232" t="s">
        <v>266</v>
      </c>
      <c r="G256" s="231"/>
      <c r="H256" s="242"/>
      <c r="I256" s="171" t="s">
        <v>10</v>
      </c>
    </row>
    <row r="257" spans="2:9" ht="15.75" customHeight="1" x14ac:dyDescent="0.25">
      <c r="B257" s="120" t="s">
        <v>26</v>
      </c>
      <c r="C257" s="234"/>
      <c r="D257" s="234"/>
      <c r="E257" s="235"/>
      <c r="F257" s="232" t="s">
        <v>262</v>
      </c>
      <c r="G257" s="231"/>
      <c r="H257" s="242"/>
      <c r="I257" s="58" t="s">
        <v>10</v>
      </c>
    </row>
    <row r="258" spans="2:9" ht="15.75" customHeight="1" x14ac:dyDescent="0.25">
      <c r="B258" s="106" t="s">
        <v>267</v>
      </c>
      <c r="C258" s="234"/>
      <c r="D258" s="234"/>
      <c r="E258" s="235"/>
      <c r="F258" s="232" t="s">
        <v>268</v>
      </c>
      <c r="G258" s="231"/>
      <c r="H258" s="242"/>
      <c r="I258" s="59" t="s">
        <v>10</v>
      </c>
    </row>
    <row r="259" spans="2:9" ht="15.75" customHeight="1" x14ac:dyDescent="0.25">
      <c r="B259" s="120" t="s">
        <v>147</v>
      </c>
      <c r="C259" s="234"/>
      <c r="D259" s="234"/>
      <c r="E259" s="235"/>
      <c r="F259" s="232" t="s">
        <v>264</v>
      </c>
      <c r="G259" s="231"/>
      <c r="H259" s="242"/>
      <c r="I259" s="58" t="s">
        <v>10</v>
      </c>
    </row>
    <row r="260" spans="2:9" ht="15.75" customHeight="1" x14ac:dyDescent="0.25">
      <c r="B260" s="120" t="s">
        <v>235</v>
      </c>
      <c r="C260" s="234"/>
      <c r="D260" s="234"/>
      <c r="E260" s="235"/>
      <c r="F260" s="232" t="s">
        <v>265</v>
      </c>
      <c r="G260" s="231"/>
      <c r="H260" s="242"/>
      <c r="I260" s="58" t="s">
        <v>10</v>
      </c>
    </row>
    <row r="261" spans="2:9" ht="25.5" customHeight="1" x14ac:dyDescent="0.25">
      <c r="B261" s="90" t="s">
        <v>250</v>
      </c>
      <c r="C261" s="234"/>
      <c r="D261" s="234"/>
      <c r="E261" s="235"/>
      <c r="F261" s="232" t="s">
        <v>269</v>
      </c>
      <c r="G261" s="231"/>
      <c r="H261" s="242"/>
      <c r="I261" s="171" t="s">
        <v>10</v>
      </c>
    </row>
    <row r="262" spans="2:9" ht="15.75" customHeight="1" x14ac:dyDescent="0.25">
      <c r="B262" s="89" t="s">
        <v>48</v>
      </c>
      <c r="C262" s="234"/>
      <c r="D262" s="234"/>
      <c r="E262" s="235"/>
      <c r="F262" s="232">
        <v>0</v>
      </c>
      <c r="G262" s="231"/>
      <c r="H262" s="242"/>
      <c r="I262" s="171" t="s">
        <v>10</v>
      </c>
    </row>
    <row r="263" spans="2:9" ht="15.75" customHeight="1" x14ac:dyDescent="0.25">
      <c r="B263" s="120" t="s">
        <v>26</v>
      </c>
      <c r="C263" s="234"/>
      <c r="D263" s="234"/>
      <c r="E263" s="235">
        <v>50</v>
      </c>
      <c r="F263" s="232"/>
      <c r="G263" s="231"/>
      <c r="H263" s="242"/>
      <c r="I263" s="58" t="s">
        <v>10</v>
      </c>
    </row>
    <row r="264" spans="2:9" ht="15.75" customHeight="1" x14ac:dyDescent="0.25">
      <c r="B264" s="106" t="s">
        <v>267</v>
      </c>
      <c r="C264" s="234"/>
      <c r="D264" s="234"/>
      <c r="E264" s="235">
        <v>51</v>
      </c>
      <c r="F264" s="232"/>
      <c r="G264" s="231"/>
      <c r="H264" s="242"/>
      <c r="I264" s="59" t="s">
        <v>10</v>
      </c>
    </row>
    <row r="265" spans="2:9" ht="25.5" customHeight="1" x14ac:dyDescent="0.25">
      <c r="B265" s="89" t="s">
        <v>95</v>
      </c>
      <c r="C265" s="234"/>
      <c r="D265" s="234"/>
      <c r="E265" s="235"/>
      <c r="F265" s="232" t="s">
        <v>263</v>
      </c>
      <c r="G265" s="231"/>
      <c r="H265" s="242"/>
      <c r="I265" s="171" t="s">
        <v>10</v>
      </c>
    </row>
    <row r="266" spans="2:9" ht="25.5" customHeight="1" x14ac:dyDescent="0.25">
      <c r="B266" s="120" t="s">
        <v>180</v>
      </c>
      <c r="C266" s="234"/>
      <c r="D266" s="234"/>
      <c r="E266" s="235"/>
      <c r="F266" s="232" t="s">
        <v>263</v>
      </c>
      <c r="G266" s="231"/>
      <c r="H266" s="242"/>
      <c r="I266" s="58" t="s">
        <v>10</v>
      </c>
    </row>
    <row r="267" spans="2:9" ht="15.75" customHeight="1" x14ac:dyDescent="0.25">
      <c r="B267" s="106" t="s">
        <v>82</v>
      </c>
      <c r="C267" s="234"/>
      <c r="D267" s="234"/>
      <c r="E267" s="235"/>
      <c r="F267" s="232" t="s">
        <v>270</v>
      </c>
      <c r="G267" s="231"/>
      <c r="H267" s="242"/>
      <c r="I267" s="59" t="s">
        <v>10</v>
      </c>
    </row>
    <row r="268" spans="2:9" ht="15.75" customHeight="1" x14ac:dyDescent="0.25">
      <c r="B268" s="106" t="s">
        <v>52</v>
      </c>
      <c r="C268" s="234"/>
      <c r="D268" s="234"/>
      <c r="E268" s="235"/>
      <c r="F268" s="232" t="s">
        <v>271</v>
      </c>
      <c r="G268" s="231"/>
      <c r="H268" s="242"/>
      <c r="I268" s="59" t="s">
        <v>10</v>
      </c>
    </row>
    <row r="269" spans="2:9" ht="15.75" customHeight="1" x14ac:dyDescent="0.25">
      <c r="B269" s="76" t="s">
        <v>85</v>
      </c>
      <c r="C269" s="234"/>
      <c r="D269" s="234"/>
      <c r="E269" s="235"/>
      <c r="F269" s="232" t="s">
        <v>272</v>
      </c>
      <c r="G269" s="231"/>
      <c r="H269" s="242"/>
      <c r="I269" s="59" t="s">
        <v>10</v>
      </c>
    </row>
    <row r="270" spans="2:9" ht="15.75" customHeight="1" x14ac:dyDescent="0.25">
      <c r="B270" s="88" t="s">
        <v>273</v>
      </c>
      <c r="C270" s="234"/>
      <c r="D270" s="234"/>
      <c r="E270" s="235">
        <v>52</v>
      </c>
      <c r="F270" s="232"/>
      <c r="G270" s="231"/>
      <c r="H270" s="242"/>
      <c r="I270" s="171"/>
    </row>
    <row r="271" spans="2:9" ht="38.25" customHeight="1" x14ac:dyDescent="0.25">
      <c r="B271" s="90" t="s">
        <v>246</v>
      </c>
      <c r="C271" s="234"/>
      <c r="D271" s="234"/>
      <c r="E271" s="235"/>
      <c r="F271" s="232" t="s">
        <v>274</v>
      </c>
      <c r="G271" s="231"/>
      <c r="H271" s="242"/>
      <c r="I271" s="171" t="s">
        <v>10</v>
      </c>
    </row>
    <row r="272" spans="2:9" ht="38.25" customHeight="1" x14ac:dyDescent="0.25">
      <c r="B272" s="89" t="s">
        <v>95</v>
      </c>
      <c r="C272" s="234"/>
      <c r="D272" s="234"/>
      <c r="E272" s="235"/>
      <c r="F272" s="232" t="s">
        <v>274</v>
      </c>
      <c r="G272" s="231"/>
      <c r="H272" s="242"/>
      <c r="I272" s="171" t="s">
        <v>10</v>
      </c>
    </row>
    <row r="273" spans="2:9" ht="15.75" customHeight="1" x14ac:dyDescent="0.25">
      <c r="B273" s="120" t="s">
        <v>26</v>
      </c>
      <c r="C273" s="234"/>
      <c r="D273" s="234"/>
      <c r="E273" s="235"/>
      <c r="F273" s="232" t="s">
        <v>275</v>
      </c>
      <c r="G273" s="231"/>
      <c r="H273" s="242"/>
      <c r="I273" s="58" t="s">
        <v>10</v>
      </c>
    </row>
    <row r="274" spans="2:9" ht="15.75" customHeight="1" x14ac:dyDescent="0.25">
      <c r="B274" s="106" t="s">
        <v>276</v>
      </c>
      <c r="C274" s="234"/>
      <c r="D274" s="234"/>
      <c r="E274" s="235"/>
      <c r="F274" s="232" t="s">
        <v>277</v>
      </c>
      <c r="G274" s="231"/>
      <c r="H274" s="242"/>
      <c r="I274" s="59" t="s">
        <v>10</v>
      </c>
    </row>
    <row r="275" spans="2:9" ht="25.5" customHeight="1" x14ac:dyDescent="0.25">
      <c r="B275" s="120" t="s">
        <v>180</v>
      </c>
      <c r="C275" s="234"/>
      <c r="D275" s="234"/>
      <c r="E275" s="235"/>
      <c r="F275" s="232" t="s">
        <v>278</v>
      </c>
      <c r="G275" s="231"/>
      <c r="H275" s="242"/>
      <c r="I275" s="58" t="s">
        <v>10</v>
      </c>
    </row>
    <row r="276" spans="2:9" ht="15.75" customHeight="1" x14ac:dyDescent="0.25">
      <c r="B276" s="106" t="s">
        <v>82</v>
      </c>
      <c r="C276" s="234"/>
      <c r="D276" s="234"/>
      <c r="E276" s="235"/>
      <c r="F276" s="232" t="s">
        <v>279</v>
      </c>
      <c r="G276" s="231"/>
      <c r="H276" s="242"/>
      <c r="I276" s="59" t="s">
        <v>10</v>
      </c>
    </row>
    <row r="277" spans="2:9" ht="15.75" customHeight="1" x14ac:dyDescent="0.25">
      <c r="B277" s="106" t="s">
        <v>52</v>
      </c>
      <c r="C277" s="234"/>
      <c r="D277" s="234"/>
      <c r="E277" s="235"/>
      <c r="F277" s="232" t="s">
        <v>280</v>
      </c>
      <c r="G277" s="231"/>
      <c r="H277" s="242"/>
      <c r="I277" s="59" t="s">
        <v>10</v>
      </c>
    </row>
    <row r="278" spans="2:9" ht="15.75" customHeight="1" x14ac:dyDescent="0.25">
      <c r="B278" s="76" t="s">
        <v>85</v>
      </c>
      <c r="C278" s="234"/>
      <c r="D278" s="234"/>
      <c r="E278" s="235"/>
      <c r="F278" s="232" t="s">
        <v>281</v>
      </c>
      <c r="G278" s="231"/>
      <c r="H278" s="242"/>
      <c r="I278" s="59" t="s">
        <v>10</v>
      </c>
    </row>
    <row r="279" spans="2:9" ht="15.75" customHeight="1" x14ac:dyDescent="0.25">
      <c r="B279" s="120" t="s">
        <v>147</v>
      </c>
      <c r="C279" s="234"/>
      <c r="D279" s="234"/>
      <c r="E279" s="235"/>
      <c r="F279" s="232" t="s">
        <v>282</v>
      </c>
      <c r="G279" s="231"/>
      <c r="H279" s="242"/>
      <c r="I279" s="58" t="s">
        <v>10</v>
      </c>
    </row>
    <row r="280" spans="2:9" ht="15.75" customHeight="1" x14ac:dyDescent="0.25">
      <c r="B280" s="120" t="s">
        <v>235</v>
      </c>
      <c r="C280" s="234"/>
      <c r="D280" s="234"/>
      <c r="E280" s="235"/>
      <c r="F280" s="232" t="s">
        <v>283</v>
      </c>
      <c r="G280" s="231"/>
      <c r="H280" s="242"/>
      <c r="I280" s="58" t="s">
        <v>10</v>
      </c>
    </row>
    <row r="281" spans="2:9" ht="15.75" customHeight="1" x14ac:dyDescent="0.25">
      <c r="B281" s="90" t="s">
        <v>250</v>
      </c>
      <c r="C281" s="234"/>
      <c r="D281" s="234"/>
      <c r="E281" s="235"/>
      <c r="F281" s="232">
        <v>0</v>
      </c>
      <c r="G281" s="231"/>
      <c r="H281" s="242"/>
      <c r="I281" s="171" t="s">
        <v>10</v>
      </c>
    </row>
    <row r="282" spans="2:9" ht="25.5" customHeight="1" x14ac:dyDescent="0.25">
      <c r="B282" s="91" t="s">
        <v>284</v>
      </c>
      <c r="C282" s="234"/>
      <c r="D282" s="234"/>
      <c r="E282" s="235"/>
      <c r="F282" s="232" t="s">
        <v>285</v>
      </c>
      <c r="G282" s="231"/>
      <c r="H282" s="242"/>
      <c r="I282" s="92"/>
    </row>
    <row r="283" spans="2:9" ht="15.75" customHeight="1" x14ac:dyDescent="0.25">
      <c r="B283" s="91" t="s">
        <v>286</v>
      </c>
      <c r="C283" s="234"/>
      <c r="D283" s="234"/>
      <c r="E283" s="235"/>
      <c r="F283" s="232" t="s">
        <v>287</v>
      </c>
      <c r="G283" s="231"/>
      <c r="H283" s="242"/>
      <c r="I283" s="92"/>
    </row>
    <row r="284" spans="2:9" ht="76.5" customHeight="1" x14ac:dyDescent="0.25">
      <c r="B284" s="91" t="s">
        <v>288</v>
      </c>
      <c r="C284" s="234"/>
      <c r="D284" s="234"/>
      <c r="E284" s="235"/>
      <c r="F284" s="232" t="s">
        <v>289</v>
      </c>
      <c r="G284" s="231"/>
      <c r="H284" s="242"/>
      <c r="I284" s="92"/>
    </row>
    <row r="285" spans="2:9" ht="25.5" customHeight="1" x14ac:dyDescent="0.25">
      <c r="B285" s="91" t="s">
        <v>290</v>
      </c>
      <c r="C285" s="234"/>
      <c r="D285" s="234"/>
      <c r="E285" s="235"/>
      <c r="F285" s="232" t="s">
        <v>291</v>
      </c>
      <c r="G285" s="231"/>
      <c r="H285" s="242"/>
      <c r="I285" s="92"/>
    </row>
    <row r="286" spans="2:9" ht="15.75" customHeight="1" x14ac:dyDescent="0.25">
      <c r="B286" s="123"/>
      <c r="C286" s="234"/>
      <c r="D286" s="234"/>
      <c r="E286" s="235">
        <v>53</v>
      </c>
      <c r="F286" s="232"/>
      <c r="G286" s="231"/>
      <c r="H286" s="242"/>
      <c r="I286" s="92"/>
    </row>
    <row r="287" spans="2:9" ht="15.75" customHeight="1" x14ac:dyDescent="0.25">
      <c r="B287" s="93"/>
      <c r="C287" s="234"/>
      <c r="D287" s="234"/>
      <c r="E287" s="235">
        <v>54</v>
      </c>
      <c r="F287" s="232"/>
      <c r="G287" s="231"/>
      <c r="H287" s="242"/>
      <c r="I287" s="92"/>
    </row>
    <row r="288" spans="2:9" ht="15.75" customHeight="1" x14ac:dyDescent="0.25">
      <c r="B288" s="123" t="s">
        <v>292</v>
      </c>
      <c r="C288" s="234"/>
      <c r="D288" s="234"/>
      <c r="E288" s="235">
        <v>55</v>
      </c>
      <c r="F288" s="232"/>
      <c r="G288" s="231"/>
      <c r="H288" s="242"/>
      <c r="I288" s="92"/>
    </row>
    <row r="289" spans="2:9" ht="15.75" customHeight="1" x14ac:dyDescent="0.25">
      <c r="B289" s="94" t="s">
        <v>293</v>
      </c>
      <c r="C289" s="234"/>
      <c r="D289" s="234"/>
      <c r="E289" s="235"/>
      <c r="F289" s="232">
        <v>0</v>
      </c>
      <c r="G289" s="231"/>
      <c r="H289" s="242"/>
      <c r="I289" s="92" t="s">
        <v>10</v>
      </c>
    </row>
    <row r="290" spans="2:9" ht="15.75" customHeight="1" x14ac:dyDescent="0.25">
      <c r="B290" s="94" t="s">
        <v>246</v>
      </c>
      <c r="C290" s="234"/>
      <c r="D290" s="234"/>
      <c r="E290" s="235"/>
      <c r="F290" s="232">
        <v>0</v>
      </c>
      <c r="G290" s="231"/>
      <c r="H290" s="242"/>
      <c r="I290" s="92" t="s">
        <v>10</v>
      </c>
    </row>
    <row r="291" spans="2:9" ht="15.75" customHeight="1" x14ac:dyDescent="0.25">
      <c r="B291" s="123"/>
      <c r="C291" s="234"/>
      <c r="D291" s="234"/>
      <c r="E291" s="235">
        <v>56</v>
      </c>
      <c r="F291" s="232"/>
      <c r="G291" s="231"/>
      <c r="H291" s="242"/>
      <c r="I291" s="92"/>
    </row>
    <row r="292" spans="2:9" ht="15.75" customHeight="1" x14ac:dyDescent="0.25">
      <c r="B292" s="123" t="s">
        <v>294</v>
      </c>
      <c r="C292" s="234"/>
      <c r="D292" s="234"/>
      <c r="E292" s="235">
        <v>57</v>
      </c>
      <c r="F292" s="232"/>
      <c r="G292" s="231"/>
      <c r="H292" s="242"/>
      <c r="I292" s="92"/>
    </row>
    <row r="293" spans="2:9" ht="15.75" customHeight="1" x14ac:dyDescent="0.25">
      <c r="B293" s="123" t="s">
        <v>295</v>
      </c>
      <c r="C293" s="234"/>
      <c r="D293" s="234"/>
      <c r="E293" s="235">
        <v>58</v>
      </c>
      <c r="F293" s="232"/>
      <c r="G293" s="231"/>
      <c r="H293" s="242"/>
      <c r="I293" s="92"/>
    </row>
    <row r="294" spans="2:9" ht="15.75" customHeight="1" x14ac:dyDescent="0.25">
      <c r="B294" s="94" t="s">
        <v>95</v>
      </c>
      <c r="C294" s="234"/>
      <c r="D294" s="234"/>
      <c r="E294" s="235">
        <v>59</v>
      </c>
      <c r="F294" s="232"/>
      <c r="G294" s="231"/>
      <c r="H294" s="242"/>
      <c r="I294" s="92" t="s">
        <v>10</v>
      </c>
    </row>
    <row r="295" spans="2:9" ht="15.75" customHeight="1" x14ac:dyDescent="0.25">
      <c r="B295" s="89"/>
      <c r="C295" s="234"/>
      <c r="D295" s="234"/>
      <c r="E295" s="235">
        <v>60</v>
      </c>
      <c r="F295" s="232"/>
      <c r="G295" s="231"/>
      <c r="H295" s="242"/>
      <c r="I295" s="171"/>
    </row>
    <row r="296" spans="2:9" ht="15.75" customHeight="1" x14ac:dyDescent="0.25">
      <c r="B296" s="88" t="s">
        <v>296</v>
      </c>
      <c r="C296" s="234"/>
      <c r="D296" s="234"/>
      <c r="E296" s="235">
        <v>61</v>
      </c>
      <c r="F296" s="232"/>
      <c r="G296" s="231"/>
      <c r="H296" s="242"/>
      <c r="I296" s="171"/>
    </row>
    <row r="297" spans="2:9" ht="15.75" customHeight="1" x14ac:dyDescent="0.25">
      <c r="B297" s="202"/>
      <c r="C297" s="234"/>
      <c r="D297" s="234"/>
      <c r="E297" s="235">
        <v>62</v>
      </c>
      <c r="F297" s="232"/>
      <c r="G297" s="231"/>
      <c r="H297" s="242"/>
      <c r="I297" s="171"/>
    </row>
    <row r="298" spans="2:9" ht="89.25" customHeight="1" x14ac:dyDescent="0.25">
      <c r="B298" s="163" t="s">
        <v>297</v>
      </c>
      <c r="C298" s="234"/>
      <c r="D298" s="234"/>
      <c r="E298" s="235"/>
      <c r="F298" s="232" t="s">
        <v>298</v>
      </c>
      <c r="G298" s="231"/>
      <c r="H298" s="242"/>
      <c r="I298" s="171" t="s">
        <v>22</v>
      </c>
    </row>
    <row r="299" spans="2:9" ht="63.75" customHeight="1" x14ac:dyDescent="0.25">
      <c r="B299" s="89" t="s">
        <v>95</v>
      </c>
      <c r="C299" s="234"/>
      <c r="D299" s="234"/>
      <c r="E299" s="235"/>
      <c r="F299" s="232" t="s">
        <v>299</v>
      </c>
      <c r="G299" s="231"/>
      <c r="H299" s="242"/>
      <c r="I299" s="171" t="s">
        <v>22</v>
      </c>
    </row>
    <row r="300" spans="2:9" ht="15.75" customHeight="1" x14ac:dyDescent="0.25">
      <c r="B300" s="120" t="s">
        <v>26</v>
      </c>
      <c r="C300" s="234"/>
      <c r="D300" s="234"/>
      <c r="E300" s="235"/>
      <c r="F300" s="232" t="s">
        <v>300</v>
      </c>
      <c r="G300" s="231"/>
      <c r="H300" s="242"/>
      <c r="I300" s="58" t="s">
        <v>22</v>
      </c>
    </row>
    <row r="301" spans="2:9" ht="15.75" customHeight="1" x14ac:dyDescent="0.25">
      <c r="B301" s="95" t="s">
        <v>301</v>
      </c>
      <c r="C301" s="234"/>
      <c r="D301" s="234"/>
      <c r="E301" s="235"/>
      <c r="F301" s="232" t="s">
        <v>302</v>
      </c>
      <c r="G301" s="231"/>
      <c r="H301" s="242"/>
      <c r="I301" s="96"/>
    </row>
    <row r="302" spans="2:9" ht="25.5" customHeight="1" x14ac:dyDescent="0.25">
      <c r="B302" s="120" t="s">
        <v>28</v>
      </c>
      <c r="C302" s="234"/>
      <c r="D302" s="234"/>
      <c r="E302" s="235"/>
      <c r="F302" s="232" t="s">
        <v>303</v>
      </c>
      <c r="G302" s="231"/>
      <c r="H302" s="242"/>
      <c r="I302" s="58" t="s">
        <v>22</v>
      </c>
    </row>
    <row r="303" spans="2:9" ht="63.75" customHeight="1" x14ac:dyDescent="0.25">
      <c r="B303" s="95" t="s">
        <v>301</v>
      </c>
      <c r="C303" s="234"/>
      <c r="D303" s="234"/>
      <c r="E303" s="235"/>
      <c r="F303" s="232" t="s">
        <v>304</v>
      </c>
      <c r="G303" s="231"/>
      <c r="H303" s="242"/>
      <c r="I303" s="96"/>
    </row>
    <row r="304" spans="2:9" ht="15.75" customHeight="1" x14ac:dyDescent="0.25">
      <c r="B304" s="120" t="s">
        <v>305</v>
      </c>
      <c r="C304" s="234"/>
      <c r="D304" s="234"/>
      <c r="E304" s="235"/>
      <c r="F304" s="232" t="s">
        <v>306</v>
      </c>
      <c r="G304" s="231"/>
      <c r="H304" s="242"/>
      <c r="I304" s="58" t="s">
        <v>22</v>
      </c>
    </row>
    <row r="305" spans="2:9" ht="25.5" customHeight="1" x14ac:dyDescent="0.25">
      <c r="B305" s="95" t="s">
        <v>301</v>
      </c>
      <c r="C305" s="234"/>
      <c r="D305" s="234"/>
      <c r="E305" s="235"/>
      <c r="F305" s="232" t="s">
        <v>307</v>
      </c>
      <c r="G305" s="231"/>
      <c r="H305" s="242"/>
      <c r="I305" s="96"/>
    </row>
    <row r="306" spans="2:9" ht="38.25" customHeight="1" x14ac:dyDescent="0.25">
      <c r="B306" s="75" t="s">
        <v>308</v>
      </c>
      <c r="C306" s="234"/>
      <c r="D306" s="234"/>
      <c r="E306" s="235"/>
      <c r="F306" s="232" t="s">
        <v>309</v>
      </c>
      <c r="G306" s="231"/>
      <c r="H306" s="242"/>
      <c r="I306" s="58" t="s">
        <v>22</v>
      </c>
    </row>
    <row r="307" spans="2:9" ht="38.25" customHeight="1" x14ac:dyDescent="0.25">
      <c r="B307" s="202"/>
      <c r="C307" s="234"/>
      <c r="D307" s="234"/>
      <c r="E307" s="235"/>
      <c r="F307" s="232" t="s">
        <v>310</v>
      </c>
      <c r="G307" s="231"/>
      <c r="H307" s="242"/>
      <c r="I307" s="58" t="s">
        <v>10</v>
      </c>
    </row>
    <row r="308" spans="2:9" ht="63.75" customHeight="1" x14ac:dyDescent="0.25">
      <c r="B308" s="95" t="s">
        <v>311</v>
      </c>
      <c r="C308" s="234"/>
      <c r="D308" s="234"/>
      <c r="E308" s="235"/>
      <c r="F308" s="232" t="s">
        <v>312</v>
      </c>
      <c r="G308" s="231"/>
      <c r="H308" s="242"/>
      <c r="I308" s="96"/>
    </row>
    <row r="309" spans="2:9" ht="63.75" customHeight="1" x14ac:dyDescent="0.25">
      <c r="B309" s="95" t="s">
        <v>301</v>
      </c>
      <c r="C309" s="234"/>
      <c r="D309" s="234"/>
      <c r="E309" s="235"/>
      <c r="F309" s="232" t="s">
        <v>313</v>
      </c>
      <c r="G309" s="231"/>
      <c r="H309" s="242"/>
      <c r="I309" s="96"/>
    </row>
    <row r="310" spans="2:9" ht="15.75" customHeight="1" x14ac:dyDescent="0.25">
      <c r="B310" s="75" t="s">
        <v>127</v>
      </c>
      <c r="C310" s="234"/>
      <c r="D310" s="234"/>
      <c r="E310" s="235"/>
      <c r="F310" s="232" t="s">
        <v>314</v>
      </c>
      <c r="G310" s="231"/>
      <c r="H310" s="242"/>
      <c r="I310" s="97" t="s">
        <v>22</v>
      </c>
    </row>
    <row r="311" spans="2:9" ht="15.75" customHeight="1" x14ac:dyDescent="0.25">
      <c r="B311" s="89" t="s">
        <v>315</v>
      </c>
      <c r="C311" s="234"/>
      <c r="D311" s="234"/>
      <c r="E311" s="235"/>
      <c r="F311" s="232" t="s">
        <v>316</v>
      </c>
      <c r="G311" s="231"/>
      <c r="H311" s="242"/>
      <c r="I311" s="171" t="s">
        <v>22</v>
      </c>
    </row>
    <row r="312" spans="2:9" ht="15.75" customHeight="1" x14ac:dyDescent="0.25">
      <c r="B312" s="120" t="s">
        <v>317</v>
      </c>
      <c r="C312" s="234"/>
      <c r="D312" s="234"/>
      <c r="E312" s="235"/>
      <c r="F312" s="232" t="s">
        <v>316</v>
      </c>
      <c r="G312" s="231"/>
      <c r="H312" s="242"/>
      <c r="I312" s="58" t="s">
        <v>22</v>
      </c>
    </row>
    <row r="313" spans="2:9" ht="25.5" customHeight="1" x14ac:dyDescent="0.25">
      <c r="B313" s="95" t="s">
        <v>301</v>
      </c>
      <c r="C313" s="234"/>
      <c r="D313" s="234"/>
      <c r="E313" s="235"/>
      <c r="F313" s="232" t="s">
        <v>318</v>
      </c>
      <c r="G313" s="231"/>
      <c r="H313" s="242"/>
      <c r="I313" s="96"/>
    </row>
    <row r="314" spans="2:9" ht="51" customHeight="1" x14ac:dyDescent="0.25">
      <c r="B314" s="90" t="s">
        <v>37</v>
      </c>
      <c r="C314" s="234"/>
      <c r="D314" s="234"/>
      <c r="E314" s="235"/>
      <c r="F314" s="232" t="s">
        <v>319</v>
      </c>
      <c r="G314" s="231"/>
      <c r="H314" s="242"/>
      <c r="I314" s="171" t="s">
        <v>22</v>
      </c>
    </row>
    <row r="315" spans="2:9" ht="38.25" customHeight="1" x14ac:dyDescent="0.25">
      <c r="B315" s="89" t="s">
        <v>95</v>
      </c>
      <c r="C315" s="234"/>
      <c r="D315" s="234"/>
      <c r="E315" s="235"/>
      <c r="F315" s="232" t="s">
        <v>320</v>
      </c>
      <c r="G315" s="231"/>
      <c r="H315" s="242"/>
      <c r="I315" s="171" t="s">
        <v>22</v>
      </c>
    </row>
    <row r="316" spans="2:9" ht="15.75" customHeight="1" x14ac:dyDescent="0.25">
      <c r="B316" s="120" t="s">
        <v>26</v>
      </c>
      <c r="C316" s="234"/>
      <c r="D316" s="234"/>
      <c r="E316" s="235"/>
      <c r="F316" s="232" t="s">
        <v>300</v>
      </c>
      <c r="G316" s="231"/>
      <c r="H316" s="242"/>
      <c r="I316" s="58" t="s">
        <v>22</v>
      </c>
    </row>
    <row r="317" spans="2:9" ht="15.75" customHeight="1" x14ac:dyDescent="0.25">
      <c r="B317" s="106" t="s">
        <v>321</v>
      </c>
      <c r="C317" s="234"/>
      <c r="D317" s="234"/>
      <c r="E317" s="235"/>
      <c r="F317" s="232" t="s">
        <v>322</v>
      </c>
      <c r="G317" s="231"/>
      <c r="H317" s="242"/>
      <c r="I317" s="59" t="s">
        <v>22</v>
      </c>
    </row>
    <row r="318" spans="2:9" ht="15.75" customHeight="1" x14ac:dyDescent="0.25">
      <c r="B318" s="106" t="s">
        <v>323</v>
      </c>
      <c r="C318" s="234"/>
      <c r="D318" s="234"/>
      <c r="E318" s="235"/>
      <c r="F318" s="232" t="s">
        <v>324</v>
      </c>
      <c r="G318" s="231"/>
      <c r="H318" s="242"/>
      <c r="I318" s="59" t="s">
        <v>22</v>
      </c>
    </row>
    <row r="319" spans="2:9" ht="15.75" customHeight="1" x14ac:dyDescent="0.25">
      <c r="B319" s="106" t="s">
        <v>325</v>
      </c>
      <c r="C319" s="234"/>
      <c r="D319" s="234"/>
      <c r="E319" s="235"/>
      <c r="F319" s="232" t="s">
        <v>326</v>
      </c>
      <c r="G319" s="231"/>
      <c r="H319" s="242"/>
      <c r="I319" s="59" t="s">
        <v>22</v>
      </c>
    </row>
    <row r="320" spans="2:9" ht="15.75" customHeight="1" x14ac:dyDescent="0.25">
      <c r="B320" s="120" t="s">
        <v>327</v>
      </c>
      <c r="C320" s="234"/>
      <c r="D320" s="234"/>
      <c r="E320" s="235"/>
      <c r="F320" s="232" t="s">
        <v>328</v>
      </c>
      <c r="G320" s="231"/>
      <c r="H320" s="242"/>
      <c r="I320" s="58" t="s">
        <v>22</v>
      </c>
    </row>
    <row r="321" spans="2:9" ht="15.75" customHeight="1" x14ac:dyDescent="0.25">
      <c r="B321" s="106" t="s">
        <v>41</v>
      </c>
      <c r="C321" s="234"/>
      <c r="D321" s="234"/>
      <c r="E321" s="235"/>
      <c r="F321" s="232" t="s">
        <v>328</v>
      </c>
      <c r="G321" s="231"/>
      <c r="H321" s="242"/>
      <c r="I321" s="97" t="s">
        <v>22</v>
      </c>
    </row>
    <row r="322" spans="2:9" ht="15.75" customHeight="1" x14ac:dyDescent="0.25">
      <c r="B322" s="106" t="s">
        <v>329</v>
      </c>
      <c r="C322" s="234"/>
      <c r="D322" s="234"/>
      <c r="E322" s="235"/>
      <c r="F322" s="232" t="s">
        <v>330</v>
      </c>
      <c r="G322" s="231"/>
      <c r="H322" s="242"/>
      <c r="I322" s="59" t="s">
        <v>22</v>
      </c>
    </row>
    <row r="323" spans="2:9" ht="15.75" customHeight="1" x14ac:dyDescent="0.25">
      <c r="B323" s="106" t="s">
        <v>331</v>
      </c>
      <c r="C323" s="234"/>
      <c r="D323" s="234"/>
      <c r="E323" s="235"/>
      <c r="F323" s="232" t="s">
        <v>332</v>
      </c>
      <c r="G323" s="231"/>
      <c r="H323" s="242"/>
      <c r="I323" s="59" t="s">
        <v>22</v>
      </c>
    </row>
    <row r="324" spans="2:9" ht="15.75" customHeight="1" x14ac:dyDescent="0.25">
      <c r="B324" s="106" t="s">
        <v>333</v>
      </c>
      <c r="C324" s="234"/>
      <c r="D324" s="234"/>
      <c r="E324" s="235"/>
      <c r="F324" s="232" t="s">
        <v>334</v>
      </c>
      <c r="G324" s="231"/>
      <c r="H324" s="242"/>
      <c r="I324" s="59" t="s">
        <v>22</v>
      </c>
    </row>
    <row r="325" spans="2:9" ht="25.5" customHeight="1" x14ac:dyDescent="0.25">
      <c r="B325" s="75" t="s">
        <v>335</v>
      </c>
      <c r="C325" s="234"/>
      <c r="D325" s="234"/>
      <c r="E325" s="235"/>
      <c r="F325" s="232" t="s">
        <v>336</v>
      </c>
      <c r="G325" s="231"/>
      <c r="H325" s="242"/>
      <c r="I325" s="58" t="s">
        <v>22</v>
      </c>
    </row>
    <row r="326" spans="2:9" ht="25.5" customHeight="1" x14ac:dyDescent="0.25">
      <c r="B326" s="120"/>
      <c r="C326" s="234"/>
      <c r="D326" s="234"/>
      <c r="E326" s="235"/>
      <c r="F326" s="232" t="s">
        <v>337</v>
      </c>
      <c r="G326" s="231"/>
      <c r="H326" s="242"/>
      <c r="I326" s="58" t="s">
        <v>10</v>
      </c>
    </row>
    <row r="327" spans="2:9" ht="15.75" customHeight="1" x14ac:dyDescent="0.25">
      <c r="B327" s="106" t="s">
        <v>338</v>
      </c>
      <c r="C327" s="234"/>
      <c r="D327" s="234"/>
      <c r="E327" s="235"/>
      <c r="F327" s="232" t="s">
        <v>339</v>
      </c>
      <c r="G327" s="231"/>
      <c r="H327" s="242"/>
      <c r="I327" s="59" t="s">
        <v>22</v>
      </c>
    </row>
    <row r="328" spans="2:9" ht="15.75" customHeight="1" x14ac:dyDescent="0.25">
      <c r="B328" s="98"/>
      <c r="C328" s="234"/>
      <c r="D328" s="234"/>
      <c r="E328" s="235"/>
      <c r="F328" s="232" t="s">
        <v>340</v>
      </c>
      <c r="G328" s="231"/>
      <c r="H328" s="242"/>
      <c r="I328" s="59" t="s">
        <v>10</v>
      </c>
    </row>
    <row r="329" spans="2:9" ht="15.75" customHeight="1" x14ac:dyDescent="0.25">
      <c r="B329" s="106" t="s">
        <v>341</v>
      </c>
      <c r="C329" s="234"/>
      <c r="D329" s="234"/>
      <c r="E329" s="235"/>
      <c r="F329" s="232" t="s">
        <v>342</v>
      </c>
      <c r="G329" s="231"/>
      <c r="H329" s="242"/>
      <c r="I329" s="59" t="s">
        <v>22</v>
      </c>
    </row>
    <row r="330" spans="2:9" ht="15.75" customHeight="1" x14ac:dyDescent="0.25">
      <c r="B330" s="98"/>
      <c r="C330" s="234"/>
      <c r="D330" s="234"/>
      <c r="E330" s="235"/>
      <c r="F330" s="232" t="s">
        <v>343</v>
      </c>
      <c r="G330" s="231"/>
      <c r="H330" s="242"/>
      <c r="I330" s="59" t="s">
        <v>10</v>
      </c>
    </row>
    <row r="331" spans="2:9" ht="15.75" customHeight="1" x14ac:dyDescent="0.25">
      <c r="B331" s="95" t="s">
        <v>311</v>
      </c>
      <c r="C331" s="234"/>
      <c r="D331" s="234"/>
      <c r="E331" s="235"/>
      <c r="F331" s="232" t="s">
        <v>344</v>
      </c>
      <c r="G331" s="231"/>
      <c r="H331" s="242"/>
      <c r="I331" s="97"/>
    </row>
    <row r="332" spans="2:9" ht="15.75" customHeight="1" x14ac:dyDescent="0.25">
      <c r="B332" s="106" t="s">
        <v>345</v>
      </c>
      <c r="C332" s="234"/>
      <c r="D332" s="234"/>
      <c r="E332" s="235"/>
      <c r="F332" s="232" t="s">
        <v>346</v>
      </c>
      <c r="G332" s="231"/>
      <c r="H332" s="242"/>
      <c r="I332" s="59" t="s">
        <v>22</v>
      </c>
    </row>
    <row r="333" spans="2:9" ht="15.75" customHeight="1" x14ac:dyDescent="0.25">
      <c r="B333" s="98"/>
      <c r="C333" s="234"/>
      <c r="D333" s="234"/>
      <c r="E333" s="235"/>
      <c r="F333" s="232" t="s">
        <v>347</v>
      </c>
      <c r="G333" s="231"/>
      <c r="H333" s="242"/>
      <c r="I333" s="59" t="s">
        <v>10</v>
      </c>
    </row>
    <row r="334" spans="2:9" ht="15.75" customHeight="1" x14ac:dyDescent="0.25">
      <c r="B334" s="106" t="s">
        <v>348</v>
      </c>
      <c r="C334" s="234"/>
      <c r="D334" s="234"/>
      <c r="E334" s="235"/>
      <c r="F334" s="232" t="s">
        <v>349</v>
      </c>
      <c r="G334" s="231"/>
      <c r="H334" s="242"/>
      <c r="I334" s="59" t="s">
        <v>22</v>
      </c>
    </row>
    <row r="335" spans="2:9" ht="15.75" customHeight="1" x14ac:dyDescent="0.25">
      <c r="B335" s="99"/>
      <c r="C335" s="234"/>
      <c r="D335" s="234"/>
      <c r="E335" s="235"/>
      <c r="F335" s="232" t="s">
        <v>350</v>
      </c>
      <c r="G335" s="231"/>
      <c r="H335" s="242"/>
      <c r="I335" s="59" t="s">
        <v>10</v>
      </c>
    </row>
    <row r="336" spans="2:9" ht="15.75" customHeight="1" x14ac:dyDescent="0.25">
      <c r="B336" s="106" t="s">
        <v>351</v>
      </c>
      <c r="C336" s="234"/>
      <c r="D336" s="234"/>
      <c r="E336" s="235"/>
      <c r="F336" s="232" t="s">
        <v>352</v>
      </c>
      <c r="G336" s="231"/>
      <c r="H336" s="242"/>
      <c r="I336" s="59" t="s">
        <v>22</v>
      </c>
    </row>
    <row r="337" spans="2:9" ht="15.75" customHeight="1" x14ac:dyDescent="0.25">
      <c r="B337" s="99"/>
      <c r="C337" s="234"/>
      <c r="D337" s="234"/>
      <c r="E337" s="235"/>
      <c r="F337" s="232" t="s">
        <v>353</v>
      </c>
      <c r="G337" s="231"/>
      <c r="H337" s="242"/>
      <c r="I337" s="59" t="s">
        <v>10</v>
      </c>
    </row>
    <row r="338" spans="2:9" ht="15.75" customHeight="1" x14ac:dyDescent="0.25">
      <c r="B338" s="89" t="s">
        <v>315</v>
      </c>
      <c r="C338" s="234"/>
      <c r="D338" s="234"/>
      <c r="E338" s="235"/>
      <c r="F338" s="232" t="s">
        <v>354</v>
      </c>
      <c r="G338" s="231"/>
      <c r="H338" s="242"/>
      <c r="I338" s="171" t="s">
        <v>22</v>
      </c>
    </row>
    <row r="339" spans="2:9" ht="15.75" customHeight="1" x14ac:dyDescent="0.25">
      <c r="B339" s="120" t="s">
        <v>317</v>
      </c>
      <c r="C339" s="234"/>
      <c r="D339" s="234"/>
      <c r="E339" s="235"/>
      <c r="F339" s="232" t="s">
        <v>354</v>
      </c>
      <c r="G339" s="231"/>
      <c r="H339" s="242"/>
      <c r="I339" s="58" t="s">
        <v>22</v>
      </c>
    </row>
    <row r="340" spans="2:9" ht="38.25" customHeight="1" x14ac:dyDescent="0.25">
      <c r="B340" s="90" t="s">
        <v>46</v>
      </c>
      <c r="C340" s="234"/>
      <c r="D340" s="234"/>
      <c r="E340" s="235"/>
      <c r="F340" s="232" t="s">
        <v>355</v>
      </c>
      <c r="G340" s="231"/>
      <c r="H340" s="242"/>
      <c r="I340" s="171" t="s">
        <v>22</v>
      </c>
    </row>
    <row r="341" spans="2:9" ht="15.75" customHeight="1" x14ac:dyDescent="0.25">
      <c r="B341" s="89" t="s">
        <v>48</v>
      </c>
      <c r="C341" s="234"/>
      <c r="D341" s="234"/>
      <c r="E341" s="235"/>
      <c r="F341" s="232">
        <v>0</v>
      </c>
      <c r="G341" s="231"/>
      <c r="H341" s="242"/>
      <c r="I341" s="171" t="s">
        <v>22</v>
      </c>
    </row>
    <row r="342" spans="2:9" ht="15.75" customHeight="1" x14ac:dyDescent="0.25">
      <c r="B342" s="120" t="s">
        <v>26</v>
      </c>
      <c r="C342" s="234"/>
      <c r="D342" s="234"/>
      <c r="E342" s="235">
        <v>63</v>
      </c>
      <c r="F342" s="232"/>
      <c r="G342" s="231"/>
      <c r="H342" s="242"/>
      <c r="I342" s="58" t="s">
        <v>22</v>
      </c>
    </row>
    <row r="343" spans="2:9" ht="15.75" customHeight="1" x14ac:dyDescent="0.25">
      <c r="B343" s="106" t="s">
        <v>321</v>
      </c>
      <c r="C343" s="234"/>
      <c r="D343" s="234"/>
      <c r="E343" s="235">
        <v>64</v>
      </c>
      <c r="F343" s="232"/>
      <c r="G343" s="231"/>
      <c r="H343" s="242"/>
      <c r="I343" s="59" t="s">
        <v>22</v>
      </c>
    </row>
    <row r="344" spans="2:9" ht="15.75" customHeight="1" x14ac:dyDescent="0.25">
      <c r="B344" s="106" t="s">
        <v>323</v>
      </c>
      <c r="C344" s="234"/>
      <c r="D344" s="234"/>
      <c r="E344" s="235">
        <v>65</v>
      </c>
      <c r="F344" s="232"/>
      <c r="G344" s="231"/>
      <c r="H344" s="242"/>
      <c r="I344" s="59" t="s">
        <v>22</v>
      </c>
    </row>
    <row r="345" spans="2:9" ht="15.75" customHeight="1" x14ac:dyDescent="0.25">
      <c r="B345" s="106" t="s">
        <v>325</v>
      </c>
      <c r="C345" s="234"/>
      <c r="D345" s="234"/>
      <c r="E345" s="235">
        <v>66</v>
      </c>
      <c r="F345" s="232"/>
      <c r="G345" s="231"/>
      <c r="H345" s="242"/>
      <c r="I345" s="59" t="s">
        <v>22</v>
      </c>
    </row>
    <row r="346" spans="2:9" ht="15.75" customHeight="1" x14ac:dyDescent="0.25">
      <c r="B346" s="95" t="s">
        <v>301</v>
      </c>
      <c r="C346" s="234"/>
      <c r="D346" s="234"/>
      <c r="E346" s="235"/>
      <c r="F346" s="232" t="s">
        <v>356</v>
      </c>
      <c r="G346" s="231"/>
      <c r="H346" s="242"/>
      <c r="I346" s="171"/>
    </row>
    <row r="347" spans="2:9" ht="25.5" customHeight="1" x14ac:dyDescent="0.25">
      <c r="B347" s="89" t="s">
        <v>24</v>
      </c>
      <c r="C347" s="234"/>
      <c r="D347" s="234"/>
      <c r="E347" s="235"/>
      <c r="F347" s="232" t="s">
        <v>357</v>
      </c>
      <c r="G347" s="231"/>
      <c r="H347" s="242"/>
      <c r="I347" s="171" t="s">
        <v>22</v>
      </c>
    </row>
    <row r="348" spans="2:9" ht="25.5" customHeight="1" x14ac:dyDescent="0.25">
      <c r="B348" s="120" t="s">
        <v>180</v>
      </c>
      <c r="C348" s="234"/>
      <c r="D348" s="234"/>
      <c r="E348" s="235"/>
      <c r="F348" s="232" t="s">
        <v>358</v>
      </c>
      <c r="G348" s="231"/>
      <c r="H348" s="242"/>
      <c r="I348" s="58" t="s">
        <v>22</v>
      </c>
    </row>
    <row r="349" spans="2:9" ht="15.75" customHeight="1" x14ac:dyDescent="0.25">
      <c r="B349" s="102" t="s">
        <v>359</v>
      </c>
      <c r="C349" s="234"/>
      <c r="D349" s="234"/>
      <c r="E349" s="235"/>
      <c r="F349" s="232" t="s">
        <v>360</v>
      </c>
      <c r="G349" s="231"/>
      <c r="H349" s="242"/>
      <c r="I349" s="59" t="s">
        <v>22</v>
      </c>
    </row>
    <row r="350" spans="2:9" ht="51" customHeight="1" x14ac:dyDescent="0.25">
      <c r="B350" s="95" t="s">
        <v>301</v>
      </c>
      <c r="C350" s="234"/>
      <c r="D350" s="234"/>
      <c r="E350" s="235"/>
      <c r="F350" s="232" t="s">
        <v>361</v>
      </c>
      <c r="G350" s="231"/>
      <c r="H350" s="242"/>
      <c r="I350" s="100"/>
    </row>
    <row r="351" spans="2:9" ht="15.75" customHeight="1" x14ac:dyDescent="0.25">
      <c r="B351" s="102" t="s">
        <v>362</v>
      </c>
      <c r="C351" s="234"/>
      <c r="D351" s="234"/>
      <c r="E351" s="235"/>
      <c r="F351" s="232" t="s">
        <v>363</v>
      </c>
      <c r="G351" s="231"/>
      <c r="H351" s="242"/>
      <c r="I351" s="59" t="s">
        <v>22</v>
      </c>
    </row>
    <row r="352" spans="2:9" ht="51" customHeight="1" x14ac:dyDescent="0.25">
      <c r="B352" s="95" t="s">
        <v>301</v>
      </c>
      <c r="C352" s="234"/>
      <c r="D352" s="234"/>
      <c r="E352" s="235"/>
      <c r="F352" s="232" t="s">
        <v>364</v>
      </c>
      <c r="G352" s="231"/>
      <c r="H352" s="242"/>
      <c r="I352" s="100"/>
    </row>
    <row r="353" spans="2:9" ht="15.75" customHeight="1" x14ac:dyDescent="0.25">
      <c r="B353" s="106" t="s">
        <v>50</v>
      </c>
      <c r="C353" s="234"/>
      <c r="D353" s="234"/>
      <c r="E353" s="235"/>
      <c r="F353" s="232" t="s">
        <v>365</v>
      </c>
      <c r="G353" s="231"/>
      <c r="H353" s="242"/>
      <c r="I353" s="59" t="s">
        <v>22</v>
      </c>
    </row>
    <row r="354" spans="2:9" ht="15.75" customHeight="1" x14ac:dyDescent="0.25">
      <c r="B354" s="106" t="s">
        <v>52</v>
      </c>
      <c r="C354" s="234"/>
      <c r="D354" s="234"/>
      <c r="E354" s="235"/>
      <c r="F354" s="232" t="s">
        <v>366</v>
      </c>
      <c r="G354" s="231"/>
      <c r="H354" s="242"/>
      <c r="I354" s="59" t="s">
        <v>22</v>
      </c>
    </row>
    <row r="355" spans="2:9" ht="15.75" customHeight="1" x14ac:dyDescent="0.25">
      <c r="B355" s="76" t="s">
        <v>85</v>
      </c>
      <c r="C355" s="234"/>
      <c r="D355" s="234"/>
      <c r="E355" s="235"/>
      <c r="F355" s="232" t="s">
        <v>367</v>
      </c>
      <c r="G355" s="231"/>
      <c r="H355" s="242"/>
      <c r="I355" s="59" t="s">
        <v>22</v>
      </c>
    </row>
    <row r="356" spans="2:9" ht="15.75" customHeight="1" x14ac:dyDescent="0.25">
      <c r="B356" s="101" t="s">
        <v>368</v>
      </c>
      <c r="C356" s="234"/>
      <c r="D356" s="234"/>
      <c r="E356" s="235"/>
      <c r="F356" s="232">
        <v>0</v>
      </c>
      <c r="G356" s="231"/>
      <c r="H356" s="242"/>
      <c r="I356" s="58" t="s">
        <v>22</v>
      </c>
    </row>
    <row r="357" spans="2:9" ht="15.75" customHeight="1" x14ac:dyDescent="0.25">
      <c r="B357" s="101"/>
      <c r="C357" s="234"/>
      <c r="D357" s="234"/>
      <c r="E357" s="235"/>
      <c r="F357" s="232">
        <v>0</v>
      </c>
      <c r="G357" s="231"/>
      <c r="H357" s="242"/>
      <c r="I357" s="59" t="s">
        <v>22</v>
      </c>
    </row>
    <row r="358" spans="2:9" ht="15.75" customHeight="1" x14ac:dyDescent="0.25">
      <c r="B358" s="102" t="s">
        <v>369</v>
      </c>
      <c r="C358" s="234"/>
      <c r="D358" s="234"/>
      <c r="E358" s="235">
        <v>67</v>
      </c>
      <c r="F358" s="232"/>
      <c r="G358" s="231"/>
      <c r="H358" s="242"/>
      <c r="I358" s="59" t="s">
        <v>22</v>
      </c>
    </row>
    <row r="359" spans="2:9" ht="15.75" customHeight="1" x14ac:dyDescent="0.25">
      <c r="B359" s="106"/>
      <c r="C359" s="234"/>
      <c r="D359" s="234"/>
      <c r="E359" s="235">
        <v>68</v>
      </c>
      <c r="F359" s="232"/>
      <c r="G359" s="231"/>
      <c r="H359" s="242"/>
      <c r="I359" s="59" t="s">
        <v>22</v>
      </c>
    </row>
    <row r="360" spans="2:9" ht="15.75" customHeight="1" x14ac:dyDescent="0.25">
      <c r="B360" s="89" t="s">
        <v>370</v>
      </c>
      <c r="C360" s="234"/>
      <c r="D360" s="234"/>
      <c r="E360" s="235"/>
      <c r="F360" s="232" t="s">
        <v>371</v>
      </c>
      <c r="G360" s="231"/>
      <c r="H360" s="242"/>
      <c r="I360" s="171" t="s">
        <v>22</v>
      </c>
    </row>
    <row r="361" spans="2:9" ht="15.75" customHeight="1" x14ac:dyDescent="0.25">
      <c r="B361" s="106" t="s">
        <v>372</v>
      </c>
      <c r="C361" s="234"/>
      <c r="D361" s="234"/>
      <c r="E361" s="235"/>
      <c r="F361" s="232" t="s">
        <v>371</v>
      </c>
      <c r="G361" s="231"/>
      <c r="H361" s="242"/>
      <c r="I361" s="59" t="s">
        <v>22</v>
      </c>
    </row>
    <row r="362" spans="2:9" ht="15.75" customHeight="1" x14ac:dyDescent="0.25">
      <c r="B362" s="81" t="s">
        <v>127</v>
      </c>
      <c r="C362" s="234"/>
      <c r="D362" s="234"/>
      <c r="E362" s="235"/>
      <c r="F362" s="232" t="s">
        <v>314</v>
      </c>
      <c r="G362" s="231"/>
      <c r="H362" s="242"/>
      <c r="I362" s="171" t="s">
        <v>22</v>
      </c>
    </row>
    <row r="363" spans="2:9" ht="15.75" customHeight="1" x14ac:dyDescent="0.25">
      <c r="B363" s="109" t="s">
        <v>373</v>
      </c>
      <c r="C363" s="234"/>
      <c r="D363" s="234"/>
      <c r="E363" s="235"/>
      <c r="F363" s="232" t="s">
        <v>314</v>
      </c>
      <c r="G363" s="231"/>
      <c r="H363" s="242"/>
      <c r="I363" s="59" t="s">
        <v>22</v>
      </c>
    </row>
    <row r="364" spans="2:9" ht="15.75" customHeight="1" x14ac:dyDescent="0.25">
      <c r="B364" s="89" t="s">
        <v>64</v>
      </c>
      <c r="C364" s="234"/>
      <c r="D364" s="234"/>
      <c r="E364" s="235"/>
      <c r="F364" s="232" t="s">
        <v>374</v>
      </c>
      <c r="G364" s="231"/>
      <c r="H364" s="242"/>
      <c r="I364" s="171" t="s">
        <v>22</v>
      </c>
    </row>
    <row r="365" spans="2:9" ht="15.75" customHeight="1" x14ac:dyDescent="0.25">
      <c r="B365" s="120" t="s">
        <v>30</v>
      </c>
      <c r="C365" s="234"/>
      <c r="D365" s="234"/>
      <c r="E365" s="235"/>
      <c r="F365" s="232" t="s">
        <v>374</v>
      </c>
      <c r="G365" s="231"/>
      <c r="H365" s="242"/>
      <c r="I365" s="58" t="s">
        <v>22</v>
      </c>
    </row>
    <row r="366" spans="2:9" ht="15.75" customHeight="1" x14ac:dyDescent="0.25">
      <c r="B366" s="106" t="s">
        <v>375</v>
      </c>
      <c r="C366" s="234"/>
      <c r="D366" s="234"/>
      <c r="E366" s="235"/>
      <c r="F366" s="232" t="s">
        <v>374</v>
      </c>
      <c r="G366" s="231"/>
      <c r="H366" s="242"/>
      <c r="I366" s="59" t="s">
        <v>22</v>
      </c>
    </row>
    <row r="367" spans="2:9" ht="15.75" customHeight="1" x14ac:dyDescent="0.25">
      <c r="B367" s="89" t="s">
        <v>315</v>
      </c>
      <c r="C367" s="234"/>
      <c r="D367" s="234"/>
      <c r="E367" s="235"/>
      <c r="F367" s="232" t="s">
        <v>376</v>
      </c>
      <c r="G367" s="231"/>
      <c r="H367" s="242"/>
      <c r="I367" s="171" t="s">
        <v>22</v>
      </c>
    </row>
    <row r="368" spans="2:9" ht="15.75" customHeight="1" x14ac:dyDescent="0.25">
      <c r="B368" s="120" t="s">
        <v>317</v>
      </c>
      <c r="C368" s="234"/>
      <c r="D368" s="234"/>
      <c r="E368" s="235"/>
      <c r="F368" s="232" t="s">
        <v>376</v>
      </c>
      <c r="G368" s="231"/>
      <c r="H368" s="242"/>
      <c r="I368" s="58" t="s">
        <v>22</v>
      </c>
    </row>
    <row r="369" spans="2:9" ht="15.75" customHeight="1" x14ac:dyDescent="0.25">
      <c r="B369" s="120"/>
      <c r="C369" s="234"/>
      <c r="D369" s="234"/>
      <c r="E369" s="235">
        <v>69</v>
      </c>
      <c r="F369" s="232"/>
      <c r="G369" s="231"/>
      <c r="H369" s="242"/>
      <c r="I369" s="171"/>
    </row>
    <row r="370" spans="2:9" ht="15.75" customHeight="1" x14ac:dyDescent="0.25">
      <c r="B370" s="79" t="s">
        <v>377</v>
      </c>
      <c r="C370" s="234"/>
      <c r="D370" s="234"/>
      <c r="E370" s="235">
        <v>70</v>
      </c>
      <c r="F370" s="232"/>
      <c r="G370" s="231"/>
      <c r="H370" s="242"/>
      <c r="I370" s="80"/>
    </row>
    <row r="371" spans="2:9" ht="15.75" customHeight="1" x14ac:dyDescent="0.25">
      <c r="B371" s="81" t="s">
        <v>32</v>
      </c>
      <c r="C371" s="234"/>
      <c r="D371" s="234"/>
      <c r="E371" s="235"/>
      <c r="F371" s="232" t="s">
        <v>378</v>
      </c>
      <c r="G371" s="231"/>
      <c r="H371" s="242"/>
      <c r="I371" s="80" t="s">
        <v>22</v>
      </c>
    </row>
    <row r="372" spans="2:9" ht="15.75" customHeight="1" x14ac:dyDescent="0.25">
      <c r="B372" s="75" t="s">
        <v>34</v>
      </c>
      <c r="C372" s="234"/>
      <c r="D372" s="234"/>
      <c r="E372" s="235"/>
      <c r="F372" s="232" t="s">
        <v>378</v>
      </c>
      <c r="G372" s="231"/>
      <c r="H372" s="242"/>
      <c r="I372" s="58" t="s">
        <v>22</v>
      </c>
    </row>
    <row r="373" spans="2:9" ht="15.75" customHeight="1" x14ac:dyDescent="0.25">
      <c r="B373" s="82" t="s">
        <v>73</v>
      </c>
      <c r="C373" s="234"/>
      <c r="D373" s="234"/>
      <c r="E373" s="235">
        <v>71</v>
      </c>
      <c r="F373" s="232"/>
      <c r="G373" s="231"/>
      <c r="H373" s="242"/>
      <c r="I373" s="80"/>
    </row>
    <row r="374" spans="2:9" ht="15.75" customHeight="1" x14ac:dyDescent="0.25">
      <c r="B374" s="81" t="s">
        <v>32</v>
      </c>
      <c r="C374" s="234"/>
      <c r="D374" s="234"/>
      <c r="E374" s="235"/>
      <c r="F374" s="232" t="s">
        <v>379</v>
      </c>
      <c r="G374" s="231"/>
      <c r="H374" s="242"/>
      <c r="I374" s="80" t="s">
        <v>22</v>
      </c>
    </row>
    <row r="375" spans="2:9" ht="15.75" customHeight="1" x14ac:dyDescent="0.25">
      <c r="B375" s="75" t="s">
        <v>34</v>
      </c>
      <c r="C375" s="234"/>
      <c r="D375" s="234"/>
      <c r="E375" s="235"/>
      <c r="F375" s="232" t="s">
        <v>379</v>
      </c>
      <c r="G375" s="231"/>
      <c r="H375" s="242"/>
      <c r="I375" s="58" t="s">
        <v>22</v>
      </c>
    </row>
    <row r="376" spans="2:9" ht="15.75" customHeight="1" x14ac:dyDescent="0.25">
      <c r="B376" s="82" t="s">
        <v>75</v>
      </c>
      <c r="C376" s="234"/>
      <c r="D376" s="234"/>
      <c r="E376" s="235">
        <v>72</v>
      </c>
      <c r="F376" s="232"/>
      <c r="G376" s="231"/>
      <c r="H376" s="242"/>
      <c r="I376" s="80"/>
    </row>
    <row r="377" spans="2:9" ht="15.75" customHeight="1" x14ac:dyDescent="0.25">
      <c r="B377" s="81" t="s">
        <v>32</v>
      </c>
      <c r="C377" s="234"/>
      <c r="D377" s="234"/>
      <c r="E377" s="235"/>
      <c r="F377" s="232" t="s">
        <v>380</v>
      </c>
      <c r="G377" s="231"/>
      <c r="H377" s="242"/>
      <c r="I377" s="80" t="s">
        <v>22</v>
      </c>
    </row>
    <row r="378" spans="2:9" ht="15.75" customHeight="1" x14ac:dyDescent="0.25">
      <c r="B378" s="75" t="s">
        <v>34</v>
      </c>
      <c r="C378" s="234"/>
      <c r="D378" s="234"/>
      <c r="E378" s="235"/>
      <c r="F378" s="232" t="s">
        <v>380</v>
      </c>
      <c r="G378" s="231"/>
      <c r="H378" s="242"/>
      <c r="I378" s="58" t="s">
        <v>22</v>
      </c>
    </row>
    <row r="379" spans="2:9" ht="15.75" customHeight="1" x14ac:dyDescent="0.25">
      <c r="B379" s="75"/>
      <c r="C379" s="234"/>
      <c r="D379" s="234"/>
      <c r="E379" s="235">
        <v>73</v>
      </c>
      <c r="F379" s="232"/>
      <c r="G379" s="231"/>
      <c r="H379" s="242"/>
      <c r="I379" s="80"/>
    </row>
    <row r="380" spans="2:9" ht="15.75" customHeight="1" x14ac:dyDescent="0.25">
      <c r="B380" s="123" t="s">
        <v>381</v>
      </c>
      <c r="C380" s="234"/>
      <c r="D380" s="234"/>
      <c r="E380" s="235">
        <v>74</v>
      </c>
      <c r="F380" s="232"/>
      <c r="G380" s="231"/>
      <c r="H380" s="242"/>
      <c r="I380" s="92" t="s">
        <v>10</v>
      </c>
    </row>
    <row r="381" spans="2:9" ht="15.75" customHeight="1" x14ac:dyDescent="0.25">
      <c r="B381" s="94" t="s">
        <v>35</v>
      </c>
      <c r="C381" s="234"/>
      <c r="D381" s="234"/>
      <c r="E381" s="235">
        <v>75</v>
      </c>
      <c r="F381" s="232"/>
      <c r="G381" s="231"/>
      <c r="H381" s="242"/>
      <c r="I381" s="92" t="s">
        <v>10</v>
      </c>
    </row>
    <row r="382" spans="2:9" ht="15.75" customHeight="1" x14ac:dyDescent="0.25">
      <c r="B382" s="103" t="s">
        <v>36</v>
      </c>
      <c r="C382" s="234"/>
      <c r="D382" s="234"/>
      <c r="E382" s="235">
        <v>76</v>
      </c>
      <c r="F382" s="232"/>
      <c r="G382" s="231"/>
      <c r="H382" s="242"/>
      <c r="I382" s="61" t="s">
        <v>22</v>
      </c>
    </row>
    <row r="383" spans="2:9" ht="15.75" customHeight="1" x14ac:dyDescent="0.25">
      <c r="B383" s="103"/>
      <c r="C383" s="234"/>
      <c r="D383" s="234"/>
      <c r="E383" s="235">
        <v>77</v>
      </c>
      <c r="F383" s="232"/>
      <c r="G383" s="231"/>
      <c r="H383" s="242"/>
      <c r="I383" s="61" t="s">
        <v>10</v>
      </c>
    </row>
    <row r="384" spans="2:9" ht="15.75" customHeight="1" x14ac:dyDescent="0.25">
      <c r="B384" s="104" t="s">
        <v>80</v>
      </c>
      <c r="C384" s="234"/>
      <c r="D384" s="234"/>
      <c r="E384" s="235">
        <v>78</v>
      </c>
      <c r="F384" s="232"/>
      <c r="G384" s="231"/>
      <c r="H384" s="242"/>
      <c r="I384" s="92" t="s">
        <v>10</v>
      </c>
    </row>
    <row r="385" spans="2:9" ht="15.75" customHeight="1" x14ac:dyDescent="0.25">
      <c r="B385" s="94" t="s">
        <v>35</v>
      </c>
      <c r="C385" s="234"/>
      <c r="D385" s="234"/>
      <c r="E385" s="235">
        <v>79</v>
      </c>
      <c r="F385" s="232"/>
      <c r="G385" s="231"/>
      <c r="H385" s="242"/>
      <c r="I385" s="92" t="s">
        <v>10</v>
      </c>
    </row>
    <row r="386" spans="2:9" ht="15.75" customHeight="1" x14ac:dyDescent="0.25">
      <c r="B386" s="103" t="s">
        <v>36</v>
      </c>
      <c r="C386" s="234"/>
      <c r="D386" s="234"/>
      <c r="E386" s="235">
        <v>80</v>
      </c>
      <c r="F386" s="232"/>
      <c r="G386" s="231"/>
      <c r="H386" s="242"/>
      <c r="I386" s="61" t="s">
        <v>22</v>
      </c>
    </row>
    <row r="387" spans="2:9" ht="15.75" customHeight="1" x14ac:dyDescent="0.25">
      <c r="B387" s="103"/>
      <c r="C387" s="234"/>
      <c r="D387" s="234"/>
      <c r="E387" s="235">
        <v>81</v>
      </c>
      <c r="F387" s="232"/>
      <c r="G387" s="231"/>
      <c r="H387" s="242"/>
      <c r="I387" s="61" t="s">
        <v>10</v>
      </c>
    </row>
    <row r="388" spans="2:9" ht="15.75" customHeight="1" x14ac:dyDescent="0.25">
      <c r="B388" s="104" t="s">
        <v>81</v>
      </c>
      <c r="C388" s="234"/>
      <c r="D388" s="234"/>
      <c r="E388" s="235">
        <v>82</v>
      </c>
      <c r="F388" s="232"/>
      <c r="G388" s="231"/>
      <c r="H388" s="242"/>
      <c r="I388" s="92" t="s">
        <v>10</v>
      </c>
    </row>
    <row r="389" spans="2:9" ht="15.75" customHeight="1" x14ac:dyDescent="0.25">
      <c r="B389" s="123"/>
      <c r="C389" s="234"/>
      <c r="D389" s="234"/>
      <c r="E389" s="235">
        <v>83</v>
      </c>
      <c r="F389" s="232"/>
      <c r="G389" s="231"/>
      <c r="H389" s="242"/>
      <c r="I389" s="92"/>
    </row>
    <row r="390" spans="2:9" ht="15.75" customHeight="1" x14ac:dyDescent="0.25">
      <c r="B390" s="88" t="s">
        <v>382</v>
      </c>
      <c r="C390" s="234"/>
      <c r="D390" s="234"/>
      <c r="E390" s="235">
        <v>84</v>
      </c>
      <c r="F390" s="232"/>
      <c r="G390" s="231"/>
      <c r="H390" s="242"/>
      <c r="I390" s="171"/>
    </row>
    <row r="391" spans="2:9" ht="63.75" customHeight="1" x14ac:dyDescent="0.25">
      <c r="B391" s="89" t="s">
        <v>24</v>
      </c>
      <c r="C391" s="234"/>
      <c r="D391" s="234"/>
      <c r="E391" s="235"/>
      <c r="F391" s="232" t="s">
        <v>383</v>
      </c>
      <c r="G391" s="231"/>
      <c r="H391" s="242"/>
      <c r="I391" s="171" t="s">
        <v>10</v>
      </c>
    </row>
    <row r="392" spans="2:9" ht="25.5" customHeight="1" x14ac:dyDescent="0.25">
      <c r="B392" s="120" t="s">
        <v>28</v>
      </c>
      <c r="C392" s="234"/>
      <c r="D392" s="234"/>
      <c r="E392" s="235"/>
      <c r="F392" s="232" t="s">
        <v>384</v>
      </c>
      <c r="G392" s="231"/>
      <c r="H392" s="242"/>
      <c r="I392" s="58" t="s">
        <v>10</v>
      </c>
    </row>
    <row r="393" spans="2:9" ht="63.75" customHeight="1" x14ac:dyDescent="0.25">
      <c r="B393" s="95" t="s">
        <v>301</v>
      </c>
      <c r="C393" s="234"/>
      <c r="D393" s="234"/>
      <c r="E393" s="235"/>
      <c r="F393" s="232" t="s">
        <v>385</v>
      </c>
      <c r="G393" s="231"/>
      <c r="H393" s="242"/>
      <c r="I393" s="100"/>
    </row>
    <row r="394" spans="2:9" ht="38.25" customHeight="1" x14ac:dyDescent="0.25">
      <c r="B394" s="120" t="s">
        <v>26</v>
      </c>
      <c r="C394" s="234"/>
      <c r="D394" s="234"/>
      <c r="E394" s="235"/>
      <c r="F394" s="232" t="s">
        <v>386</v>
      </c>
      <c r="G394" s="231"/>
      <c r="H394" s="242"/>
      <c r="I394" s="58" t="s">
        <v>10</v>
      </c>
    </row>
    <row r="395" spans="2:9" ht="38.25" customHeight="1" x14ac:dyDescent="0.25">
      <c r="B395" s="95" t="s">
        <v>301</v>
      </c>
      <c r="C395" s="234"/>
      <c r="D395" s="234"/>
      <c r="E395" s="235"/>
      <c r="F395" s="232" t="s">
        <v>387</v>
      </c>
      <c r="G395" s="231"/>
      <c r="H395" s="242"/>
      <c r="I395" s="100"/>
    </row>
    <row r="396" spans="2:9" ht="15.75" customHeight="1" x14ac:dyDescent="0.25">
      <c r="B396" s="90" t="s">
        <v>388</v>
      </c>
      <c r="C396" s="234"/>
      <c r="D396" s="234"/>
      <c r="E396" s="235">
        <v>85</v>
      </c>
      <c r="F396" s="232"/>
      <c r="G396" s="231"/>
      <c r="H396" s="242"/>
      <c r="I396" s="171"/>
    </row>
    <row r="397" spans="2:9" ht="38.25" customHeight="1" x14ac:dyDescent="0.25">
      <c r="B397" s="89" t="s">
        <v>24</v>
      </c>
      <c r="C397" s="234"/>
      <c r="D397" s="234"/>
      <c r="E397" s="235"/>
      <c r="F397" s="232" t="s">
        <v>389</v>
      </c>
      <c r="G397" s="231"/>
      <c r="H397" s="242"/>
      <c r="I397" s="171" t="s">
        <v>10</v>
      </c>
    </row>
    <row r="398" spans="2:9" ht="15.75" customHeight="1" x14ac:dyDescent="0.25">
      <c r="B398" s="120" t="s">
        <v>28</v>
      </c>
      <c r="C398" s="234"/>
      <c r="D398" s="234"/>
      <c r="E398" s="235"/>
      <c r="F398" s="232" t="s">
        <v>390</v>
      </c>
      <c r="G398" s="231"/>
      <c r="H398" s="242"/>
      <c r="I398" s="58" t="s">
        <v>10</v>
      </c>
    </row>
    <row r="399" spans="2:9" ht="15.75" customHeight="1" x14ac:dyDescent="0.25">
      <c r="B399" s="106" t="s">
        <v>82</v>
      </c>
      <c r="C399" s="234"/>
      <c r="D399" s="234"/>
      <c r="E399" s="235"/>
      <c r="F399" s="232" t="s">
        <v>391</v>
      </c>
      <c r="G399" s="231"/>
      <c r="H399" s="242"/>
      <c r="I399" s="59" t="s">
        <v>10</v>
      </c>
    </row>
    <row r="400" spans="2:9" ht="15.75" customHeight="1" x14ac:dyDescent="0.25">
      <c r="B400" s="106" t="s">
        <v>52</v>
      </c>
      <c r="C400" s="234"/>
      <c r="D400" s="234"/>
      <c r="E400" s="235"/>
      <c r="F400" s="232" t="s">
        <v>392</v>
      </c>
      <c r="G400" s="231"/>
      <c r="H400" s="242"/>
      <c r="I400" s="59" t="s">
        <v>10</v>
      </c>
    </row>
    <row r="401" spans="2:9" ht="25.5" customHeight="1" x14ac:dyDescent="0.25">
      <c r="B401" s="120" t="s">
        <v>26</v>
      </c>
      <c r="C401" s="234"/>
      <c r="D401" s="234"/>
      <c r="E401" s="235"/>
      <c r="F401" s="232" t="s">
        <v>393</v>
      </c>
      <c r="G401" s="231"/>
      <c r="H401" s="242"/>
      <c r="I401" s="58" t="s">
        <v>10</v>
      </c>
    </row>
    <row r="402" spans="2:9" ht="15.75" customHeight="1" x14ac:dyDescent="0.25">
      <c r="B402" s="106" t="s">
        <v>394</v>
      </c>
      <c r="C402" s="234"/>
      <c r="D402" s="234"/>
      <c r="E402" s="235"/>
      <c r="F402" s="232" t="s">
        <v>395</v>
      </c>
      <c r="G402" s="231"/>
      <c r="H402" s="242"/>
      <c r="I402" s="59" t="s">
        <v>10</v>
      </c>
    </row>
    <row r="403" spans="2:9" ht="15.75" customHeight="1" x14ac:dyDescent="0.25">
      <c r="B403" s="106" t="s">
        <v>396</v>
      </c>
      <c r="C403" s="234"/>
      <c r="D403" s="234"/>
      <c r="E403" s="235"/>
      <c r="F403" s="232" t="s">
        <v>397</v>
      </c>
      <c r="G403" s="231"/>
      <c r="H403" s="242"/>
      <c r="I403" s="59" t="s">
        <v>10</v>
      </c>
    </row>
    <row r="404" spans="2:9" ht="25.5" customHeight="1" x14ac:dyDescent="0.25">
      <c r="B404" s="106" t="s">
        <v>398</v>
      </c>
      <c r="C404" s="234"/>
      <c r="D404" s="234"/>
      <c r="E404" s="235"/>
      <c r="F404" s="232" t="s">
        <v>399</v>
      </c>
      <c r="G404" s="231"/>
      <c r="H404" s="242"/>
      <c r="I404" s="59" t="s">
        <v>10</v>
      </c>
    </row>
    <row r="405" spans="2:9" ht="15.75" customHeight="1" x14ac:dyDescent="0.25">
      <c r="B405" s="106" t="s">
        <v>400</v>
      </c>
      <c r="C405" s="234"/>
      <c r="D405" s="234"/>
      <c r="E405" s="235"/>
      <c r="F405" s="232" t="s">
        <v>401</v>
      </c>
      <c r="G405" s="231"/>
      <c r="H405" s="242"/>
      <c r="I405" s="59" t="s">
        <v>10</v>
      </c>
    </row>
    <row r="406" spans="2:9" ht="15.75" customHeight="1" x14ac:dyDescent="0.25">
      <c r="B406" s="106" t="s">
        <v>402</v>
      </c>
      <c r="C406" s="234"/>
      <c r="D406" s="234"/>
      <c r="E406" s="235">
        <v>86</v>
      </c>
      <c r="F406" s="232"/>
      <c r="G406" s="231"/>
      <c r="H406" s="242"/>
      <c r="I406" s="59" t="s">
        <v>10</v>
      </c>
    </row>
    <row r="407" spans="2:9" ht="15.75" customHeight="1" x14ac:dyDescent="0.25">
      <c r="B407" s="106" t="s">
        <v>403</v>
      </c>
      <c r="C407" s="234"/>
      <c r="D407" s="234"/>
      <c r="E407" s="235"/>
      <c r="F407" s="232" t="s">
        <v>404</v>
      </c>
      <c r="G407" s="231"/>
      <c r="H407" s="242"/>
      <c r="I407" s="59" t="s">
        <v>10</v>
      </c>
    </row>
    <row r="408" spans="2:9" ht="15.75" customHeight="1" x14ac:dyDescent="0.25">
      <c r="B408" s="105" t="s">
        <v>405</v>
      </c>
      <c r="C408" s="234"/>
      <c r="D408" s="234"/>
      <c r="E408" s="235"/>
      <c r="F408" s="232" t="s">
        <v>406</v>
      </c>
      <c r="G408" s="231"/>
      <c r="H408" s="242"/>
      <c r="I408" s="59" t="s">
        <v>10</v>
      </c>
    </row>
    <row r="409" spans="2:9" ht="15.75" customHeight="1" x14ac:dyDescent="0.25">
      <c r="B409" s="90" t="s">
        <v>407</v>
      </c>
      <c r="C409" s="234"/>
      <c r="D409" s="234"/>
      <c r="E409" s="235">
        <v>87</v>
      </c>
      <c r="F409" s="232"/>
      <c r="G409" s="231"/>
      <c r="H409" s="242"/>
      <c r="I409" s="171"/>
    </row>
    <row r="410" spans="2:9" ht="25.5" customHeight="1" x14ac:dyDescent="0.25">
      <c r="B410" s="89" t="s">
        <v>24</v>
      </c>
      <c r="C410" s="234"/>
      <c r="D410" s="234"/>
      <c r="E410" s="235"/>
      <c r="F410" s="232" t="s">
        <v>408</v>
      </c>
      <c r="G410" s="231"/>
      <c r="H410" s="242"/>
      <c r="I410" s="171" t="s">
        <v>10</v>
      </c>
    </row>
    <row r="411" spans="2:9" ht="15.75" customHeight="1" x14ac:dyDescent="0.25">
      <c r="B411" s="120" t="s">
        <v>26</v>
      </c>
      <c r="C411" s="234"/>
      <c r="D411" s="234"/>
      <c r="E411" s="235"/>
      <c r="F411" s="232">
        <v>0</v>
      </c>
      <c r="G411" s="231"/>
      <c r="H411" s="242"/>
      <c r="I411" s="58" t="s">
        <v>10</v>
      </c>
    </row>
    <row r="412" spans="2:9" ht="15.75" customHeight="1" x14ac:dyDescent="0.25">
      <c r="B412" s="106" t="s">
        <v>359</v>
      </c>
      <c r="C412" s="234"/>
      <c r="D412" s="234"/>
      <c r="E412" s="235">
        <v>88</v>
      </c>
      <c r="F412" s="232"/>
      <c r="G412" s="231"/>
      <c r="H412" s="242"/>
      <c r="I412" s="59" t="s">
        <v>10</v>
      </c>
    </row>
    <row r="413" spans="2:9" ht="25.5" customHeight="1" x14ac:dyDescent="0.25">
      <c r="B413" s="120" t="s">
        <v>180</v>
      </c>
      <c r="C413" s="234"/>
      <c r="D413" s="234"/>
      <c r="E413" s="235"/>
      <c r="F413" s="232" t="s">
        <v>409</v>
      </c>
      <c r="G413" s="231"/>
      <c r="H413" s="242"/>
      <c r="I413" s="58" t="s">
        <v>10</v>
      </c>
    </row>
    <row r="414" spans="2:9" ht="15.75" customHeight="1" x14ac:dyDescent="0.25">
      <c r="B414" s="106" t="s">
        <v>410</v>
      </c>
      <c r="C414" s="234"/>
      <c r="D414" s="234"/>
      <c r="E414" s="235"/>
      <c r="F414" s="232" t="s">
        <v>411</v>
      </c>
      <c r="G414" s="231"/>
      <c r="H414" s="242"/>
      <c r="I414" s="59" t="s">
        <v>10</v>
      </c>
    </row>
    <row r="415" spans="2:9" ht="15.75" customHeight="1" x14ac:dyDescent="0.25">
      <c r="B415" s="106" t="s">
        <v>412</v>
      </c>
      <c r="C415" s="234"/>
      <c r="D415" s="234"/>
      <c r="E415" s="235"/>
      <c r="F415" s="232" t="s">
        <v>413</v>
      </c>
      <c r="G415" s="231"/>
      <c r="H415" s="242"/>
      <c r="I415" s="59" t="s">
        <v>10</v>
      </c>
    </row>
    <row r="416" spans="2:9" ht="15.75" customHeight="1" x14ac:dyDescent="0.25">
      <c r="B416" s="106" t="s">
        <v>52</v>
      </c>
      <c r="C416" s="234"/>
      <c r="D416" s="234"/>
      <c r="E416" s="235"/>
      <c r="F416" s="232" t="s">
        <v>414</v>
      </c>
      <c r="G416" s="231"/>
      <c r="H416" s="242"/>
      <c r="I416" s="59" t="s">
        <v>10</v>
      </c>
    </row>
    <row r="417" spans="2:9" ht="15.75" customHeight="1" x14ac:dyDescent="0.25">
      <c r="B417" s="76" t="s">
        <v>85</v>
      </c>
      <c r="C417" s="234"/>
      <c r="D417" s="234"/>
      <c r="E417" s="235"/>
      <c r="F417" s="232" t="s">
        <v>415</v>
      </c>
      <c r="G417" s="231"/>
      <c r="H417" s="242"/>
      <c r="I417" s="59" t="s">
        <v>10</v>
      </c>
    </row>
    <row r="418" spans="2:9" ht="15.75" customHeight="1" x14ac:dyDescent="0.25">
      <c r="B418" s="76"/>
      <c r="C418" s="234"/>
      <c r="D418" s="234"/>
      <c r="E418" s="235">
        <v>89</v>
      </c>
      <c r="F418" s="232"/>
      <c r="G418" s="231"/>
      <c r="H418" s="242"/>
      <c r="I418" s="171"/>
    </row>
    <row r="419" spans="2:9" ht="15.75" customHeight="1" x14ac:dyDescent="0.25">
      <c r="B419" s="88" t="s">
        <v>416</v>
      </c>
      <c r="C419" s="234"/>
      <c r="D419" s="234"/>
      <c r="E419" s="235">
        <v>90</v>
      </c>
      <c r="F419" s="232"/>
      <c r="G419" s="231"/>
      <c r="H419" s="242"/>
      <c r="I419" s="171"/>
    </row>
    <row r="420" spans="2:9" ht="15.75" customHeight="1" x14ac:dyDescent="0.25">
      <c r="B420" s="88" t="s">
        <v>417</v>
      </c>
      <c r="C420" s="234"/>
      <c r="D420" s="234"/>
      <c r="E420" s="235">
        <v>91</v>
      </c>
      <c r="F420" s="232"/>
      <c r="G420" s="231"/>
      <c r="H420" s="242"/>
      <c r="I420" s="171"/>
    </row>
    <row r="421" spans="2:9" ht="51" customHeight="1" x14ac:dyDescent="0.25">
      <c r="B421" s="89" t="s">
        <v>95</v>
      </c>
      <c r="C421" s="234"/>
      <c r="D421" s="234"/>
      <c r="E421" s="235"/>
      <c r="F421" s="232" t="s">
        <v>418</v>
      </c>
      <c r="G421" s="231"/>
      <c r="H421" s="242"/>
      <c r="I421" s="171" t="s">
        <v>10</v>
      </c>
    </row>
    <row r="422" spans="2:9" ht="15.75" customHeight="1" x14ac:dyDescent="0.25">
      <c r="B422" s="120" t="s">
        <v>26</v>
      </c>
      <c r="C422" s="234"/>
      <c r="D422" s="234"/>
      <c r="E422" s="235"/>
      <c r="F422" s="232" t="s">
        <v>419</v>
      </c>
      <c r="G422" s="231"/>
      <c r="H422" s="242"/>
      <c r="I422" s="58" t="s">
        <v>10</v>
      </c>
    </row>
    <row r="423" spans="2:9" ht="38.25" customHeight="1" x14ac:dyDescent="0.25">
      <c r="B423" s="120" t="s">
        <v>28</v>
      </c>
      <c r="C423" s="234"/>
      <c r="D423" s="234"/>
      <c r="E423" s="235"/>
      <c r="F423" s="232" t="s">
        <v>420</v>
      </c>
      <c r="G423" s="231"/>
      <c r="H423" s="242"/>
      <c r="I423" s="58" t="s">
        <v>10</v>
      </c>
    </row>
    <row r="424" spans="2:9" ht="15.75" customHeight="1" x14ac:dyDescent="0.25">
      <c r="B424" s="120" t="s">
        <v>149</v>
      </c>
      <c r="C424" s="234"/>
      <c r="D424" s="234"/>
      <c r="E424" s="235"/>
      <c r="F424" s="232" t="s">
        <v>421</v>
      </c>
      <c r="G424" s="231"/>
      <c r="H424" s="242"/>
      <c r="I424" s="58" t="s">
        <v>10</v>
      </c>
    </row>
    <row r="425" spans="2:9" ht="15.75" customHeight="1" x14ac:dyDescent="0.25">
      <c r="B425" s="120" t="s">
        <v>422</v>
      </c>
      <c r="C425" s="234"/>
      <c r="D425" s="234"/>
      <c r="E425" s="235"/>
      <c r="F425" s="232" t="s">
        <v>423</v>
      </c>
      <c r="G425" s="231"/>
      <c r="H425" s="242"/>
      <c r="I425" s="58" t="s">
        <v>10</v>
      </c>
    </row>
    <row r="426" spans="2:9" ht="15.75" customHeight="1" x14ac:dyDescent="0.25">
      <c r="B426" s="90" t="s">
        <v>186</v>
      </c>
      <c r="C426" s="234"/>
      <c r="D426" s="234"/>
      <c r="E426" s="235">
        <v>92</v>
      </c>
      <c r="F426" s="232"/>
      <c r="G426" s="231"/>
      <c r="H426" s="242"/>
      <c r="I426" s="171"/>
    </row>
    <row r="427" spans="2:9" ht="51" customHeight="1" x14ac:dyDescent="0.25">
      <c r="B427" s="89" t="s">
        <v>95</v>
      </c>
      <c r="C427" s="234"/>
      <c r="D427" s="234"/>
      <c r="E427" s="235"/>
      <c r="F427" s="232" t="s">
        <v>418</v>
      </c>
      <c r="G427" s="231"/>
      <c r="H427" s="242"/>
      <c r="I427" s="171" t="s">
        <v>10</v>
      </c>
    </row>
    <row r="428" spans="2:9" ht="15.75" customHeight="1" x14ac:dyDescent="0.25">
      <c r="B428" s="120" t="s">
        <v>26</v>
      </c>
      <c r="C428" s="234"/>
      <c r="D428" s="234"/>
      <c r="E428" s="235"/>
      <c r="F428" s="232" t="s">
        <v>419</v>
      </c>
      <c r="G428" s="231"/>
      <c r="H428" s="242"/>
      <c r="I428" s="58" t="s">
        <v>10</v>
      </c>
    </row>
    <row r="429" spans="2:9" ht="15.75" customHeight="1" x14ac:dyDescent="0.25">
      <c r="B429" s="106" t="s">
        <v>276</v>
      </c>
      <c r="C429" s="234"/>
      <c r="D429" s="234"/>
      <c r="E429" s="235"/>
      <c r="F429" s="232" t="s">
        <v>277</v>
      </c>
      <c r="G429" s="231"/>
      <c r="H429" s="242"/>
      <c r="I429" s="59" t="s">
        <v>10</v>
      </c>
    </row>
    <row r="430" spans="2:9" ht="38.25" customHeight="1" x14ac:dyDescent="0.25">
      <c r="B430" s="120" t="s">
        <v>180</v>
      </c>
      <c r="C430" s="234"/>
      <c r="D430" s="234"/>
      <c r="E430" s="235"/>
      <c r="F430" s="232" t="s">
        <v>420</v>
      </c>
      <c r="G430" s="231"/>
      <c r="H430" s="242"/>
      <c r="I430" s="58" t="s">
        <v>10</v>
      </c>
    </row>
    <row r="431" spans="2:9" ht="15.75" customHeight="1" x14ac:dyDescent="0.25">
      <c r="B431" s="106" t="s">
        <v>82</v>
      </c>
      <c r="C431" s="234"/>
      <c r="D431" s="234"/>
      <c r="E431" s="235"/>
      <c r="F431" s="232" t="s">
        <v>424</v>
      </c>
      <c r="G431" s="231"/>
      <c r="H431" s="242"/>
      <c r="I431" s="59" t="s">
        <v>10</v>
      </c>
    </row>
    <row r="432" spans="2:9" ht="15.75" customHeight="1" x14ac:dyDescent="0.25">
      <c r="B432" s="106" t="s">
        <v>52</v>
      </c>
      <c r="C432" s="234"/>
      <c r="D432" s="234"/>
      <c r="E432" s="235"/>
      <c r="F432" s="232" t="s">
        <v>425</v>
      </c>
      <c r="G432" s="231"/>
      <c r="H432" s="242"/>
      <c r="I432" s="59" t="s">
        <v>10</v>
      </c>
    </row>
    <row r="433" spans="2:9" ht="15.75" customHeight="1" x14ac:dyDescent="0.25">
      <c r="B433" s="76" t="s">
        <v>85</v>
      </c>
      <c r="C433" s="234"/>
      <c r="D433" s="234"/>
      <c r="E433" s="235"/>
      <c r="F433" s="232" t="s">
        <v>426</v>
      </c>
      <c r="G433" s="231"/>
      <c r="H433" s="242"/>
      <c r="I433" s="59" t="s">
        <v>10</v>
      </c>
    </row>
    <row r="434" spans="2:9" ht="15.75" customHeight="1" x14ac:dyDescent="0.25">
      <c r="B434" s="120" t="s">
        <v>147</v>
      </c>
      <c r="C434" s="234"/>
      <c r="D434" s="234"/>
      <c r="E434" s="235"/>
      <c r="F434" s="232" t="s">
        <v>421</v>
      </c>
      <c r="G434" s="231"/>
      <c r="H434" s="242"/>
      <c r="I434" s="58" t="s">
        <v>10</v>
      </c>
    </row>
    <row r="435" spans="2:9" ht="15.75" customHeight="1" x14ac:dyDescent="0.25">
      <c r="B435" s="120" t="s">
        <v>422</v>
      </c>
      <c r="C435" s="234"/>
      <c r="D435" s="234"/>
      <c r="E435" s="235"/>
      <c r="F435" s="232" t="s">
        <v>423</v>
      </c>
      <c r="G435" s="231"/>
      <c r="H435" s="242"/>
      <c r="I435" s="58" t="s">
        <v>10</v>
      </c>
    </row>
    <row r="436" spans="2:9" ht="15.75" customHeight="1" x14ac:dyDescent="0.25">
      <c r="B436" s="90" t="s">
        <v>192</v>
      </c>
      <c r="C436" s="234"/>
      <c r="D436" s="234"/>
      <c r="E436" s="235"/>
      <c r="F436" s="232">
        <v>0</v>
      </c>
      <c r="G436" s="231"/>
      <c r="H436" s="242"/>
      <c r="I436" s="171" t="s">
        <v>10</v>
      </c>
    </row>
    <row r="437" spans="2:9" ht="15.75" customHeight="1" x14ac:dyDescent="0.25">
      <c r="B437" s="88"/>
      <c r="C437" s="234"/>
      <c r="D437" s="234"/>
      <c r="E437" s="235">
        <v>93</v>
      </c>
      <c r="F437" s="232"/>
      <c r="G437" s="231"/>
      <c r="H437" s="242"/>
      <c r="I437" s="171"/>
    </row>
    <row r="438" spans="2:9" ht="102" customHeight="1" x14ac:dyDescent="0.25">
      <c r="B438" s="88" t="s">
        <v>427</v>
      </c>
      <c r="C438" s="234"/>
      <c r="D438" s="234"/>
      <c r="E438" s="235"/>
      <c r="F438" s="232" t="s">
        <v>428</v>
      </c>
      <c r="G438" s="231"/>
      <c r="H438" s="242"/>
      <c r="I438" s="171" t="s">
        <v>10</v>
      </c>
    </row>
    <row r="439" spans="2:9" ht="63.75" customHeight="1" x14ac:dyDescent="0.25">
      <c r="B439" s="89" t="s">
        <v>95</v>
      </c>
      <c r="C439" s="234"/>
      <c r="D439" s="234"/>
      <c r="E439" s="235"/>
      <c r="F439" s="232" t="s">
        <v>429</v>
      </c>
      <c r="G439" s="231"/>
      <c r="H439" s="242"/>
      <c r="I439" s="171" t="s">
        <v>10</v>
      </c>
    </row>
    <row r="440" spans="2:9" ht="15.75" customHeight="1" x14ac:dyDescent="0.25">
      <c r="B440" s="120" t="s">
        <v>430</v>
      </c>
      <c r="C440" s="234"/>
      <c r="D440" s="234"/>
      <c r="E440" s="235"/>
      <c r="F440" s="232" t="s">
        <v>431</v>
      </c>
      <c r="G440" s="231"/>
      <c r="H440" s="242"/>
      <c r="I440" s="58" t="s">
        <v>10</v>
      </c>
    </row>
    <row r="441" spans="2:9" ht="38.25" customHeight="1" x14ac:dyDescent="0.25">
      <c r="B441" s="120" t="s">
        <v>28</v>
      </c>
      <c r="C441" s="234"/>
      <c r="D441" s="234"/>
      <c r="E441" s="235"/>
      <c r="F441" s="232" t="s">
        <v>432</v>
      </c>
      <c r="G441" s="231"/>
      <c r="H441" s="242"/>
      <c r="I441" s="58" t="s">
        <v>10</v>
      </c>
    </row>
    <row r="442" spans="2:9" ht="25.5" customHeight="1" x14ac:dyDescent="0.25">
      <c r="B442" s="102" t="s">
        <v>433</v>
      </c>
      <c r="C442" s="234"/>
      <c r="D442" s="234"/>
      <c r="E442" s="235"/>
      <c r="F442" s="232" t="s">
        <v>434</v>
      </c>
      <c r="G442" s="231"/>
      <c r="H442" s="242"/>
      <c r="I442" s="59" t="s">
        <v>10</v>
      </c>
    </row>
    <row r="443" spans="2:9" ht="25.5" customHeight="1" x14ac:dyDescent="0.25">
      <c r="B443" s="102" t="s">
        <v>435</v>
      </c>
      <c r="C443" s="234"/>
      <c r="D443" s="234"/>
      <c r="E443" s="235"/>
      <c r="F443" s="232" t="s">
        <v>436</v>
      </c>
      <c r="G443" s="231"/>
      <c r="H443" s="242"/>
      <c r="I443" s="59" t="s">
        <v>10</v>
      </c>
    </row>
    <row r="444" spans="2:9" ht="15.75" customHeight="1" x14ac:dyDescent="0.25">
      <c r="B444" s="120" t="s">
        <v>437</v>
      </c>
      <c r="C444" s="234"/>
      <c r="D444" s="234"/>
      <c r="E444" s="235"/>
      <c r="F444" s="232" t="s">
        <v>438</v>
      </c>
      <c r="G444" s="231"/>
      <c r="H444" s="242"/>
      <c r="I444" s="58" t="s">
        <v>10</v>
      </c>
    </row>
    <row r="445" spans="2:9" ht="15.75" customHeight="1" x14ac:dyDescent="0.25">
      <c r="B445" s="120" t="s">
        <v>147</v>
      </c>
      <c r="C445" s="234"/>
      <c r="D445" s="234"/>
      <c r="E445" s="235"/>
      <c r="F445" s="232" t="s">
        <v>439</v>
      </c>
      <c r="G445" s="231"/>
      <c r="H445" s="242"/>
      <c r="I445" s="58" t="s">
        <v>10</v>
      </c>
    </row>
    <row r="446" spans="2:9" ht="15.75" customHeight="1" x14ac:dyDescent="0.25">
      <c r="B446" s="120" t="s">
        <v>235</v>
      </c>
      <c r="C446" s="234"/>
      <c r="D446" s="234"/>
      <c r="E446" s="235"/>
      <c r="F446" s="232" t="s">
        <v>440</v>
      </c>
      <c r="G446" s="231"/>
      <c r="H446" s="242"/>
      <c r="I446" s="58" t="s">
        <v>10</v>
      </c>
    </row>
    <row r="447" spans="2:9" ht="25.5" customHeight="1" x14ac:dyDescent="0.25">
      <c r="B447" s="89" t="s">
        <v>315</v>
      </c>
      <c r="C447" s="234"/>
      <c r="D447" s="234"/>
      <c r="E447" s="235"/>
      <c r="F447" s="232" t="s">
        <v>441</v>
      </c>
      <c r="G447" s="231"/>
      <c r="H447" s="242"/>
      <c r="I447" s="171" t="s">
        <v>10</v>
      </c>
    </row>
    <row r="448" spans="2:9" ht="25.5" customHeight="1" x14ac:dyDescent="0.25">
      <c r="B448" s="120" t="s">
        <v>317</v>
      </c>
      <c r="C448" s="234"/>
      <c r="D448" s="234"/>
      <c r="E448" s="235"/>
      <c r="F448" s="232" t="s">
        <v>441</v>
      </c>
      <c r="G448" s="231"/>
      <c r="H448" s="242"/>
      <c r="I448" s="58" t="s">
        <v>10</v>
      </c>
    </row>
    <row r="449" spans="2:9" ht="15.75" customHeight="1" x14ac:dyDescent="0.25">
      <c r="B449" s="89" t="s">
        <v>102</v>
      </c>
      <c r="C449" s="234"/>
      <c r="D449" s="234"/>
      <c r="E449" s="235"/>
      <c r="F449" s="232" t="s">
        <v>442</v>
      </c>
      <c r="G449" s="231"/>
      <c r="H449" s="242"/>
      <c r="I449" s="171" t="s">
        <v>10</v>
      </c>
    </row>
    <row r="450" spans="2:9" ht="15.75" customHeight="1" x14ac:dyDescent="0.25">
      <c r="B450" s="89" t="s">
        <v>443</v>
      </c>
      <c r="C450" s="234"/>
      <c r="D450" s="234"/>
      <c r="E450" s="235"/>
      <c r="F450" s="232" t="s">
        <v>444</v>
      </c>
      <c r="G450" s="231"/>
      <c r="H450" s="242"/>
      <c r="I450" s="171" t="s">
        <v>10</v>
      </c>
    </row>
    <row r="451" spans="2:9" ht="63.75" customHeight="1" x14ac:dyDescent="0.25">
      <c r="B451" s="90" t="s">
        <v>216</v>
      </c>
      <c r="C451" s="234"/>
      <c r="D451" s="234"/>
      <c r="E451" s="235"/>
      <c r="F451" s="232" t="s">
        <v>445</v>
      </c>
      <c r="G451" s="231"/>
      <c r="H451" s="242"/>
      <c r="I451" s="171" t="s">
        <v>10</v>
      </c>
    </row>
    <row r="452" spans="2:9" ht="38.25" customHeight="1" x14ac:dyDescent="0.25">
      <c r="B452" s="89" t="s">
        <v>95</v>
      </c>
      <c r="C452" s="234"/>
      <c r="D452" s="234"/>
      <c r="E452" s="235"/>
      <c r="F452" s="232" t="s">
        <v>446</v>
      </c>
      <c r="G452" s="231"/>
      <c r="H452" s="242"/>
      <c r="I452" s="171" t="s">
        <v>10</v>
      </c>
    </row>
    <row r="453" spans="2:9" ht="15.75" customHeight="1" x14ac:dyDescent="0.25">
      <c r="B453" s="120" t="s">
        <v>447</v>
      </c>
      <c r="C453" s="234"/>
      <c r="D453" s="234"/>
      <c r="E453" s="235"/>
      <c r="F453" s="232" t="s">
        <v>431</v>
      </c>
      <c r="G453" s="231"/>
      <c r="H453" s="242"/>
      <c r="I453" s="58" t="s">
        <v>10</v>
      </c>
    </row>
    <row r="454" spans="2:9" ht="25.5" customHeight="1" x14ac:dyDescent="0.25">
      <c r="B454" s="120" t="s">
        <v>448</v>
      </c>
      <c r="C454" s="234"/>
      <c r="D454" s="234"/>
      <c r="E454" s="235"/>
      <c r="F454" s="232" t="s">
        <v>449</v>
      </c>
      <c r="G454" s="231"/>
      <c r="H454" s="242"/>
      <c r="I454" s="58" t="s">
        <v>10</v>
      </c>
    </row>
    <row r="455" spans="2:9" ht="15.75" customHeight="1" x14ac:dyDescent="0.25">
      <c r="B455" s="106" t="s">
        <v>82</v>
      </c>
      <c r="C455" s="234"/>
      <c r="D455" s="234"/>
      <c r="E455" s="235"/>
      <c r="F455" s="232" t="s">
        <v>450</v>
      </c>
      <c r="G455" s="231"/>
      <c r="H455" s="242"/>
      <c r="I455" s="59" t="s">
        <v>10</v>
      </c>
    </row>
    <row r="456" spans="2:9" ht="15.75" customHeight="1" x14ac:dyDescent="0.25">
      <c r="B456" s="106" t="s">
        <v>451</v>
      </c>
      <c r="C456" s="234"/>
      <c r="D456" s="234"/>
      <c r="E456" s="235"/>
      <c r="F456" s="232" t="s">
        <v>452</v>
      </c>
      <c r="G456" s="231"/>
      <c r="H456" s="242"/>
      <c r="I456" s="59" t="s">
        <v>10</v>
      </c>
    </row>
    <row r="457" spans="2:9" ht="15.75" customHeight="1" x14ac:dyDescent="0.25">
      <c r="B457" s="106" t="s">
        <v>453</v>
      </c>
      <c r="C457" s="234"/>
      <c r="D457" s="234"/>
      <c r="E457" s="235">
        <v>94</v>
      </c>
      <c r="F457" s="232"/>
      <c r="G457" s="231"/>
      <c r="H457" s="242"/>
      <c r="I457" s="59" t="s">
        <v>10</v>
      </c>
    </row>
    <row r="458" spans="2:9" ht="15.75" customHeight="1" x14ac:dyDescent="0.25">
      <c r="B458" s="106" t="s">
        <v>52</v>
      </c>
      <c r="C458" s="234"/>
      <c r="D458" s="234"/>
      <c r="E458" s="235"/>
      <c r="F458" s="232" t="s">
        <v>454</v>
      </c>
      <c r="G458" s="231"/>
      <c r="H458" s="242"/>
      <c r="I458" s="59" t="s">
        <v>10</v>
      </c>
    </row>
    <row r="459" spans="2:9" ht="15.75" customHeight="1" x14ac:dyDescent="0.25">
      <c r="B459" s="106" t="s">
        <v>451</v>
      </c>
      <c r="C459" s="234"/>
      <c r="D459" s="234"/>
      <c r="E459" s="235"/>
      <c r="F459" s="232" t="s">
        <v>455</v>
      </c>
      <c r="G459" s="231"/>
      <c r="H459" s="242"/>
      <c r="I459" s="59" t="s">
        <v>10</v>
      </c>
    </row>
    <row r="460" spans="2:9" ht="15.75" customHeight="1" x14ac:dyDescent="0.25">
      <c r="B460" s="106" t="s">
        <v>453</v>
      </c>
      <c r="C460" s="234"/>
      <c r="D460" s="234"/>
      <c r="E460" s="235">
        <v>95</v>
      </c>
      <c r="F460" s="232"/>
      <c r="G460" s="231"/>
      <c r="H460" s="242"/>
      <c r="I460" s="59" t="s">
        <v>10</v>
      </c>
    </row>
    <row r="461" spans="2:9" ht="15.75" customHeight="1" x14ac:dyDescent="0.25">
      <c r="B461" s="76" t="s">
        <v>85</v>
      </c>
      <c r="C461" s="234"/>
      <c r="D461" s="234"/>
      <c r="E461" s="235"/>
      <c r="F461" s="232" t="s">
        <v>456</v>
      </c>
      <c r="G461" s="231"/>
      <c r="H461" s="242"/>
      <c r="I461" s="59" t="s">
        <v>10</v>
      </c>
    </row>
    <row r="462" spans="2:9" ht="15.75" customHeight="1" x14ac:dyDescent="0.25">
      <c r="B462" s="106" t="s">
        <v>451</v>
      </c>
      <c r="C462" s="234"/>
      <c r="D462" s="234"/>
      <c r="E462" s="235"/>
      <c r="F462" s="232" t="s">
        <v>456</v>
      </c>
      <c r="G462" s="231"/>
      <c r="H462" s="242"/>
      <c r="I462" s="59" t="s">
        <v>10</v>
      </c>
    </row>
    <row r="463" spans="2:9" ht="15.75" customHeight="1" x14ac:dyDescent="0.25">
      <c r="B463" s="120" t="s">
        <v>457</v>
      </c>
      <c r="C463" s="234"/>
      <c r="D463" s="234"/>
      <c r="E463" s="235"/>
      <c r="F463" s="232" t="s">
        <v>458</v>
      </c>
      <c r="G463" s="231"/>
      <c r="H463" s="242"/>
      <c r="I463" s="58" t="s">
        <v>10</v>
      </c>
    </row>
    <row r="464" spans="2:9" ht="15.75" customHeight="1" x14ac:dyDescent="0.25">
      <c r="B464" s="120" t="s">
        <v>147</v>
      </c>
      <c r="C464" s="234"/>
      <c r="D464" s="234"/>
      <c r="E464" s="235"/>
      <c r="F464" s="232" t="s">
        <v>439</v>
      </c>
      <c r="G464" s="231"/>
      <c r="H464" s="242"/>
      <c r="I464" s="58" t="s">
        <v>10</v>
      </c>
    </row>
    <row r="465" spans="2:9" ht="15.75" customHeight="1" x14ac:dyDescent="0.25">
      <c r="B465" s="106" t="s">
        <v>459</v>
      </c>
      <c r="C465" s="234"/>
      <c r="D465" s="234"/>
      <c r="E465" s="235"/>
      <c r="F465" s="232" t="s">
        <v>460</v>
      </c>
      <c r="G465" s="231"/>
      <c r="H465" s="242"/>
      <c r="I465" s="59" t="s">
        <v>10</v>
      </c>
    </row>
    <row r="466" spans="2:9" ht="15.75" customHeight="1" x14ac:dyDescent="0.25">
      <c r="B466" s="106" t="s">
        <v>461</v>
      </c>
      <c r="C466" s="234"/>
      <c r="D466" s="234"/>
      <c r="E466" s="235"/>
      <c r="F466" s="232" t="s">
        <v>462</v>
      </c>
      <c r="G466" s="231"/>
      <c r="H466" s="242"/>
      <c r="I466" s="59" t="s">
        <v>10</v>
      </c>
    </row>
    <row r="467" spans="2:9" ht="15.75" customHeight="1" x14ac:dyDescent="0.25">
      <c r="B467" s="120" t="s">
        <v>235</v>
      </c>
      <c r="C467" s="234"/>
      <c r="D467" s="234"/>
      <c r="E467" s="235"/>
      <c r="F467" s="232" t="s">
        <v>440</v>
      </c>
      <c r="G467" s="231"/>
      <c r="H467" s="242"/>
      <c r="I467" s="58" t="s">
        <v>10</v>
      </c>
    </row>
    <row r="468" spans="2:9" ht="15.75" customHeight="1" x14ac:dyDescent="0.25">
      <c r="B468" s="106" t="s">
        <v>463</v>
      </c>
      <c r="C468" s="234"/>
      <c r="D468" s="234"/>
      <c r="E468" s="235"/>
      <c r="F468" s="232" t="s">
        <v>464</v>
      </c>
      <c r="G468" s="231"/>
      <c r="H468" s="242"/>
      <c r="I468" s="59" t="s">
        <v>10</v>
      </c>
    </row>
    <row r="469" spans="2:9" ht="15.75" customHeight="1" x14ac:dyDescent="0.25">
      <c r="B469" s="106" t="s">
        <v>465</v>
      </c>
      <c r="C469" s="234"/>
      <c r="D469" s="234"/>
      <c r="E469" s="235"/>
      <c r="F469" s="232" t="s">
        <v>466</v>
      </c>
      <c r="G469" s="231"/>
      <c r="H469" s="242"/>
      <c r="I469" s="59" t="s">
        <v>10</v>
      </c>
    </row>
    <row r="470" spans="2:9" ht="15.75" customHeight="1" x14ac:dyDescent="0.25">
      <c r="B470" s="106" t="s">
        <v>467</v>
      </c>
      <c r="C470" s="234"/>
      <c r="D470" s="234"/>
      <c r="E470" s="235"/>
      <c r="F470" s="232" t="s">
        <v>468</v>
      </c>
      <c r="G470" s="231"/>
      <c r="H470" s="242"/>
      <c r="I470" s="59" t="s">
        <v>10</v>
      </c>
    </row>
    <row r="471" spans="2:9" ht="25.5" customHeight="1" x14ac:dyDescent="0.25">
      <c r="B471" s="89" t="s">
        <v>315</v>
      </c>
      <c r="C471" s="234"/>
      <c r="D471" s="234"/>
      <c r="E471" s="235"/>
      <c r="F471" s="232" t="s">
        <v>441</v>
      </c>
      <c r="G471" s="231"/>
      <c r="H471" s="242"/>
      <c r="I471" s="171" t="s">
        <v>10</v>
      </c>
    </row>
    <row r="472" spans="2:9" ht="25.5" customHeight="1" x14ac:dyDescent="0.25">
      <c r="B472" s="120" t="s">
        <v>317</v>
      </c>
      <c r="C472" s="234"/>
      <c r="D472" s="234"/>
      <c r="E472" s="235"/>
      <c r="F472" s="232" t="s">
        <v>441</v>
      </c>
      <c r="G472" s="231"/>
      <c r="H472" s="242"/>
      <c r="I472" s="58" t="s">
        <v>10</v>
      </c>
    </row>
    <row r="473" spans="2:9" ht="15.75" customHeight="1" x14ac:dyDescent="0.25">
      <c r="B473" s="106" t="s">
        <v>469</v>
      </c>
      <c r="C473" s="234"/>
      <c r="D473" s="234"/>
      <c r="E473" s="235"/>
      <c r="F473" s="232" t="s">
        <v>470</v>
      </c>
      <c r="G473" s="231"/>
      <c r="H473" s="242"/>
      <c r="I473" s="59" t="s">
        <v>10</v>
      </c>
    </row>
    <row r="474" spans="2:9" ht="15.75" customHeight="1" x14ac:dyDescent="0.25">
      <c r="B474" s="106" t="s">
        <v>467</v>
      </c>
      <c r="C474" s="234"/>
      <c r="D474" s="234"/>
      <c r="E474" s="235"/>
      <c r="F474" s="232" t="s">
        <v>471</v>
      </c>
      <c r="G474" s="231"/>
      <c r="H474" s="242"/>
      <c r="I474" s="59" t="s">
        <v>10</v>
      </c>
    </row>
    <row r="475" spans="2:9" ht="15.75" customHeight="1" x14ac:dyDescent="0.25">
      <c r="B475" s="106" t="s">
        <v>472</v>
      </c>
      <c r="C475" s="234"/>
      <c r="D475" s="234"/>
      <c r="E475" s="235"/>
      <c r="F475" s="232" t="s">
        <v>473</v>
      </c>
      <c r="G475" s="231"/>
      <c r="H475" s="242"/>
      <c r="I475" s="59" t="s">
        <v>10</v>
      </c>
    </row>
    <row r="476" spans="2:9" ht="15.75" customHeight="1" x14ac:dyDescent="0.25">
      <c r="B476" s="89" t="s">
        <v>474</v>
      </c>
      <c r="C476" s="234"/>
      <c r="D476" s="234"/>
      <c r="E476" s="235"/>
      <c r="F476" s="232" t="s">
        <v>444</v>
      </c>
      <c r="G476" s="231"/>
      <c r="H476" s="242"/>
      <c r="I476" s="171" t="s">
        <v>10</v>
      </c>
    </row>
    <row r="477" spans="2:9" ht="15.75" customHeight="1" x14ac:dyDescent="0.25">
      <c r="B477" s="106" t="s">
        <v>475</v>
      </c>
      <c r="C477" s="234"/>
      <c r="D477" s="234"/>
      <c r="E477" s="235"/>
      <c r="F477" s="232" t="s">
        <v>444</v>
      </c>
      <c r="G477" s="231"/>
      <c r="H477" s="242"/>
      <c r="I477" s="59" t="s">
        <v>10</v>
      </c>
    </row>
    <row r="478" spans="2:9" ht="38.25" customHeight="1" x14ac:dyDescent="0.25">
      <c r="B478" s="90" t="s">
        <v>217</v>
      </c>
      <c r="C478" s="234"/>
      <c r="D478" s="234"/>
      <c r="E478" s="235"/>
      <c r="F478" s="232" t="s">
        <v>476</v>
      </c>
      <c r="G478" s="231"/>
      <c r="H478" s="242"/>
      <c r="I478" s="171" t="s">
        <v>10</v>
      </c>
    </row>
    <row r="479" spans="2:9" ht="25.5" customHeight="1" x14ac:dyDescent="0.25">
      <c r="B479" s="89" t="s">
        <v>95</v>
      </c>
      <c r="C479" s="234"/>
      <c r="D479" s="234"/>
      <c r="E479" s="235"/>
      <c r="F479" s="232" t="s">
        <v>477</v>
      </c>
      <c r="G479" s="231"/>
      <c r="H479" s="242"/>
      <c r="I479" s="171" t="s">
        <v>10</v>
      </c>
    </row>
    <row r="480" spans="2:9" ht="25.5" customHeight="1" x14ac:dyDescent="0.25">
      <c r="B480" s="120" t="s">
        <v>448</v>
      </c>
      <c r="C480" s="234"/>
      <c r="D480" s="234"/>
      <c r="E480" s="235"/>
      <c r="F480" s="232" t="s">
        <v>477</v>
      </c>
      <c r="G480" s="231"/>
      <c r="H480" s="242"/>
      <c r="I480" s="58" t="s">
        <v>10</v>
      </c>
    </row>
    <row r="481" spans="2:9" ht="15.75" customHeight="1" x14ac:dyDescent="0.25">
      <c r="B481" s="106" t="s">
        <v>412</v>
      </c>
      <c r="C481" s="234"/>
      <c r="D481" s="234"/>
      <c r="E481" s="235"/>
      <c r="F481" s="232" t="s">
        <v>478</v>
      </c>
      <c r="G481" s="231"/>
      <c r="H481" s="242"/>
      <c r="I481" s="59" t="s">
        <v>10</v>
      </c>
    </row>
    <row r="482" spans="2:9" ht="15.75" customHeight="1" x14ac:dyDescent="0.25">
      <c r="B482" s="106" t="s">
        <v>479</v>
      </c>
      <c r="C482" s="234"/>
      <c r="D482" s="234"/>
      <c r="E482" s="235"/>
      <c r="F482" s="232" t="s">
        <v>480</v>
      </c>
      <c r="G482" s="231"/>
      <c r="H482" s="242"/>
      <c r="I482" s="59" t="s">
        <v>10</v>
      </c>
    </row>
    <row r="483" spans="2:9" ht="15.75" customHeight="1" x14ac:dyDescent="0.25">
      <c r="B483" s="106" t="s">
        <v>481</v>
      </c>
      <c r="C483" s="234"/>
      <c r="D483" s="234"/>
      <c r="E483" s="235"/>
      <c r="F483" s="232">
        <v>0</v>
      </c>
      <c r="G483" s="231"/>
      <c r="H483" s="242"/>
      <c r="I483" s="59" t="s">
        <v>10</v>
      </c>
    </row>
    <row r="484" spans="2:9" ht="15.75" customHeight="1" x14ac:dyDescent="0.25">
      <c r="B484" s="106" t="s">
        <v>52</v>
      </c>
      <c r="C484" s="234"/>
      <c r="D484" s="234"/>
      <c r="E484" s="235"/>
      <c r="F484" s="232" t="s">
        <v>482</v>
      </c>
      <c r="G484" s="231"/>
      <c r="H484" s="242"/>
      <c r="I484" s="59" t="s">
        <v>10</v>
      </c>
    </row>
    <row r="485" spans="2:9" ht="15.75" customHeight="1" x14ac:dyDescent="0.25">
      <c r="B485" s="76" t="s">
        <v>85</v>
      </c>
      <c r="C485" s="234"/>
      <c r="D485" s="234"/>
      <c r="E485" s="235"/>
      <c r="F485" s="232" t="s">
        <v>483</v>
      </c>
      <c r="G485" s="231"/>
      <c r="H485" s="242"/>
      <c r="I485" s="59" t="s">
        <v>10</v>
      </c>
    </row>
    <row r="486" spans="2:9" ht="15.75" customHeight="1" x14ac:dyDescent="0.25">
      <c r="B486" s="89" t="s">
        <v>102</v>
      </c>
      <c r="C486" s="234"/>
      <c r="D486" s="234"/>
      <c r="E486" s="235"/>
      <c r="F486" s="232" t="s">
        <v>442</v>
      </c>
      <c r="G486" s="231"/>
      <c r="H486" s="242"/>
      <c r="I486" s="171" t="s">
        <v>10</v>
      </c>
    </row>
    <row r="487" spans="2:9" ht="15.75" customHeight="1" x14ac:dyDescent="0.25">
      <c r="B487" s="106" t="s">
        <v>484</v>
      </c>
      <c r="C487" s="234"/>
      <c r="D487" s="234"/>
      <c r="E487" s="235"/>
      <c r="F487" s="232" t="s">
        <v>442</v>
      </c>
      <c r="G487" s="231"/>
      <c r="H487" s="242"/>
      <c r="I487" s="59" t="s">
        <v>10</v>
      </c>
    </row>
    <row r="488" spans="2:9" ht="15.75" customHeight="1" x14ac:dyDescent="0.25">
      <c r="B488" s="89" t="s">
        <v>56</v>
      </c>
      <c r="C488" s="234"/>
      <c r="D488" s="234"/>
      <c r="E488" s="235"/>
      <c r="F488" s="232" t="s">
        <v>485</v>
      </c>
      <c r="G488" s="231"/>
      <c r="H488" s="242"/>
      <c r="I488" s="171" t="s">
        <v>10</v>
      </c>
    </row>
    <row r="489" spans="2:9" ht="15.75" customHeight="1" x14ac:dyDescent="0.25">
      <c r="B489" s="120" t="s">
        <v>28</v>
      </c>
      <c r="C489" s="234"/>
      <c r="D489" s="234"/>
      <c r="E489" s="235"/>
      <c r="F489" s="232" t="s">
        <v>485</v>
      </c>
      <c r="G489" s="231"/>
      <c r="H489" s="242"/>
      <c r="I489" s="58" t="s">
        <v>10</v>
      </c>
    </row>
    <row r="490" spans="2:9" ht="15.75" customHeight="1" x14ac:dyDescent="0.25">
      <c r="B490" s="89" t="s">
        <v>64</v>
      </c>
      <c r="C490" s="234"/>
      <c r="D490" s="234"/>
      <c r="E490" s="235"/>
      <c r="F490" s="232" t="s">
        <v>486</v>
      </c>
      <c r="G490" s="231"/>
      <c r="H490" s="242"/>
      <c r="I490" s="107" t="s">
        <v>10</v>
      </c>
    </row>
    <row r="491" spans="2:9" ht="15.75" customHeight="1" x14ac:dyDescent="0.25">
      <c r="B491" s="120" t="s">
        <v>30</v>
      </c>
      <c r="C491" s="234"/>
      <c r="D491" s="234"/>
      <c r="E491" s="235"/>
      <c r="F491" s="232" t="s">
        <v>486</v>
      </c>
      <c r="G491" s="231"/>
      <c r="H491" s="242"/>
      <c r="I491" s="58" t="s">
        <v>10</v>
      </c>
    </row>
    <row r="492" spans="2:9" ht="15.75" customHeight="1" x14ac:dyDescent="0.25">
      <c r="B492" s="106" t="s">
        <v>375</v>
      </c>
      <c r="C492" s="234"/>
      <c r="D492" s="234"/>
      <c r="E492" s="235"/>
      <c r="F492" s="232" t="s">
        <v>486</v>
      </c>
      <c r="G492" s="231"/>
      <c r="H492" s="242"/>
      <c r="I492" s="59" t="s">
        <v>10</v>
      </c>
    </row>
    <row r="493" spans="2:9" ht="15.75" customHeight="1" x14ac:dyDescent="0.25">
      <c r="B493" s="106"/>
      <c r="C493" s="234"/>
      <c r="D493" s="234"/>
      <c r="E493" s="235">
        <v>96</v>
      </c>
      <c r="F493" s="232"/>
      <c r="G493" s="231"/>
      <c r="H493" s="242"/>
      <c r="I493" s="171"/>
    </row>
    <row r="494" spans="2:9" ht="38.25" customHeight="1" x14ac:dyDescent="0.25">
      <c r="B494" s="88" t="s">
        <v>487</v>
      </c>
      <c r="C494" s="234"/>
      <c r="D494" s="234"/>
      <c r="E494" s="235"/>
      <c r="F494" s="232" t="s">
        <v>488</v>
      </c>
      <c r="G494" s="231"/>
      <c r="H494" s="242"/>
      <c r="I494" s="171" t="s">
        <v>10</v>
      </c>
    </row>
    <row r="495" spans="2:9" ht="25.5" customHeight="1" x14ac:dyDescent="0.25">
      <c r="B495" s="89" t="s">
        <v>95</v>
      </c>
      <c r="C495" s="234"/>
      <c r="D495" s="234"/>
      <c r="E495" s="235"/>
      <c r="F495" s="232" t="s">
        <v>489</v>
      </c>
      <c r="G495" s="231"/>
      <c r="H495" s="242"/>
      <c r="I495" s="171" t="s">
        <v>10</v>
      </c>
    </row>
    <row r="496" spans="2:9" ht="25.5" customHeight="1" x14ac:dyDescent="0.25">
      <c r="B496" s="120" t="s">
        <v>180</v>
      </c>
      <c r="C496" s="234"/>
      <c r="D496" s="234"/>
      <c r="E496" s="235"/>
      <c r="F496" s="232" t="s">
        <v>490</v>
      </c>
      <c r="G496" s="231"/>
      <c r="H496" s="242"/>
      <c r="I496" s="58" t="s">
        <v>10</v>
      </c>
    </row>
    <row r="497" spans="2:9" ht="15.75" customHeight="1" x14ac:dyDescent="0.25">
      <c r="B497" s="120" t="s">
        <v>491</v>
      </c>
      <c r="C497" s="234"/>
      <c r="D497" s="234"/>
      <c r="E497" s="235"/>
      <c r="F497" s="232" t="s">
        <v>492</v>
      </c>
      <c r="G497" s="231"/>
      <c r="H497" s="242"/>
      <c r="I497" s="58" t="s">
        <v>10</v>
      </c>
    </row>
    <row r="498" spans="2:9" ht="15.75" customHeight="1" x14ac:dyDescent="0.25">
      <c r="B498" s="89" t="s">
        <v>315</v>
      </c>
      <c r="C498" s="234"/>
      <c r="D498" s="234"/>
      <c r="E498" s="235"/>
      <c r="F498" s="232" t="s">
        <v>493</v>
      </c>
      <c r="G498" s="231"/>
      <c r="H498" s="242"/>
      <c r="I498" s="171" t="s">
        <v>10</v>
      </c>
    </row>
    <row r="499" spans="2:9" ht="15.75" customHeight="1" x14ac:dyDescent="0.25">
      <c r="B499" s="120" t="s">
        <v>317</v>
      </c>
      <c r="C499" s="234"/>
      <c r="D499" s="234"/>
      <c r="E499" s="235"/>
      <c r="F499" s="232" t="s">
        <v>493</v>
      </c>
      <c r="G499" s="231"/>
      <c r="H499" s="242"/>
      <c r="I499" s="58" t="s">
        <v>10</v>
      </c>
    </row>
    <row r="500" spans="2:9" ht="25.5" customHeight="1" x14ac:dyDescent="0.25">
      <c r="B500" s="90" t="s">
        <v>238</v>
      </c>
      <c r="C500" s="234"/>
      <c r="D500" s="234"/>
      <c r="E500" s="235"/>
      <c r="F500" s="232" t="s">
        <v>494</v>
      </c>
      <c r="G500" s="231"/>
      <c r="H500" s="242"/>
      <c r="I500" s="171" t="s">
        <v>10</v>
      </c>
    </row>
    <row r="501" spans="2:9" ht="25.5" customHeight="1" x14ac:dyDescent="0.25">
      <c r="B501" s="89" t="s">
        <v>95</v>
      </c>
      <c r="C501" s="234"/>
      <c r="D501" s="234"/>
      <c r="E501" s="235"/>
      <c r="F501" s="232" t="s">
        <v>489</v>
      </c>
      <c r="G501" s="231"/>
      <c r="H501" s="242"/>
      <c r="I501" s="171" t="s">
        <v>10</v>
      </c>
    </row>
    <row r="502" spans="2:9" ht="25.5" customHeight="1" x14ac:dyDescent="0.25">
      <c r="B502" s="120" t="s">
        <v>180</v>
      </c>
      <c r="C502" s="234"/>
      <c r="D502" s="234"/>
      <c r="E502" s="235"/>
      <c r="F502" s="232" t="s">
        <v>490</v>
      </c>
      <c r="G502" s="231"/>
      <c r="H502" s="242"/>
      <c r="I502" s="58" t="s">
        <v>10</v>
      </c>
    </row>
    <row r="503" spans="2:9" ht="15.75" customHeight="1" x14ac:dyDescent="0.25">
      <c r="B503" s="106" t="s">
        <v>82</v>
      </c>
      <c r="C503" s="234"/>
      <c r="D503" s="234"/>
      <c r="E503" s="235"/>
      <c r="F503" s="232" t="s">
        <v>495</v>
      </c>
      <c r="G503" s="231"/>
      <c r="H503" s="242"/>
      <c r="I503" s="59" t="s">
        <v>10</v>
      </c>
    </row>
    <row r="504" spans="2:9" ht="15.75" customHeight="1" x14ac:dyDescent="0.25">
      <c r="B504" s="106" t="s">
        <v>52</v>
      </c>
      <c r="C504" s="234"/>
      <c r="D504" s="234"/>
      <c r="E504" s="235"/>
      <c r="F504" s="232" t="s">
        <v>496</v>
      </c>
      <c r="G504" s="231"/>
      <c r="H504" s="242"/>
      <c r="I504" s="59" t="s">
        <v>10</v>
      </c>
    </row>
    <row r="505" spans="2:9" ht="15.75" customHeight="1" x14ac:dyDescent="0.25">
      <c r="B505" s="76" t="s">
        <v>85</v>
      </c>
      <c r="C505" s="234"/>
      <c r="D505" s="234"/>
      <c r="E505" s="235"/>
      <c r="F505" s="232" t="s">
        <v>497</v>
      </c>
      <c r="G505" s="231"/>
      <c r="H505" s="242"/>
      <c r="I505" s="59" t="s">
        <v>10</v>
      </c>
    </row>
    <row r="506" spans="2:9" ht="15.75" customHeight="1" x14ac:dyDescent="0.25">
      <c r="B506" s="120" t="s">
        <v>498</v>
      </c>
      <c r="C506" s="234"/>
      <c r="D506" s="234"/>
      <c r="E506" s="235"/>
      <c r="F506" s="232" t="s">
        <v>492</v>
      </c>
      <c r="G506" s="231"/>
      <c r="H506" s="242"/>
      <c r="I506" s="58" t="s">
        <v>10</v>
      </c>
    </row>
    <row r="507" spans="2:9" ht="15.75" customHeight="1" x14ac:dyDescent="0.25">
      <c r="B507" s="89" t="s">
        <v>315</v>
      </c>
      <c r="C507" s="234"/>
      <c r="D507" s="234"/>
      <c r="E507" s="235"/>
      <c r="F507" s="232" t="s">
        <v>499</v>
      </c>
      <c r="G507" s="231"/>
      <c r="H507" s="242"/>
      <c r="I507" s="171" t="s">
        <v>10</v>
      </c>
    </row>
    <row r="508" spans="2:9" ht="15.75" customHeight="1" x14ac:dyDescent="0.25">
      <c r="B508" s="120" t="s">
        <v>317</v>
      </c>
      <c r="C508" s="234"/>
      <c r="D508" s="234"/>
      <c r="E508" s="235"/>
      <c r="F508" s="232" t="s">
        <v>499</v>
      </c>
      <c r="G508" s="231"/>
      <c r="H508" s="242"/>
      <c r="I508" s="58" t="s">
        <v>10</v>
      </c>
    </row>
    <row r="509" spans="2:9" ht="15.75" customHeight="1" x14ac:dyDescent="0.25">
      <c r="B509" s="90" t="s">
        <v>241</v>
      </c>
      <c r="C509" s="234"/>
      <c r="D509" s="234"/>
      <c r="E509" s="235"/>
      <c r="F509" s="232">
        <v>0</v>
      </c>
      <c r="G509" s="231"/>
      <c r="H509" s="242"/>
      <c r="I509" s="171" t="s">
        <v>10</v>
      </c>
    </row>
    <row r="510" spans="2:9" ht="15.75" customHeight="1" x14ac:dyDescent="0.25">
      <c r="B510" s="89" t="s">
        <v>315</v>
      </c>
      <c r="C510" s="234"/>
      <c r="D510" s="234"/>
      <c r="E510" s="235"/>
      <c r="F510" s="232" t="s">
        <v>500</v>
      </c>
      <c r="G510" s="231"/>
      <c r="H510" s="242"/>
      <c r="I510" s="171" t="s">
        <v>10</v>
      </c>
    </row>
    <row r="511" spans="2:9" ht="15.75" customHeight="1" x14ac:dyDescent="0.25">
      <c r="B511" s="120" t="s">
        <v>317</v>
      </c>
      <c r="C511" s="234"/>
      <c r="D511" s="234"/>
      <c r="E511" s="235"/>
      <c r="F511" s="232" t="s">
        <v>500</v>
      </c>
      <c r="G511" s="231"/>
      <c r="H511" s="242"/>
      <c r="I511" s="58" t="s">
        <v>10</v>
      </c>
    </row>
    <row r="512" spans="2:9" ht="76.5" customHeight="1" x14ac:dyDescent="0.25">
      <c r="B512" s="95" t="s">
        <v>501</v>
      </c>
      <c r="C512" s="234"/>
      <c r="D512" s="234"/>
      <c r="E512" s="235"/>
      <c r="F512" s="232" t="s">
        <v>502</v>
      </c>
      <c r="G512" s="231"/>
      <c r="H512" s="242"/>
      <c r="I512" s="100"/>
    </row>
    <row r="513" spans="2:9" ht="15.75" customHeight="1" x14ac:dyDescent="0.25">
      <c r="B513" s="95"/>
      <c r="C513" s="234"/>
      <c r="D513" s="234"/>
      <c r="E513" s="235">
        <v>97</v>
      </c>
      <c r="F513" s="232"/>
      <c r="G513" s="231"/>
      <c r="H513" s="242"/>
      <c r="I513" s="171"/>
    </row>
    <row r="514" spans="2:9" ht="15.75" customHeight="1" x14ac:dyDescent="0.25">
      <c r="B514" s="88" t="s">
        <v>503</v>
      </c>
      <c r="C514" s="234"/>
      <c r="D514" s="234"/>
      <c r="E514" s="235">
        <v>98</v>
      </c>
      <c r="F514" s="232"/>
      <c r="G514" s="231"/>
      <c r="H514" s="242"/>
      <c r="I514" s="171"/>
    </row>
    <row r="515" spans="2:9" ht="191.25" customHeight="1" x14ac:dyDescent="0.25">
      <c r="B515" s="88" t="s">
        <v>504</v>
      </c>
      <c r="C515" s="234"/>
      <c r="D515" s="234"/>
      <c r="E515" s="235"/>
      <c r="F515" s="232" t="s">
        <v>505</v>
      </c>
      <c r="G515" s="231"/>
      <c r="H515" s="242"/>
      <c r="I515" s="171" t="s">
        <v>10</v>
      </c>
    </row>
    <row r="516" spans="2:9" ht="76.5" customHeight="1" x14ac:dyDescent="0.25">
      <c r="B516" s="89" t="s">
        <v>95</v>
      </c>
      <c r="C516" s="234"/>
      <c r="D516" s="234"/>
      <c r="E516" s="235"/>
      <c r="F516" s="232" t="s">
        <v>506</v>
      </c>
      <c r="G516" s="231"/>
      <c r="H516" s="242"/>
      <c r="I516" s="171" t="s">
        <v>10</v>
      </c>
    </row>
    <row r="517" spans="2:9" ht="15.75" customHeight="1" x14ac:dyDescent="0.25">
      <c r="B517" s="120" t="s">
        <v>26</v>
      </c>
      <c r="C517" s="234"/>
      <c r="D517" s="234"/>
      <c r="E517" s="235"/>
      <c r="F517" s="232" t="s">
        <v>507</v>
      </c>
      <c r="G517" s="231"/>
      <c r="H517" s="242"/>
      <c r="I517" s="58" t="s">
        <v>10</v>
      </c>
    </row>
    <row r="518" spans="2:9" ht="38.25" customHeight="1" x14ac:dyDescent="0.25">
      <c r="B518" s="120" t="s">
        <v>28</v>
      </c>
      <c r="C518" s="234"/>
      <c r="D518" s="234"/>
      <c r="E518" s="235"/>
      <c r="F518" s="232" t="s">
        <v>508</v>
      </c>
      <c r="G518" s="231"/>
      <c r="H518" s="242"/>
      <c r="I518" s="58" t="s">
        <v>10</v>
      </c>
    </row>
    <row r="519" spans="2:9" ht="15.75" customHeight="1" x14ac:dyDescent="0.25">
      <c r="B519" s="120" t="s">
        <v>437</v>
      </c>
      <c r="C519" s="234"/>
      <c r="D519" s="234"/>
      <c r="E519" s="235"/>
      <c r="F519" s="232" t="s">
        <v>509</v>
      </c>
      <c r="G519" s="231"/>
      <c r="H519" s="242"/>
      <c r="I519" s="58" t="s">
        <v>10</v>
      </c>
    </row>
    <row r="520" spans="2:9" ht="25.5" customHeight="1" x14ac:dyDescent="0.25">
      <c r="B520" s="120" t="s">
        <v>233</v>
      </c>
      <c r="C520" s="234"/>
      <c r="D520" s="234"/>
      <c r="E520" s="235"/>
      <c r="F520" s="232" t="s">
        <v>510</v>
      </c>
      <c r="G520" s="231"/>
      <c r="H520" s="242"/>
      <c r="I520" s="58" t="s">
        <v>10</v>
      </c>
    </row>
    <row r="521" spans="2:9" ht="15.75" customHeight="1" x14ac:dyDescent="0.25">
      <c r="B521" s="120" t="s">
        <v>235</v>
      </c>
      <c r="C521" s="234"/>
      <c r="D521" s="234"/>
      <c r="E521" s="235"/>
      <c r="F521" s="232" t="s">
        <v>511</v>
      </c>
      <c r="G521" s="231"/>
      <c r="H521" s="242"/>
      <c r="I521" s="58" t="s">
        <v>10</v>
      </c>
    </row>
    <row r="522" spans="2:9" ht="38.25" customHeight="1" x14ac:dyDescent="0.25">
      <c r="B522" s="89" t="s">
        <v>127</v>
      </c>
      <c r="C522" s="234"/>
      <c r="D522" s="234"/>
      <c r="E522" s="235"/>
      <c r="F522" s="232" t="s">
        <v>512</v>
      </c>
      <c r="G522" s="231"/>
      <c r="H522" s="242"/>
      <c r="I522" s="171" t="s">
        <v>108</v>
      </c>
    </row>
    <row r="523" spans="2:9" ht="15.75" customHeight="1" x14ac:dyDescent="0.25">
      <c r="B523" s="89" t="s">
        <v>41</v>
      </c>
      <c r="C523" s="234"/>
      <c r="D523" s="234"/>
      <c r="E523" s="235"/>
      <c r="F523" s="232" t="s">
        <v>513</v>
      </c>
      <c r="G523" s="231"/>
      <c r="H523" s="242"/>
      <c r="I523" s="171" t="s">
        <v>10</v>
      </c>
    </row>
    <row r="524" spans="2:9" ht="15.75" customHeight="1" x14ac:dyDescent="0.25">
      <c r="B524" s="120" t="s">
        <v>514</v>
      </c>
      <c r="C524" s="234"/>
      <c r="D524" s="234"/>
      <c r="E524" s="235"/>
      <c r="F524" s="232" t="s">
        <v>515</v>
      </c>
      <c r="G524" s="231"/>
      <c r="H524" s="242"/>
      <c r="I524" s="58" t="s">
        <v>10</v>
      </c>
    </row>
    <row r="525" spans="2:9" ht="25.5" customHeight="1" x14ac:dyDescent="0.25">
      <c r="B525" s="89" t="s">
        <v>102</v>
      </c>
      <c r="C525" s="234"/>
      <c r="D525" s="234"/>
      <c r="E525" s="235"/>
      <c r="F525" s="232" t="s">
        <v>516</v>
      </c>
      <c r="G525" s="231"/>
      <c r="H525" s="242"/>
      <c r="I525" s="171" t="s">
        <v>10</v>
      </c>
    </row>
    <row r="526" spans="2:9" ht="15.75" customHeight="1" x14ac:dyDescent="0.25">
      <c r="B526" s="89" t="s">
        <v>104</v>
      </c>
      <c r="C526" s="234"/>
      <c r="D526" s="234"/>
      <c r="E526" s="235"/>
      <c r="F526" s="232" t="s">
        <v>517</v>
      </c>
      <c r="G526" s="231"/>
      <c r="H526" s="242"/>
      <c r="I526" s="171" t="s">
        <v>108</v>
      </c>
    </row>
    <row r="527" spans="2:9" ht="15.75" customHeight="1" x14ac:dyDescent="0.25">
      <c r="B527" s="89" t="s">
        <v>106</v>
      </c>
      <c r="C527" s="234"/>
      <c r="D527" s="234"/>
      <c r="E527" s="235"/>
      <c r="F527" s="232" t="s">
        <v>518</v>
      </c>
      <c r="G527" s="231"/>
      <c r="H527" s="242"/>
      <c r="I527" s="171" t="s">
        <v>108</v>
      </c>
    </row>
    <row r="528" spans="2:9" ht="38.25" customHeight="1" x14ac:dyDescent="0.25">
      <c r="B528" s="89" t="s">
        <v>109</v>
      </c>
      <c r="C528" s="234"/>
      <c r="D528" s="234"/>
      <c r="E528" s="235"/>
      <c r="F528" s="232" t="s">
        <v>519</v>
      </c>
      <c r="G528" s="231"/>
      <c r="H528" s="242"/>
      <c r="I528" s="171" t="s">
        <v>108</v>
      </c>
    </row>
    <row r="529" spans="2:9" ht="15.75" customHeight="1" x14ac:dyDescent="0.25">
      <c r="B529" s="89" t="s">
        <v>111</v>
      </c>
      <c r="C529" s="234"/>
      <c r="D529" s="234"/>
      <c r="E529" s="235"/>
      <c r="F529" s="232" t="s">
        <v>520</v>
      </c>
      <c r="G529" s="231"/>
      <c r="H529" s="242"/>
      <c r="I529" s="171" t="s">
        <v>108</v>
      </c>
    </row>
    <row r="530" spans="2:9" ht="15.75" customHeight="1" x14ac:dyDescent="0.25">
      <c r="B530" s="89" t="s">
        <v>35</v>
      </c>
      <c r="C530" s="234"/>
      <c r="D530" s="234"/>
      <c r="E530" s="235"/>
      <c r="F530" s="232" t="s">
        <v>521</v>
      </c>
      <c r="G530" s="231"/>
      <c r="H530" s="242"/>
      <c r="I530" s="171" t="s">
        <v>108</v>
      </c>
    </row>
    <row r="531" spans="2:9" ht="15.75" customHeight="1" x14ac:dyDescent="0.25">
      <c r="B531" s="120" t="s">
        <v>36</v>
      </c>
      <c r="C531" s="234"/>
      <c r="D531" s="234"/>
      <c r="E531" s="235"/>
      <c r="F531" s="232" t="s">
        <v>521</v>
      </c>
      <c r="G531" s="231"/>
      <c r="H531" s="242"/>
      <c r="I531" s="58" t="s">
        <v>108</v>
      </c>
    </row>
    <row r="532" spans="2:9" ht="15.75" customHeight="1" x14ac:dyDescent="0.25">
      <c r="B532" s="89" t="s">
        <v>522</v>
      </c>
      <c r="C532" s="234"/>
      <c r="D532" s="234"/>
      <c r="E532" s="235"/>
      <c r="F532" s="232">
        <v>0</v>
      </c>
      <c r="G532" s="231"/>
      <c r="H532" s="242"/>
      <c r="I532" s="171" t="s">
        <v>108</v>
      </c>
    </row>
    <row r="533" spans="2:9" ht="15.75" customHeight="1" x14ac:dyDescent="0.25">
      <c r="B533" s="89" t="s">
        <v>523</v>
      </c>
      <c r="C533" s="234"/>
      <c r="D533" s="234"/>
      <c r="E533" s="235"/>
      <c r="F533" s="232">
        <v>0</v>
      </c>
      <c r="G533" s="231"/>
      <c r="H533" s="242"/>
      <c r="I533" s="171" t="s">
        <v>108</v>
      </c>
    </row>
    <row r="534" spans="2:9" ht="89.25" customHeight="1" x14ac:dyDescent="0.25">
      <c r="B534" s="90" t="s">
        <v>524</v>
      </c>
      <c r="C534" s="234"/>
      <c r="D534" s="234"/>
      <c r="E534" s="235"/>
      <c r="F534" s="232" t="s">
        <v>525</v>
      </c>
      <c r="G534" s="231"/>
      <c r="H534" s="242"/>
      <c r="I534" s="171" t="s">
        <v>10</v>
      </c>
    </row>
    <row r="535" spans="2:9" ht="51" customHeight="1" x14ac:dyDescent="0.25">
      <c r="B535" s="89" t="s">
        <v>95</v>
      </c>
      <c r="C535" s="234"/>
      <c r="D535" s="234"/>
      <c r="E535" s="235"/>
      <c r="F535" s="232" t="s">
        <v>526</v>
      </c>
      <c r="G535" s="231"/>
      <c r="H535" s="242"/>
      <c r="I535" s="171" t="s">
        <v>10</v>
      </c>
    </row>
    <row r="536" spans="2:9" ht="15.75" customHeight="1" x14ac:dyDescent="0.25">
      <c r="B536" s="120" t="s">
        <v>26</v>
      </c>
      <c r="C536" s="234"/>
      <c r="D536" s="234"/>
      <c r="E536" s="235"/>
      <c r="F536" s="232" t="s">
        <v>507</v>
      </c>
      <c r="G536" s="231"/>
      <c r="H536" s="242"/>
      <c r="I536" s="58" t="s">
        <v>10</v>
      </c>
    </row>
    <row r="537" spans="2:9" ht="25.5" customHeight="1" x14ac:dyDescent="0.25">
      <c r="B537" s="120" t="s">
        <v>28</v>
      </c>
      <c r="C537" s="234"/>
      <c r="D537" s="234"/>
      <c r="E537" s="235"/>
      <c r="F537" s="232" t="s">
        <v>527</v>
      </c>
      <c r="G537" s="231"/>
      <c r="H537" s="242"/>
      <c r="I537" s="58" t="s">
        <v>10</v>
      </c>
    </row>
    <row r="538" spans="2:9" ht="15.75" customHeight="1" x14ac:dyDescent="0.25">
      <c r="B538" s="106" t="s">
        <v>82</v>
      </c>
      <c r="C538" s="234"/>
      <c r="D538" s="234"/>
      <c r="E538" s="235"/>
      <c r="F538" s="232" t="s">
        <v>528</v>
      </c>
      <c r="G538" s="231"/>
      <c r="H538" s="242"/>
      <c r="I538" s="59" t="s">
        <v>10</v>
      </c>
    </row>
    <row r="539" spans="2:9" ht="15.75" customHeight="1" x14ac:dyDescent="0.25">
      <c r="B539" s="106" t="s">
        <v>52</v>
      </c>
      <c r="C539" s="234"/>
      <c r="D539" s="234"/>
      <c r="E539" s="235"/>
      <c r="F539" s="232" t="s">
        <v>529</v>
      </c>
      <c r="G539" s="231"/>
      <c r="H539" s="242"/>
      <c r="I539" s="59" t="s">
        <v>10</v>
      </c>
    </row>
    <row r="540" spans="2:9" ht="15.75" customHeight="1" x14ac:dyDescent="0.25">
      <c r="B540" s="106" t="s">
        <v>85</v>
      </c>
      <c r="C540" s="234"/>
      <c r="D540" s="234"/>
      <c r="E540" s="235"/>
      <c r="F540" s="232" t="s">
        <v>530</v>
      </c>
      <c r="G540" s="231"/>
      <c r="H540" s="242"/>
      <c r="I540" s="59" t="s">
        <v>10</v>
      </c>
    </row>
    <row r="541" spans="2:9" ht="15.75" customHeight="1" x14ac:dyDescent="0.25">
      <c r="B541" s="120" t="s">
        <v>30</v>
      </c>
      <c r="C541" s="234"/>
      <c r="D541" s="234"/>
      <c r="E541" s="235"/>
      <c r="F541" s="232" t="s">
        <v>531</v>
      </c>
      <c r="G541" s="231"/>
      <c r="H541" s="242"/>
      <c r="I541" s="58" t="s">
        <v>10</v>
      </c>
    </row>
    <row r="542" spans="2:9" ht="15.75" customHeight="1" x14ac:dyDescent="0.25">
      <c r="B542" s="106" t="s">
        <v>41</v>
      </c>
      <c r="C542" s="234"/>
      <c r="D542" s="234"/>
      <c r="E542" s="235"/>
      <c r="F542" s="232" t="s">
        <v>531</v>
      </c>
      <c r="G542" s="231"/>
      <c r="H542" s="242"/>
      <c r="I542" s="59" t="s">
        <v>10</v>
      </c>
    </row>
    <row r="543" spans="2:9" ht="25.5" customHeight="1" x14ac:dyDescent="0.25">
      <c r="B543" s="120" t="s">
        <v>233</v>
      </c>
      <c r="C543" s="234"/>
      <c r="D543" s="234"/>
      <c r="E543" s="235"/>
      <c r="F543" s="232" t="s">
        <v>510</v>
      </c>
      <c r="G543" s="231"/>
      <c r="H543" s="242"/>
      <c r="I543" s="58" t="s">
        <v>10</v>
      </c>
    </row>
    <row r="544" spans="2:9" ht="15.75" customHeight="1" x14ac:dyDescent="0.25">
      <c r="B544" s="108" t="s">
        <v>532</v>
      </c>
      <c r="C544" s="234"/>
      <c r="D544" s="234"/>
      <c r="E544" s="235"/>
      <c r="F544" s="232" t="s">
        <v>533</v>
      </c>
      <c r="G544" s="231"/>
      <c r="H544" s="242"/>
      <c r="I544" s="59" t="s">
        <v>108</v>
      </c>
    </row>
    <row r="545" spans="2:9" ht="15.75" customHeight="1" x14ac:dyDescent="0.25">
      <c r="B545" s="108" t="s">
        <v>534</v>
      </c>
      <c r="C545" s="234"/>
      <c r="D545" s="234"/>
      <c r="E545" s="235"/>
      <c r="F545" s="232" t="s">
        <v>535</v>
      </c>
      <c r="G545" s="231"/>
      <c r="H545" s="242"/>
      <c r="I545" s="59" t="s">
        <v>108</v>
      </c>
    </row>
    <row r="546" spans="2:9" ht="15.75" customHeight="1" x14ac:dyDescent="0.25">
      <c r="B546" s="108" t="s">
        <v>536</v>
      </c>
      <c r="C546" s="234"/>
      <c r="D546" s="234"/>
      <c r="E546" s="235"/>
      <c r="F546" s="232" t="s">
        <v>537</v>
      </c>
      <c r="G546" s="231"/>
      <c r="H546" s="242"/>
      <c r="I546" s="59" t="s">
        <v>108</v>
      </c>
    </row>
    <row r="547" spans="2:9" ht="15.75" customHeight="1" x14ac:dyDescent="0.25">
      <c r="B547" s="120" t="s">
        <v>235</v>
      </c>
      <c r="C547" s="234"/>
      <c r="D547" s="234"/>
      <c r="E547" s="235"/>
      <c r="F547" s="232" t="s">
        <v>511</v>
      </c>
      <c r="G547" s="231"/>
      <c r="H547" s="242"/>
      <c r="I547" s="58" t="s">
        <v>10</v>
      </c>
    </row>
    <row r="548" spans="2:9" ht="15.75" customHeight="1" x14ac:dyDescent="0.25">
      <c r="B548" s="89" t="s">
        <v>127</v>
      </c>
      <c r="C548" s="234"/>
      <c r="D548" s="234"/>
      <c r="E548" s="235"/>
      <c r="F548" s="232">
        <v>0</v>
      </c>
      <c r="G548" s="231"/>
      <c r="H548" s="242"/>
      <c r="I548" s="171" t="s">
        <v>108</v>
      </c>
    </row>
    <row r="549" spans="2:9" ht="15.75" customHeight="1" x14ac:dyDescent="0.25">
      <c r="B549" s="106" t="s">
        <v>538</v>
      </c>
      <c r="C549" s="234"/>
      <c r="D549" s="234"/>
      <c r="E549" s="235"/>
      <c r="F549" s="232">
        <v>0</v>
      </c>
      <c r="G549" s="231"/>
      <c r="H549" s="242"/>
      <c r="I549" s="59" t="s">
        <v>10</v>
      </c>
    </row>
    <row r="550" spans="2:9" ht="15.75" customHeight="1" x14ac:dyDescent="0.25">
      <c r="B550" s="89" t="s">
        <v>104</v>
      </c>
      <c r="C550" s="234"/>
      <c r="D550" s="234"/>
      <c r="E550" s="235"/>
      <c r="F550" s="232" t="s">
        <v>517</v>
      </c>
      <c r="G550" s="231"/>
      <c r="H550" s="242"/>
      <c r="I550" s="171" t="s">
        <v>108</v>
      </c>
    </row>
    <row r="551" spans="2:9" ht="15.75" customHeight="1" x14ac:dyDescent="0.25">
      <c r="B551" s="106" t="s">
        <v>133</v>
      </c>
      <c r="C551" s="234"/>
      <c r="D551" s="234"/>
      <c r="E551" s="235"/>
      <c r="F551" s="232" t="s">
        <v>539</v>
      </c>
      <c r="G551" s="231"/>
      <c r="H551" s="242"/>
      <c r="I551" s="59" t="s">
        <v>10</v>
      </c>
    </row>
    <row r="552" spans="2:9" ht="15.75" customHeight="1" x14ac:dyDescent="0.25">
      <c r="B552" s="106" t="s">
        <v>135</v>
      </c>
      <c r="C552" s="234"/>
      <c r="D552" s="234"/>
      <c r="E552" s="235"/>
      <c r="F552" s="232">
        <v>0</v>
      </c>
      <c r="G552" s="231"/>
      <c r="H552" s="242"/>
      <c r="I552" s="59" t="s">
        <v>10</v>
      </c>
    </row>
    <row r="553" spans="2:9" ht="15.75" customHeight="1" x14ac:dyDescent="0.25">
      <c r="B553" s="89" t="s">
        <v>106</v>
      </c>
      <c r="C553" s="234"/>
      <c r="D553" s="234"/>
      <c r="E553" s="235"/>
      <c r="F553" s="232" t="s">
        <v>518</v>
      </c>
      <c r="G553" s="231"/>
      <c r="H553" s="242"/>
      <c r="I553" s="171" t="s">
        <v>108</v>
      </c>
    </row>
    <row r="554" spans="2:9" ht="15.75" customHeight="1" x14ac:dyDescent="0.25">
      <c r="B554" s="106" t="s">
        <v>540</v>
      </c>
      <c r="C554" s="234"/>
      <c r="D554" s="234"/>
      <c r="E554" s="235"/>
      <c r="F554" s="232" t="s">
        <v>518</v>
      </c>
      <c r="G554" s="231"/>
      <c r="H554" s="242"/>
      <c r="I554" s="59" t="s">
        <v>10</v>
      </c>
    </row>
    <row r="555" spans="2:9" ht="15.75" customHeight="1" x14ac:dyDescent="0.25">
      <c r="B555" s="89" t="s">
        <v>109</v>
      </c>
      <c r="C555" s="234"/>
      <c r="D555" s="234"/>
      <c r="E555" s="235"/>
      <c r="F555" s="232" t="s">
        <v>541</v>
      </c>
      <c r="G555" s="231"/>
      <c r="H555" s="242"/>
      <c r="I555" s="171" t="s">
        <v>108</v>
      </c>
    </row>
    <row r="556" spans="2:9" ht="15.75" customHeight="1" x14ac:dyDescent="0.25">
      <c r="B556" s="106" t="s">
        <v>542</v>
      </c>
      <c r="C556" s="234"/>
      <c r="D556" s="234"/>
      <c r="E556" s="235"/>
      <c r="F556" s="232" t="s">
        <v>543</v>
      </c>
      <c r="G556" s="231"/>
      <c r="H556" s="242"/>
      <c r="I556" s="59" t="s">
        <v>10</v>
      </c>
    </row>
    <row r="557" spans="2:9" ht="15.75" customHeight="1" x14ac:dyDescent="0.25">
      <c r="B557" s="106" t="s">
        <v>544</v>
      </c>
      <c r="C557" s="234"/>
      <c r="D557" s="234"/>
      <c r="E557" s="235"/>
      <c r="F557" s="232" t="s">
        <v>545</v>
      </c>
      <c r="G557" s="231"/>
      <c r="H557" s="242"/>
      <c r="I557" s="59" t="s">
        <v>10</v>
      </c>
    </row>
    <row r="558" spans="2:9" ht="15.75" customHeight="1" x14ac:dyDescent="0.25">
      <c r="B558" s="106" t="s">
        <v>546</v>
      </c>
      <c r="C558" s="234"/>
      <c r="D558" s="234"/>
      <c r="E558" s="235"/>
      <c r="F558" s="232" t="s">
        <v>547</v>
      </c>
      <c r="G558" s="231"/>
      <c r="H558" s="242"/>
      <c r="I558" s="59" t="s">
        <v>10</v>
      </c>
    </row>
    <row r="559" spans="2:9" ht="15.75" customHeight="1" x14ac:dyDescent="0.25">
      <c r="B559" s="89" t="s">
        <v>35</v>
      </c>
      <c r="C559" s="234"/>
      <c r="D559" s="234"/>
      <c r="E559" s="235"/>
      <c r="F559" s="232" t="s">
        <v>521</v>
      </c>
      <c r="G559" s="231"/>
      <c r="H559" s="242"/>
      <c r="I559" s="171" t="s">
        <v>108</v>
      </c>
    </row>
    <row r="560" spans="2:9" ht="15.75" customHeight="1" x14ac:dyDescent="0.25">
      <c r="B560" s="120" t="s">
        <v>36</v>
      </c>
      <c r="C560" s="234"/>
      <c r="D560" s="234"/>
      <c r="E560" s="235"/>
      <c r="F560" s="232" t="s">
        <v>521</v>
      </c>
      <c r="G560" s="231"/>
      <c r="H560" s="242"/>
      <c r="I560" s="58" t="s">
        <v>108</v>
      </c>
    </row>
    <row r="561" spans="2:9" ht="15.75" customHeight="1" x14ac:dyDescent="0.25">
      <c r="B561" s="89" t="s">
        <v>522</v>
      </c>
      <c r="C561" s="234"/>
      <c r="D561" s="234"/>
      <c r="E561" s="235"/>
      <c r="F561" s="232">
        <v>0</v>
      </c>
      <c r="G561" s="231"/>
      <c r="H561" s="242"/>
      <c r="I561" s="171" t="s">
        <v>10</v>
      </c>
    </row>
    <row r="562" spans="2:9" ht="15.75" customHeight="1" x14ac:dyDescent="0.25">
      <c r="B562" s="89" t="s">
        <v>523</v>
      </c>
      <c r="C562" s="234"/>
      <c r="D562" s="234"/>
      <c r="E562" s="235"/>
      <c r="F562" s="232">
        <v>0</v>
      </c>
      <c r="G562" s="231"/>
      <c r="H562" s="242"/>
      <c r="I562" s="171" t="s">
        <v>108</v>
      </c>
    </row>
    <row r="563" spans="2:9" ht="102" customHeight="1" x14ac:dyDescent="0.25">
      <c r="B563" s="90" t="s">
        <v>548</v>
      </c>
      <c r="C563" s="234"/>
      <c r="D563" s="234"/>
      <c r="E563" s="235"/>
      <c r="F563" s="232" t="s">
        <v>549</v>
      </c>
      <c r="G563" s="231"/>
      <c r="H563" s="242"/>
      <c r="I563" s="171" t="s">
        <v>10</v>
      </c>
    </row>
    <row r="564" spans="2:9" ht="15.75" customHeight="1" x14ac:dyDescent="0.25">
      <c r="B564" s="89" t="s">
        <v>48</v>
      </c>
      <c r="C564" s="234"/>
      <c r="D564" s="234"/>
      <c r="E564" s="235">
        <v>99</v>
      </c>
      <c r="F564" s="232"/>
      <c r="G564" s="231"/>
      <c r="H564" s="242"/>
      <c r="I564" s="171" t="s">
        <v>10</v>
      </c>
    </row>
    <row r="565" spans="2:9" ht="15.75" customHeight="1" x14ac:dyDescent="0.25">
      <c r="B565" s="120" t="s">
        <v>26</v>
      </c>
      <c r="C565" s="234"/>
      <c r="D565" s="234"/>
      <c r="E565" s="235">
        <v>100</v>
      </c>
      <c r="F565" s="232"/>
      <c r="G565" s="231"/>
      <c r="H565" s="242"/>
      <c r="I565" s="58" t="s">
        <v>10</v>
      </c>
    </row>
    <row r="566" spans="2:9" ht="25.5" customHeight="1" x14ac:dyDescent="0.25">
      <c r="B566" s="89" t="s">
        <v>95</v>
      </c>
      <c r="C566" s="234"/>
      <c r="D566" s="234"/>
      <c r="E566" s="235"/>
      <c r="F566" s="232" t="s">
        <v>550</v>
      </c>
      <c r="G566" s="231"/>
      <c r="H566" s="242"/>
      <c r="I566" s="171" t="s">
        <v>10</v>
      </c>
    </row>
    <row r="567" spans="2:9" ht="25.5" customHeight="1" x14ac:dyDescent="0.25">
      <c r="B567" s="120" t="s">
        <v>180</v>
      </c>
      <c r="C567" s="234"/>
      <c r="D567" s="234"/>
      <c r="E567" s="235"/>
      <c r="F567" s="232" t="s">
        <v>550</v>
      </c>
      <c r="G567" s="231"/>
      <c r="H567" s="242"/>
      <c r="I567" s="58" t="s">
        <v>10</v>
      </c>
    </row>
    <row r="568" spans="2:9" ht="15.75" customHeight="1" x14ac:dyDescent="0.25">
      <c r="B568" s="106" t="s">
        <v>82</v>
      </c>
      <c r="C568" s="234"/>
      <c r="D568" s="234"/>
      <c r="E568" s="235"/>
      <c r="F568" s="232" t="s">
        <v>551</v>
      </c>
      <c r="G568" s="231"/>
      <c r="H568" s="242"/>
      <c r="I568" s="59" t="s">
        <v>10</v>
      </c>
    </row>
    <row r="569" spans="2:9" ht="15.75" customHeight="1" x14ac:dyDescent="0.25">
      <c r="B569" s="106" t="s">
        <v>479</v>
      </c>
      <c r="C569" s="234"/>
      <c r="D569" s="234"/>
      <c r="E569" s="235"/>
      <c r="F569" s="232">
        <v>0</v>
      </c>
      <c r="G569" s="231"/>
      <c r="H569" s="242"/>
      <c r="I569" s="59" t="s">
        <v>10</v>
      </c>
    </row>
    <row r="570" spans="2:9" ht="15.75" customHeight="1" x14ac:dyDescent="0.25">
      <c r="B570" s="106" t="s">
        <v>481</v>
      </c>
      <c r="C570" s="234"/>
      <c r="D570" s="234"/>
      <c r="E570" s="235"/>
      <c r="F570" s="232" t="s">
        <v>552</v>
      </c>
      <c r="G570" s="231"/>
      <c r="H570" s="242"/>
      <c r="I570" s="59" t="s">
        <v>10</v>
      </c>
    </row>
    <row r="571" spans="2:9" ht="15.75" customHeight="1" x14ac:dyDescent="0.25">
      <c r="B571" s="106" t="s">
        <v>52</v>
      </c>
      <c r="C571" s="234"/>
      <c r="D571" s="234"/>
      <c r="E571" s="235"/>
      <c r="F571" s="232" t="s">
        <v>553</v>
      </c>
      <c r="G571" s="231"/>
      <c r="H571" s="242"/>
      <c r="I571" s="59" t="s">
        <v>10</v>
      </c>
    </row>
    <row r="572" spans="2:9" ht="15.75" customHeight="1" x14ac:dyDescent="0.25">
      <c r="B572" s="106" t="s">
        <v>85</v>
      </c>
      <c r="C572" s="234"/>
      <c r="D572" s="234"/>
      <c r="E572" s="235"/>
      <c r="F572" s="232" t="s">
        <v>554</v>
      </c>
      <c r="G572" s="231"/>
      <c r="H572" s="242"/>
      <c r="I572" s="59" t="s">
        <v>10</v>
      </c>
    </row>
    <row r="573" spans="2:9" ht="25.5" customHeight="1" x14ac:dyDescent="0.25">
      <c r="B573" s="89" t="s">
        <v>127</v>
      </c>
      <c r="C573" s="234"/>
      <c r="D573" s="234"/>
      <c r="E573" s="235"/>
      <c r="F573" s="232" t="s">
        <v>555</v>
      </c>
      <c r="G573" s="231"/>
      <c r="H573" s="242"/>
      <c r="I573" s="171" t="s">
        <v>108</v>
      </c>
    </row>
    <row r="574" spans="2:9" ht="15.75" customHeight="1" x14ac:dyDescent="0.25">
      <c r="B574" s="75" t="s">
        <v>556</v>
      </c>
      <c r="C574" s="234"/>
      <c r="D574" s="234"/>
      <c r="E574" s="235"/>
      <c r="F574" s="232" t="s">
        <v>557</v>
      </c>
      <c r="G574" s="231"/>
      <c r="H574" s="242"/>
      <c r="I574" s="58" t="s">
        <v>10</v>
      </c>
    </row>
    <row r="575" spans="2:9" ht="25.5" customHeight="1" x14ac:dyDescent="0.25">
      <c r="B575" s="109" t="s">
        <v>558</v>
      </c>
      <c r="C575" s="234"/>
      <c r="D575" s="234"/>
      <c r="E575" s="235"/>
      <c r="F575" s="232" t="s">
        <v>559</v>
      </c>
      <c r="G575" s="231"/>
      <c r="H575" s="242"/>
      <c r="I575" s="59" t="s">
        <v>10</v>
      </c>
    </row>
    <row r="576" spans="2:9" ht="15.75" customHeight="1" x14ac:dyDescent="0.25">
      <c r="B576" s="89" t="s">
        <v>41</v>
      </c>
      <c r="C576" s="234"/>
      <c r="D576" s="234"/>
      <c r="E576" s="235"/>
      <c r="F576" s="232" t="s">
        <v>513</v>
      </c>
      <c r="G576" s="231"/>
      <c r="H576" s="242"/>
      <c r="I576" s="171" t="s">
        <v>10</v>
      </c>
    </row>
    <row r="577" spans="2:9" ht="15.75" customHeight="1" x14ac:dyDescent="0.25">
      <c r="B577" s="106" t="s">
        <v>514</v>
      </c>
      <c r="C577" s="234"/>
      <c r="D577" s="234"/>
      <c r="E577" s="235"/>
      <c r="F577" s="232" t="s">
        <v>515</v>
      </c>
      <c r="G577" s="231"/>
      <c r="H577" s="242"/>
      <c r="I577" s="59" t="s">
        <v>10</v>
      </c>
    </row>
    <row r="578" spans="2:9" ht="15.75" customHeight="1" x14ac:dyDescent="0.25">
      <c r="B578" s="106" t="s">
        <v>560</v>
      </c>
      <c r="C578" s="234"/>
      <c r="D578" s="234"/>
      <c r="E578" s="235"/>
      <c r="F578" s="232" t="s">
        <v>561</v>
      </c>
      <c r="G578" s="231"/>
      <c r="H578" s="242"/>
      <c r="I578" s="59" t="s">
        <v>10</v>
      </c>
    </row>
    <row r="579" spans="2:9" ht="25.5" customHeight="1" x14ac:dyDescent="0.25">
      <c r="B579" s="89" t="s">
        <v>102</v>
      </c>
      <c r="C579" s="234"/>
      <c r="D579" s="234"/>
      <c r="E579" s="235"/>
      <c r="F579" s="232" t="s">
        <v>516</v>
      </c>
      <c r="G579" s="231"/>
      <c r="H579" s="242"/>
      <c r="I579" s="171" t="s">
        <v>10</v>
      </c>
    </row>
    <row r="580" spans="2:9" ht="15.75" customHeight="1" x14ac:dyDescent="0.25">
      <c r="B580" s="110" t="s">
        <v>562</v>
      </c>
      <c r="C580" s="234"/>
      <c r="D580" s="234"/>
      <c r="E580" s="235"/>
      <c r="F580" s="232" t="s">
        <v>563</v>
      </c>
      <c r="G580" s="231"/>
      <c r="H580" s="242"/>
      <c r="I580" s="59" t="s">
        <v>10</v>
      </c>
    </row>
    <row r="581" spans="2:9" ht="15.75" customHeight="1" x14ac:dyDescent="0.25">
      <c r="B581" s="106" t="s">
        <v>564</v>
      </c>
      <c r="C581" s="234"/>
      <c r="D581" s="234"/>
      <c r="E581" s="235"/>
      <c r="F581" s="232" t="s">
        <v>183</v>
      </c>
      <c r="G581" s="231"/>
      <c r="H581" s="242"/>
      <c r="I581" s="59" t="s">
        <v>10</v>
      </c>
    </row>
    <row r="582" spans="2:9" ht="15.75" customHeight="1" x14ac:dyDescent="0.25">
      <c r="B582" s="89" t="s">
        <v>56</v>
      </c>
      <c r="C582" s="234"/>
      <c r="D582" s="234"/>
      <c r="E582" s="235"/>
      <c r="F582" s="232" t="s">
        <v>565</v>
      </c>
      <c r="G582" s="231"/>
      <c r="H582" s="242"/>
      <c r="I582" s="171" t="s">
        <v>10</v>
      </c>
    </row>
    <row r="583" spans="2:9" ht="15.75" customHeight="1" x14ac:dyDescent="0.25">
      <c r="B583" s="120" t="s">
        <v>28</v>
      </c>
      <c r="C583" s="234"/>
      <c r="D583" s="234"/>
      <c r="E583" s="235"/>
      <c r="F583" s="232" t="s">
        <v>565</v>
      </c>
      <c r="G583" s="231"/>
      <c r="H583" s="242"/>
      <c r="I583" s="58" t="s">
        <v>10</v>
      </c>
    </row>
    <row r="584" spans="2:9" ht="25.5" customHeight="1" x14ac:dyDescent="0.25">
      <c r="B584" s="89" t="s">
        <v>109</v>
      </c>
      <c r="C584" s="234"/>
      <c r="D584" s="234"/>
      <c r="E584" s="235"/>
      <c r="F584" s="232" t="s">
        <v>566</v>
      </c>
      <c r="G584" s="231"/>
      <c r="H584" s="242"/>
      <c r="I584" s="171" t="s">
        <v>108</v>
      </c>
    </row>
    <row r="585" spans="2:9" ht="15.75" customHeight="1" x14ac:dyDescent="0.25">
      <c r="B585" s="111" t="s">
        <v>151</v>
      </c>
      <c r="C585" s="234"/>
      <c r="D585" s="234"/>
      <c r="E585" s="235"/>
      <c r="F585" s="232" t="s">
        <v>567</v>
      </c>
      <c r="G585" s="231"/>
      <c r="H585" s="242"/>
      <c r="I585" s="59" t="s">
        <v>10</v>
      </c>
    </row>
    <row r="586" spans="2:9" ht="15.75" customHeight="1" x14ac:dyDescent="0.25">
      <c r="B586" s="106" t="s">
        <v>568</v>
      </c>
      <c r="C586" s="234"/>
      <c r="D586" s="234"/>
      <c r="E586" s="235"/>
      <c r="F586" s="232" t="s">
        <v>206</v>
      </c>
      <c r="G586" s="231"/>
      <c r="H586" s="242"/>
      <c r="I586" s="59" t="s">
        <v>10</v>
      </c>
    </row>
    <row r="587" spans="2:9" ht="15.75" customHeight="1" x14ac:dyDescent="0.25">
      <c r="B587" s="106" t="s">
        <v>569</v>
      </c>
      <c r="C587" s="234"/>
      <c r="D587" s="234"/>
      <c r="E587" s="235"/>
      <c r="F587" s="232" t="s">
        <v>570</v>
      </c>
      <c r="G587" s="231"/>
      <c r="H587" s="242"/>
      <c r="I587" s="59" t="s">
        <v>10</v>
      </c>
    </row>
    <row r="588" spans="2:9" ht="15.75" customHeight="1" x14ac:dyDescent="0.25">
      <c r="B588" s="89" t="s">
        <v>111</v>
      </c>
      <c r="C588" s="234"/>
      <c r="D588" s="234"/>
      <c r="E588" s="235"/>
      <c r="F588" s="232" t="s">
        <v>520</v>
      </c>
      <c r="G588" s="231"/>
      <c r="H588" s="242"/>
      <c r="I588" s="171" t="s">
        <v>108</v>
      </c>
    </row>
    <row r="589" spans="2:9" ht="15.75" customHeight="1" x14ac:dyDescent="0.25">
      <c r="B589" s="102" t="s">
        <v>571</v>
      </c>
      <c r="C589" s="234"/>
      <c r="D589" s="234"/>
      <c r="E589" s="235"/>
      <c r="F589" s="232" t="s">
        <v>572</v>
      </c>
      <c r="G589" s="231"/>
      <c r="H589" s="242"/>
      <c r="I589" s="59" t="s">
        <v>10</v>
      </c>
    </row>
    <row r="590" spans="2:9" ht="15.75" customHeight="1" x14ac:dyDescent="0.25">
      <c r="B590" s="102" t="s">
        <v>573</v>
      </c>
      <c r="C590" s="234"/>
      <c r="D590" s="234"/>
      <c r="E590" s="235"/>
      <c r="F590" s="232" t="s">
        <v>574</v>
      </c>
      <c r="G590" s="231"/>
      <c r="H590" s="242"/>
      <c r="I590" s="59" t="s">
        <v>10</v>
      </c>
    </row>
    <row r="591" spans="2:9" ht="15.75" customHeight="1" x14ac:dyDescent="0.25">
      <c r="B591" s="102" t="s">
        <v>152</v>
      </c>
      <c r="C591" s="234"/>
      <c r="D591" s="234"/>
      <c r="E591" s="235"/>
      <c r="F591" s="232" t="s">
        <v>575</v>
      </c>
      <c r="G591" s="231"/>
      <c r="H591" s="242"/>
      <c r="I591" s="59" t="s">
        <v>10</v>
      </c>
    </row>
    <row r="592" spans="2:9" ht="15.75" customHeight="1" x14ac:dyDescent="0.25">
      <c r="B592" s="102" t="s">
        <v>576</v>
      </c>
      <c r="C592" s="234"/>
      <c r="D592" s="234"/>
      <c r="E592" s="235"/>
      <c r="F592" s="232" t="s">
        <v>577</v>
      </c>
      <c r="G592" s="231"/>
      <c r="H592" s="242"/>
      <c r="I592" s="59" t="s">
        <v>10</v>
      </c>
    </row>
    <row r="593" spans="2:9" ht="15.75" customHeight="1" x14ac:dyDescent="0.25">
      <c r="B593" s="89" t="s">
        <v>64</v>
      </c>
      <c r="C593" s="234"/>
      <c r="D593" s="234"/>
      <c r="E593" s="235"/>
      <c r="F593" s="232" t="s">
        <v>578</v>
      </c>
      <c r="G593" s="231"/>
      <c r="H593" s="242"/>
      <c r="I593" s="171" t="s">
        <v>10</v>
      </c>
    </row>
    <row r="594" spans="2:9" ht="15.75" customHeight="1" x14ac:dyDescent="0.25">
      <c r="B594" s="120" t="s">
        <v>30</v>
      </c>
      <c r="C594" s="234"/>
      <c r="D594" s="234"/>
      <c r="E594" s="235"/>
      <c r="F594" s="232" t="s">
        <v>578</v>
      </c>
      <c r="G594" s="231"/>
      <c r="H594" s="242"/>
      <c r="I594" s="58" t="s">
        <v>10</v>
      </c>
    </row>
    <row r="595" spans="2:9" ht="15.75" customHeight="1" x14ac:dyDescent="0.25">
      <c r="B595" s="106" t="s">
        <v>375</v>
      </c>
      <c r="C595" s="234"/>
      <c r="D595" s="234"/>
      <c r="E595" s="235"/>
      <c r="F595" s="232" t="s">
        <v>578</v>
      </c>
      <c r="G595" s="231"/>
      <c r="H595" s="242"/>
      <c r="I595" s="59" t="s">
        <v>10</v>
      </c>
    </row>
    <row r="596" spans="2:9" ht="15.75" customHeight="1" x14ac:dyDescent="0.25">
      <c r="B596" s="106"/>
      <c r="C596" s="234"/>
      <c r="D596" s="234"/>
      <c r="E596" s="235">
        <v>101</v>
      </c>
      <c r="F596" s="232"/>
      <c r="G596" s="231"/>
      <c r="H596" s="242"/>
      <c r="I596" s="171"/>
    </row>
    <row r="597" spans="2:9" ht="15.75" customHeight="1" x14ac:dyDescent="0.25">
      <c r="B597" s="88" t="s">
        <v>579</v>
      </c>
      <c r="C597" s="234"/>
      <c r="D597" s="234"/>
      <c r="E597" s="235">
        <v>102</v>
      </c>
      <c r="F597" s="232"/>
      <c r="G597" s="231"/>
      <c r="H597" s="242"/>
      <c r="I597" s="171"/>
    </row>
    <row r="598" spans="2:9" ht="191.25" customHeight="1" x14ac:dyDescent="0.25">
      <c r="B598" s="88" t="s">
        <v>580</v>
      </c>
      <c r="C598" s="234"/>
      <c r="D598" s="234"/>
      <c r="E598" s="235"/>
      <c r="F598" s="232" t="s">
        <v>581</v>
      </c>
      <c r="G598" s="231"/>
      <c r="H598" s="242"/>
      <c r="I598" s="171" t="s">
        <v>10</v>
      </c>
    </row>
    <row r="599" spans="2:9" ht="76.5" customHeight="1" x14ac:dyDescent="0.25">
      <c r="B599" s="89" t="s">
        <v>95</v>
      </c>
      <c r="C599" s="234"/>
      <c r="D599" s="234"/>
      <c r="E599" s="235"/>
      <c r="F599" s="232" t="s">
        <v>582</v>
      </c>
      <c r="G599" s="231"/>
      <c r="H599" s="242"/>
      <c r="I599" s="171" t="s">
        <v>10</v>
      </c>
    </row>
    <row r="600" spans="2:9" ht="15.75" customHeight="1" x14ac:dyDescent="0.25">
      <c r="B600" s="120" t="s">
        <v>26</v>
      </c>
      <c r="C600" s="234"/>
      <c r="D600" s="234"/>
      <c r="E600" s="235"/>
      <c r="F600" s="232" t="s">
        <v>583</v>
      </c>
      <c r="G600" s="231"/>
      <c r="H600" s="242"/>
      <c r="I600" s="58" t="s">
        <v>10</v>
      </c>
    </row>
    <row r="601" spans="2:9" ht="25.5" customHeight="1" x14ac:dyDescent="0.25">
      <c r="B601" s="112" t="s">
        <v>584</v>
      </c>
      <c r="C601" s="234"/>
      <c r="D601" s="234"/>
      <c r="E601" s="235"/>
      <c r="F601" s="232" t="s">
        <v>585</v>
      </c>
      <c r="G601" s="231"/>
      <c r="H601" s="242"/>
      <c r="I601" s="100"/>
    </row>
    <row r="602" spans="2:9" ht="38.25" customHeight="1" x14ac:dyDescent="0.25">
      <c r="B602" s="120" t="s">
        <v>28</v>
      </c>
      <c r="C602" s="234"/>
      <c r="D602" s="234"/>
      <c r="E602" s="235"/>
      <c r="F602" s="232" t="s">
        <v>586</v>
      </c>
      <c r="G602" s="231"/>
      <c r="H602" s="242"/>
      <c r="I602" s="58" t="s">
        <v>10</v>
      </c>
    </row>
    <row r="603" spans="2:9" ht="15.75" customHeight="1" x14ac:dyDescent="0.25">
      <c r="B603" s="120" t="s">
        <v>30</v>
      </c>
      <c r="C603" s="234"/>
      <c r="D603" s="234"/>
      <c r="E603" s="235"/>
      <c r="F603" s="232" t="s">
        <v>509</v>
      </c>
      <c r="G603" s="231"/>
      <c r="H603" s="242"/>
      <c r="I603" s="58" t="s">
        <v>10</v>
      </c>
    </row>
    <row r="604" spans="2:9" ht="15.75" customHeight="1" x14ac:dyDescent="0.25">
      <c r="B604" s="120" t="s">
        <v>233</v>
      </c>
      <c r="C604" s="234"/>
      <c r="D604" s="234"/>
      <c r="E604" s="235"/>
      <c r="F604" s="232" t="s">
        <v>587</v>
      </c>
      <c r="G604" s="231"/>
      <c r="H604" s="242"/>
      <c r="I604" s="58" t="s">
        <v>10</v>
      </c>
    </row>
    <row r="605" spans="2:9" ht="15.75" customHeight="1" x14ac:dyDescent="0.25">
      <c r="B605" s="120" t="s">
        <v>235</v>
      </c>
      <c r="C605" s="234"/>
      <c r="D605" s="234"/>
      <c r="E605" s="235"/>
      <c r="F605" s="232" t="s">
        <v>588</v>
      </c>
      <c r="G605" s="231"/>
      <c r="H605" s="242"/>
      <c r="I605" s="58" t="s">
        <v>10</v>
      </c>
    </row>
    <row r="606" spans="2:9" ht="25.5" customHeight="1" x14ac:dyDescent="0.25">
      <c r="B606" s="89" t="s">
        <v>127</v>
      </c>
      <c r="C606" s="234"/>
      <c r="D606" s="234"/>
      <c r="E606" s="235"/>
      <c r="F606" s="232" t="s">
        <v>589</v>
      </c>
      <c r="G606" s="231"/>
      <c r="H606" s="242"/>
      <c r="I606" s="171" t="s">
        <v>108</v>
      </c>
    </row>
    <row r="607" spans="2:9" ht="15.75" customHeight="1" x14ac:dyDescent="0.25">
      <c r="B607" s="89" t="s">
        <v>41</v>
      </c>
      <c r="C607" s="234"/>
      <c r="D607" s="234"/>
      <c r="E607" s="235"/>
      <c r="F607" s="232" t="s">
        <v>590</v>
      </c>
      <c r="G607" s="231"/>
      <c r="H607" s="242"/>
      <c r="I607" s="171" t="s">
        <v>10</v>
      </c>
    </row>
    <row r="608" spans="2:9" ht="15.75" customHeight="1" x14ac:dyDescent="0.25">
      <c r="B608" s="106" t="s">
        <v>514</v>
      </c>
      <c r="C608" s="234"/>
      <c r="D608" s="234"/>
      <c r="E608" s="235"/>
      <c r="F608" s="232" t="s">
        <v>591</v>
      </c>
      <c r="G608" s="231"/>
      <c r="H608" s="242"/>
      <c r="I608" s="59" t="s">
        <v>10</v>
      </c>
    </row>
    <row r="609" spans="2:9" ht="15.75" customHeight="1" x14ac:dyDescent="0.25">
      <c r="B609" s="106" t="s">
        <v>560</v>
      </c>
      <c r="C609" s="234"/>
      <c r="D609" s="234"/>
      <c r="E609" s="235"/>
      <c r="F609" s="232" t="s">
        <v>592</v>
      </c>
      <c r="G609" s="231"/>
      <c r="H609" s="242"/>
      <c r="I609" s="59" t="s">
        <v>10</v>
      </c>
    </row>
    <row r="610" spans="2:9" ht="25.5" customHeight="1" x14ac:dyDescent="0.25">
      <c r="B610" s="89" t="s">
        <v>102</v>
      </c>
      <c r="C610" s="234"/>
      <c r="D610" s="234"/>
      <c r="E610" s="235"/>
      <c r="F610" s="232" t="s">
        <v>593</v>
      </c>
      <c r="G610" s="231"/>
      <c r="H610" s="242"/>
      <c r="I610" s="171" t="s">
        <v>10</v>
      </c>
    </row>
    <row r="611" spans="2:9" ht="63.75" customHeight="1" x14ac:dyDescent="0.25">
      <c r="B611" s="112" t="s">
        <v>584</v>
      </c>
      <c r="C611" s="234"/>
      <c r="D611" s="234"/>
      <c r="E611" s="235"/>
      <c r="F611" s="232" t="s">
        <v>594</v>
      </c>
      <c r="G611" s="231"/>
      <c r="H611" s="242"/>
      <c r="I611" s="100"/>
    </row>
    <row r="612" spans="2:9" ht="25.5" customHeight="1" x14ac:dyDescent="0.25">
      <c r="B612" s="89" t="s">
        <v>104</v>
      </c>
      <c r="C612" s="234"/>
      <c r="D612" s="234"/>
      <c r="E612" s="235"/>
      <c r="F612" s="232" t="s">
        <v>595</v>
      </c>
      <c r="G612" s="231"/>
      <c r="H612" s="242"/>
      <c r="I612" s="171" t="s">
        <v>108</v>
      </c>
    </row>
    <row r="613" spans="2:9" ht="15.75" customHeight="1" x14ac:dyDescent="0.25">
      <c r="B613" s="89" t="s">
        <v>106</v>
      </c>
      <c r="C613" s="234"/>
      <c r="D613" s="234"/>
      <c r="E613" s="235"/>
      <c r="F613" s="232" t="s">
        <v>518</v>
      </c>
      <c r="G613" s="231"/>
      <c r="H613" s="242"/>
      <c r="I613" s="171" t="s">
        <v>108</v>
      </c>
    </row>
    <row r="614" spans="2:9" ht="25.5" customHeight="1" x14ac:dyDescent="0.25">
      <c r="B614" s="89" t="s">
        <v>109</v>
      </c>
      <c r="C614" s="234"/>
      <c r="D614" s="234"/>
      <c r="E614" s="235"/>
      <c r="F614" s="232" t="s">
        <v>596</v>
      </c>
      <c r="G614" s="231"/>
      <c r="H614" s="242"/>
      <c r="I614" s="171" t="s">
        <v>108</v>
      </c>
    </row>
    <row r="615" spans="2:9" ht="15.75" customHeight="1" x14ac:dyDescent="0.25">
      <c r="B615" s="89" t="s">
        <v>111</v>
      </c>
      <c r="C615" s="234"/>
      <c r="D615" s="234"/>
      <c r="E615" s="235"/>
      <c r="F615" s="232" t="s">
        <v>520</v>
      </c>
      <c r="G615" s="231"/>
      <c r="H615" s="242"/>
      <c r="I615" s="171" t="s">
        <v>108</v>
      </c>
    </row>
    <row r="616" spans="2:9" ht="15.75" customHeight="1" x14ac:dyDescent="0.25">
      <c r="B616" s="89" t="s">
        <v>35</v>
      </c>
      <c r="C616" s="234"/>
      <c r="D616" s="234"/>
      <c r="E616" s="235"/>
      <c r="F616" s="232" t="s">
        <v>521</v>
      </c>
      <c r="G616" s="231"/>
      <c r="H616" s="242"/>
      <c r="I616" s="171" t="s">
        <v>108</v>
      </c>
    </row>
    <row r="617" spans="2:9" ht="15.75" customHeight="1" x14ac:dyDescent="0.25">
      <c r="B617" s="120" t="s">
        <v>36</v>
      </c>
      <c r="C617" s="234"/>
      <c r="D617" s="234"/>
      <c r="E617" s="235"/>
      <c r="F617" s="232" t="s">
        <v>521</v>
      </c>
      <c r="G617" s="231"/>
      <c r="H617" s="242"/>
      <c r="I617" s="58" t="s">
        <v>108</v>
      </c>
    </row>
    <row r="618" spans="2:9" ht="15.75" customHeight="1" x14ac:dyDescent="0.25">
      <c r="B618" s="89" t="s">
        <v>522</v>
      </c>
      <c r="C618" s="234"/>
      <c r="D618" s="234"/>
      <c r="E618" s="235"/>
      <c r="F618" s="232">
        <v>0</v>
      </c>
      <c r="G618" s="231"/>
      <c r="H618" s="242"/>
      <c r="I618" s="171" t="s">
        <v>108</v>
      </c>
    </row>
    <row r="619" spans="2:9" ht="15.75" customHeight="1" x14ac:dyDescent="0.25">
      <c r="B619" s="89" t="s">
        <v>523</v>
      </c>
      <c r="C619" s="234"/>
      <c r="D619" s="234"/>
      <c r="E619" s="235"/>
      <c r="F619" s="232">
        <v>0</v>
      </c>
      <c r="G619" s="231"/>
      <c r="H619" s="242"/>
      <c r="I619" s="171" t="s">
        <v>108</v>
      </c>
    </row>
    <row r="620" spans="2:9" ht="114.75" customHeight="1" x14ac:dyDescent="0.25">
      <c r="B620" s="90" t="s">
        <v>597</v>
      </c>
      <c r="C620" s="234"/>
      <c r="D620" s="234"/>
      <c r="E620" s="235"/>
      <c r="F620" s="232" t="s">
        <v>598</v>
      </c>
      <c r="G620" s="231"/>
      <c r="H620" s="242"/>
      <c r="I620" s="171" t="s">
        <v>10</v>
      </c>
    </row>
    <row r="621" spans="2:9" ht="63.75" customHeight="1" x14ac:dyDescent="0.25">
      <c r="B621" s="89" t="s">
        <v>95</v>
      </c>
      <c r="C621" s="234"/>
      <c r="D621" s="234"/>
      <c r="E621" s="235"/>
      <c r="F621" s="232" t="s">
        <v>599</v>
      </c>
      <c r="G621" s="231"/>
      <c r="H621" s="242"/>
      <c r="I621" s="171" t="s">
        <v>10</v>
      </c>
    </row>
    <row r="622" spans="2:9" ht="15.75" customHeight="1" x14ac:dyDescent="0.25">
      <c r="B622" s="120" t="s">
        <v>26</v>
      </c>
      <c r="C622" s="234"/>
      <c r="D622" s="234"/>
      <c r="E622" s="235"/>
      <c r="F622" s="232" t="s">
        <v>600</v>
      </c>
      <c r="G622" s="231"/>
      <c r="H622" s="242"/>
      <c r="I622" s="58" t="s">
        <v>10</v>
      </c>
    </row>
    <row r="623" spans="2:9" ht="15.75" customHeight="1" x14ac:dyDescent="0.25">
      <c r="B623" s="120" t="s">
        <v>601</v>
      </c>
      <c r="C623" s="234"/>
      <c r="D623" s="234"/>
      <c r="E623" s="235"/>
      <c r="F623" s="232" t="s">
        <v>602</v>
      </c>
      <c r="G623" s="231"/>
      <c r="H623" s="242"/>
      <c r="I623" s="171" t="s">
        <v>10</v>
      </c>
    </row>
    <row r="624" spans="2:9" ht="25.5" customHeight="1" x14ac:dyDescent="0.25">
      <c r="B624" s="120" t="s">
        <v>28</v>
      </c>
      <c r="C624" s="234"/>
      <c r="D624" s="234"/>
      <c r="E624" s="235"/>
      <c r="F624" s="232" t="s">
        <v>603</v>
      </c>
      <c r="G624" s="231"/>
      <c r="H624" s="242"/>
      <c r="I624" s="58" t="s">
        <v>10</v>
      </c>
    </row>
    <row r="625" spans="2:9" ht="15.75" customHeight="1" x14ac:dyDescent="0.25">
      <c r="B625" s="106" t="s">
        <v>82</v>
      </c>
      <c r="C625" s="234"/>
      <c r="D625" s="234"/>
      <c r="E625" s="235"/>
      <c r="F625" s="232" t="s">
        <v>604</v>
      </c>
      <c r="G625" s="231"/>
      <c r="H625" s="242"/>
      <c r="I625" s="59" t="s">
        <v>10</v>
      </c>
    </row>
    <row r="626" spans="2:9" ht="15.75" customHeight="1" x14ac:dyDescent="0.25">
      <c r="B626" s="106" t="s">
        <v>52</v>
      </c>
      <c r="C626" s="234"/>
      <c r="D626" s="234"/>
      <c r="E626" s="235"/>
      <c r="F626" s="232" t="s">
        <v>605</v>
      </c>
      <c r="G626" s="231"/>
      <c r="H626" s="242"/>
      <c r="I626" s="59" t="s">
        <v>10</v>
      </c>
    </row>
    <row r="627" spans="2:9" ht="15.75" customHeight="1" x14ac:dyDescent="0.25">
      <c r="B627" s="76" t="s">
        <v>85</v>
      </c>
      <c r="C627" s="234"/>
      <c r="D627" s="234"/>
      <c r="E627" s="235"/>
      <c r="F627" s="232" t="s">
        <v>606</v>
      </c>
      <c r="G627" s="231"/>
      <c r="H627" s="242"/>
      <c r="I627" s="59" t="s">
        <v>10</v>
      </c>
    </row>
    <row r="628" spans="2:9" ht="15.75" customHeight="1" x14ac:dyDescent="0.25">
      <c r="B628" s="120" t="s">
        <v>437</v>
      </c>
      <c r="C628" s="234"/>
      <c r="D628" s="234"/>
      <c r="E628" s="235"/>
      <c r="F628" s="232" t="s">
        <v>531</v>
      </c>
      <c r="G628" s="231"/>
      <c r="H628" s="242"/>
      <c r="I628" s="58" t="s">
        <v>10</v>
      </c>
    </row>
    <row r="629" spans="2:9" ht="15.75" customHeight="1" x14ac:dyDescent="0.25">
      <c r="B629" s="120" t="s">
        <v>233</v>
      </c>
      <c r="C629" s="234"/>
      <c r="D629" s="234"/>
      <c r="E629" s="235"/>
      <c r="F629" s="232" t="s">
        <v>587</v>
      </c>
      <c r="G629" s="231"/>
      <c r="H629" s="242"/>
      <c r="I629" s="58" t="s">
        <v>10</v>
      </c>
    </row>
    <row r="630" spans="2:9" ht="15.75" customHeight="1" x14ac:dyDescent="0.25">
      <c r="B630" s="108" t="s">
        <v>607</v>
      </c>
      <c r="C630" s="234"/>
      <c r="D630" s="234"/>
      <c r="E630" s="235"/>
      <c r="F630" s="232" t="s">
        <v>608</v>
      </c>
      <c r="G630" s="231"/>
      <c r="H630" s="242"/>
      <c r="I630" s="59" t="s">
        <v>10</v>
      </c>
    </row>
    <row r="631" spans="2:9" ht="15.75" customHeight="1" x14ac:dyDescent="0.25">
      <c r="B631" s="108" t="s">
        <v>534</v>
      </c>
      <c r="C631" s="234"/>
      <c r="D631" s="234"/>
      <c r="E631" s="235"/>
      <c r="F631" s="232" t="s">
        <v>609</v>
      </c>
      <c r="G631" s="231"/>
      <c r="H631" s="242"/>
      <c r="I631" s="59" t="s">
        <v>10</v>
      </c>
    </row>
    <row r="632" spans="2:9" ht="15.75" customHeight="1" x14ac:dyDescent="0.25">
      <c r="B632" s="120" t="s">
        <v>235</v>
      </c>
      <c r="C632" s="234"/>
      <c r="D632" s="234"/>
      <c r="E632" s="235"/>
      <c r="F632" s="232" t="s">
        <v>588</v>
      </c>
      <c r="G632" s="231"/>
      <c r="H632" s="242"/>
      <c r="I632" s="58" t="s">
        <v>10</v>
      </c>
    </row>
    <row r="633" spans="2:9" ht="15.75" customHeight="1" x14ac:dyDescent="0.25">
      <c r="B633" s="89" t="s">
        <v>127</v>
      </c>
      <c r="C633" s="234"/>
      <c r="D633" s="234"/>
      <c r="E633" s="235"/>
      <c r="F633" s="232">
        <v>0</v>
      </c>
      <c r="G633" s="231"/>
      <c r="H633" s="242"/>
      <c r="I633" s="171" t="s">
        <v>108</v>
      </c>
    </row>
    <row r="634" spans="2:9" ht="15.75" customHeight="1" x14ac:dyDescent="0.25">
      <c r="B634" s="120" t="s">
        <v>538</v>
      </c>
      <c r="C634" s="234"/>
      <c r="D634" s="234"/>
      <c r="E634" s="235"/>
      <c r="F634" s="232">
        <v>0</v>
      </c>
      <c r="G634" s="231"/>
      <c r="H634" s="242"/>
      <c r="I634" s="58" t="s">
        <v>10</v>
      </c>
    </row>
    <row r="635" spans="2:9" ht="25.5" customHeight="1" x14ac:dyDescent="0.25">
      <c r="B635" s="89" t="s">
        <v>104</v>
      </c>
      <c r="C635" s="234"/>
      <c r="D635" s="234"/>
      <c r="E635" s="235"/>
      <c r="F635" s="232" t="s">
        <v>595</v>
      </c>
      <c r="G635" s="231"/>
      <c r="H635" s="242"/>
      <c r="I635" s="171" t="s">
        <v>108</v>
      </c>
    </row>
    <row r="636" spans="2:9" ht="25.5" customHeight="1" x14ac:dyDescent="0.25">
      <c r="B636" s="106" t="s">
        <v>610</v>
      </c>
      <c r="C636" s="234"/>
      <c r="D636" s="234"/>
      <c r="E636" s="235"/>
      <c r="F636" s="232" t="s">
        <v>611</v>
      </c>
      <c r="G636" s="231"/>
      <c r="H636" s="242"/>
      <c r="I636" s="171" t="s">
        <v>10</v>
      </c>
    </row>
    <row r="637" spans="2:9" ht="15.75" customHeight="1" x14ac:dyDescent="0.25">
      <c r="B637" s="106" t="s">
        <v>612</v>
      </c>
      <c r="C637" s="234"/>
      <c r="D637" s="234"/>
      <c r="E637" s="235"/>
      <c r="F637" s="232" t="s">
        <v>613</v>
      </c>
      <c r="G637" s="231"/>
      <c r="H637" s="242"/>
      <c r="I637" s="59" t="s">
        <v>10</v>
      </c>
    </row>
    <row r="638" spans="2:9" ht="15.75" customHeight="1" x14ac:dyDescent="0.25">
      <c r="B638" s="106" t="s">
        <v>614</v>
      </c>
      <c r="C638" s="234"/>
      <c r="D638" s="234"/>
      <c r="E638" s="235"/>
      <c r="F638" s="232" t="s">
        <v>615</v>
      </c>
      <c r="G638" s="231"/>
      <c r="H638" s="242"/>
      <c r="I638" s="59" t="s">
        <v>10</v>
      </c>
    </row>
    <row r="639" spans="2:9" ht="15.75" customHeight="1" x14ac:dyDescent="0.25">
      <c r="B639" s="106" t="s">
        <v>616</v>
      </c>
      <c r="C639" s="234"/>
      <c r="D639" s="234"/>
      <c r="E639" s="235"/>
      <c r="F639" s="232" t="s">
        <v>617</v>
      </c>
      <c r="G639" s="231"/>
      <c r="H639" s="242"/>
      <c r="I639" s="59" t="s">
        <v>10</v>
      </c>
    </row>
    <row r="640" spans="2:9" ht="15.75" customHeight="1" x14ac:dyDescent="0.25">
      <c r="B640" s="89" t="s">
        <v>106</v>
      </c>
      <c r="C640" s="234"/>
      <c r="D640" s="234"/>
      <c r="E640" s="235"/>
      <c r="F640" s="232" t="s">
        <v>518</v>
      </c>
      <c r="G640" s="231"/>
      <c r="H640" s="242"/>
      <c r="I640" s="171" t="s">
        <v>108</v>
      </c>
    </row>
    <row r="641" spans="2:9" ht="15.75" customHeight="1" x14ac:dyDescent="0.25">
      <c r="B641" s="106" t="s">
        <v>540</v>
      </c>
      <c r="C641" s="234"/>
      <c r="D641" s="234"/>
      <c r="E641" s="235"/>
      <c r="F641" s="232" t="s">
        <v>518</v>
      </c>
      <c r="G641" s="231"/>
      <c r="H641" s="242"/>
      <c r="I641" s="59" t="s">
        <v>10</v>
      </c>
    </row>
    <row r="642" spans="2:9" ht="15.75" customHeight="1" x14ac:dyDescent="0.25">
      <c r="B642" s="89" t="s">
        <v>618</v>
      </c>
      <c r="C642" s="234"/>
      <c r="D642" s="234"/>
      <c r="E642" s="235"/>
      <c r="F642" s="232" t="s">
        <v>619</v>
      </c>
      <c r="G642" s="231"/>
      <c r="H642" s="242"/>
      <c r="I642" s="171" t="s">
        <v>108</v>
      </c>
    </row>
    <row r="643" spans="2:9" ht="15.75" customHeight="1" x14ac:dyDescent="0.25">
      <c r="B643" s="106" t="s">
        <v>564</v>
      </c>
      <c r="C643" s="234"/>
      <c r="D643" s="234"/>
      <c r="E643" s="235"/>
      <c r="F643" s="232" t="s">
        <v>619</v>
      </c>
      <c r="G643" s="231"/>
      <c r="H643" s="242"/>
      <c r="I643" s="59" t="s">
        <v>10</v>
      </c>
    </row>
    <row r="644" spans="2:9" ht="15.75" customHeight="1" x14ac:dyDescent="0.25">
      <c r="B644" s="89" t="s">
        <v>109</v>
      </c>
      <c r="C644" s="234"/>
      <c r="D644" s="234"/>
      <c r="E644" s="235"/>
      <c r="F644" s="232" t="s">
        <v>620</v>
      </c>
      <c r="G644" s="231"/>
      <c r="H644" s="242"/>
      <c r="I644" s="171" t="s">
        <v>108</v>
      </c>
    </row>
    <row r="645" spans="2:9" ht="15.75" customHeight="1" x14ac:dyDescent="0.25">
      <c r="B645" s="106" t="s">
        <v>621</v>
      </c>
      <c r="C645" s="234"/>
      <c r="D645" s="234"/>
      <c r="E645" s="235"/>
      <c r="F645" s="232" t="s">
        <v>620</v>
      </c>
      <c r="G645" s="231"/>
      <c r="H645" s="242"/>
      <c r="I645" s="59" t="s">
        <v>10</v>
      </c>
    </row>
    <row r="646" spans="2:9" ht="15.75" customHeight="1" x14ac:dyDescent="0.25">
      <c r="B646" s="89" t="s">
        <v>35</v>
      </c>
      <c r="C646" s="234"/>
      <c r="D646" s="234"/>
      <c r="E646" s="235"/>
      <c r="F646" s="232" t="s">
        <v>521</v>
      </c>
      <c r="G646" s="231"/>
      <c r="H646" s="242"/>
      <c r="I646" s="171" t="s">
        <v>108</v>
      </c>
    </row>
    <row r="647" spans="2:9" ht="15.75" customHeight="1" x14ac:dyDescent="0.25">
      <c r="B647" s="120" t="s">
        <v>36</v>
      </c>
      <c r="C647" s="234"/>
      <c r="D647" s="234"/>
      <c r="E647" s="235"/>
      <c r="F647" s="232" t="s">
        <v>521</v>
      </c>
      <c r="G647" s="231"/>
      <c r="H647" s="242"/>
      <c r="I647" s="58" t="s">
        <v>108</v>
      </c>
    </row>
    <row r="648" spans="2:9" ht="15.75" customHeight="1" x14ac:dyDescent="0.25">
      <c r="B648" s="89" t="s">
        <v>522</v>
      </c>
      <c r="C648" s="234"/>
      <c r="D648" s="234"/>
      <c r="E648" s="235"/>
      <c r="F648" s="232">
        <v>0</v>
      </c>
      <c r="G648" s="231"/>
      <c r="H648" s="242"/>
      <c r="I648" s="171" t="s">
        <v>10</v>
      </c>
    </row>
    <row r="649" spans="2:9" ht="15.75" customHeight="1" x14ac:dyDescent="0.25">
      <c r="B649" s="89" t="s">
        <v>523</v>
      </c>
      <c r="C649" s="234"/>
      <c r="D649" s="234"/>
      <c r="E649" s="235"/>
      <c r="F649" s="232">
        <v>0</v>
      </c>
      <c r="G649" s="231"/>
      <c r="H649" s="242"/>
      <c r="I649" s="171" t="s">
        <v>108</v>
      </c>
    </row>
    <row r="650" spans="2:9" ht="89.25" customHeight="1" x14ac:dyDescent="0.25">
      <c r="B650" s="90" t="s">
        <v>622</v>
      </c>
      <c r="C650" s="234"/>
      <c r="D650" s="234"/>
      <c r="E650" s="235"/>
      <c r="F650" s="232" t="s">
        <v>623</v>
      </c>
      <c r="G650" s="231"/>
      <c r="H650" s="242"/>
      <c r="I650" s="171" t="s">
        <v>10</v>
      </c>
    </row>
    <row r="651" spans="2:9" ht="15.75" customHeight="1" x14ac:dyDescent="0.25">
      <c r="B651" s="89" t="s">
        <v>95</v>
      </c>
      <c r="C651" s="234"/>
      <c r="D651" s="234"/>
      <c r="E651" s="235"/>
      <c r="F651" s="232">
        <v>0</v>
      </c>
      <c r="G651" s="231"/>
      <c r="H651" s="242"/>
      <c r="I651" s="171" t="s">
        <v>10</v>
      </c>
    </row>
    <row r="652" spans="2:9" ht="15.75" customHeight="1" x14ac:dyDescent="0.25">
      <c r="B652" s="120" t="s">
        <v>26</v>
      </c>
      <c r="C652" s="234"/>
      <c r="D652" s="234"/>
      <c r="E652" s="235"/>
      <c r="F652" s="232">
        <v>0</v>
      </c>
      <c r="G652" s="231"/>
      <c r="H652" s="242"/>
      <c r="I652" s="58" t="s">
        <v>10</v>
      </c>
    </row>
    <row r="653" spans="2:9" ht="25.5" customHeight="1" x14ac:dyDescent="0.25">
      <c r="B653" s="89" t="s">
        <v>127</v>
      </c>
      <c r="C653" s="234"/>
      <c r="D653" s="234"/>
      <c r="E653" s="235"/>
      <c r="F653" s="232" t="s">
        <v>624</v>
      </c>
      <c r="G653" s="231"/>
      <c r="H653" s="242"/>
      <c r="I653" s="171" t="s">
        <v>108</v>
      </c>
    </row>
    <row r="654" spans="2:9" ht="25.5" customHeight="1" x14ac:dyDescent="0.25">
      <c r="B654" s="109" t="s">
        <v>558</v>
      </c>
      <c r="C654" s="234"/>
      <c r="D654" s="234"/>
      <c r="E654" s="235"/>
      <c r="F654" s="232" t="s">
        <v>559</v>
      </c>
      <c r="G654" s="231"/>
      <c r="H654" s="242"/>
      <c r="I654" s="59" t="s">
        <v>10</v>
      </c>
    </row>
    <row r="655" spans="2:9" ht="15.75" customHeight="1" x14ac:dyDescent="0.25">
      <c r="B655" s="89" t="s">
        <v>41</v>
      </c>
      <c r="C655" s="234"/>
      <c r="D655" s="234"/>
      <c r="E655" s="235"/>
      <c r="F655" s="232" t="s">
        <v>590</v>
      </c>
      <c r="G655" s="231"/>
      <c r="H655" s="242"/>
      <c r="I655" s="171" t="s">
        <v>10</v>
      </c>
    </row>
    <row r="656" spans="2:9" ht="15.75" customHeight="1" x14ac:dyDescent="0.25">
      <c r="B656" s="106" t="s">
        <v>514</v>
      </c>
      <c r="C656" s="234"/>
      <c r="D656" s="234"/>
      <c r="E656" s="235"/>
      <c r="F656" s="232" t="s">
        <v>591</v>
      </c>
      <c r="G656" s="231"/>
      <c r="H656" s="242"/>
      <c r="I656" s="59" t="s">
        <v>10</v>
      </c>
    </row>
    <row r="657" spans="2:9" ht="15.75" customHeight="1" x14ac:dyDescent="0.25">
      <c r="B657" s="106" t="s">
        <v>560</v>
      </c>
      <c r="C657" s="234"/>
      <c r="D657" s="234"/>
      <c r="E657" s="235"/>
      <c r="F657" s="232" t="s">
        <v>592</v>
      </c>
      <c r="G657" s="231"/>
      <c r="H657" s="242"/>
      <c r="I657" s="59" t="s">
        <v>10</v>
      </c>
    </row>
    <row r="658" spans="2:9" ht="25.5" customHeight="1" x14ac:dyDescent="0.25">
      <c r="B658" s="89" t="s">
        <v>102</v>
      </c>
      <c r="C658" s="234"/>
      <c r="D658" s="234"/>
      <c r="E658" s="235"/>
      <c r="F658" s="232" t="s">
        <v>625</v>
      </c>
      <c r="G658" s="231"/>
      <c r="H658" s="242"/>
      <c r="I658" s="171" t="s">
        <v>10</v>
      </c>
    </row>
    <row r="659" spans="2:9" ht="15.75" customHeight="1" x14ac:dyDescent="0.25">
      <c r="B659" s="110" t="s">
        <v>562</v>
      </c>
      <c r="C659" s="234"/>
      <c r="D659" s="234"/>
      <c r="E659" s="235"/>
      <c r="F659" s="232" t="s">
        <v>626</v>
      </c>
      <c r="G659" s="231"/>
      <c r="H659" s="242"/>
      <c r="I659" s="59" t="s">
        <v>10</v>
      </c>
    </row>
    <row r="660" spans="2:9" ht="15.75" customHeight="1" x14ac:dyDescent="0.25">
      <c r="B660" s="106" t="s">
        <v>564</v>
      </c>
      <c r="C660" s="234"/>
      <c r="D660" s="234"/>
      <c r="E660" s="235"/>
      <c r="F660" s="232" t="s">
        <v>183</v>
      </c>
      <c r="G660" s="231"/>
      <c r="H660" s="242"/>
      <c r="I660" s="59" t="s">
        <v>10</v>
      </c>
    </row>
    <row r="661" spans="2:9" ht="15.75" customHeight="1" x14ac:dyDescent="0.25">
      <c r="B661" s="89" t="s">
        <v>56</v>
      </c>
      <c r="C661" s="234"/>
      <c r="D661" s="234"/>
      <c r="E661" s="235"/>
      <c r="F661" s="232" t="s">
        <v>565</v>
      </c>
      <c r="G661" s="231"/>
      <c r="H661" s="242"/>
      <c r="I661" s="171" t="s">
        <v>10</v>
      </c>
    </row>
    <row r="662" spans="2:9" ht="15.75" customHeight="1" x14ac:dyDescent="0.25">
      <c r="B662" s="120" t="s">
        <v>28</v>
      </c>
      <c r="C662" s="234"/>
      <c r="D662" s="234"/>
      <c r="E662" s="235"/>
      <c r="F662" s="232" t="s">
        <v>565</v>
      </c>
      <c r="G662" s="231"/>
      <c r="H662" s="242"/>
      <c r="I662" s="58" t="s">
        <v>10</v>
      </c>
    </row>
    <row r="663" spans="2:9" ht="15.75" customHeight="1" x14ac:dyDescent="0.25">
      <c r="B663" s="89" t="s">
        <v>111</v>
      </c>
      <c r="C663" s="234"/>
      <c r="D663" s="234"/>
      <c r="E663" s="235"/>
      <c r="F663" s="232" t="s">
        <v>520</v>
      </c>
      <c r="G663" s="231"/>
      <c r="H663" s="242"/>
      <c r="I663" s="171" t="s">
        <v>108</v>
      </c>
    </row>
    <row r="664" spans="2:9" ht="15.75" customHeight="1" x14ac:dyDescent="0.25">
      <c r="B664" s="102" t="s">
        <v>571</v>
      </c>
      <c r="C664" s="234"/>
      <c r="D664" s="234"/>
      <c r="E664" s="235"/>
      <c r="F664" s="232" t="s">
        <v>572</v>
      </c>
      <c r="G664" s="231"/>
      <c r="H664" s="242"/>
      <c r="I664" s="59" t="s">
        <v>10</v>
      </c>
    </row>
    <row r="665" spans="2:9" ht="15.75" customHeight="1" x14ac:dyDescent="0.25">
      <c r="B665" s="102" t="s">
        <v>573</v>
      </c>
      <c r="C665" s="234"/>
      <c r="D665" s="234"/>
      <c r="E665" s="235"/>
      <c r="F665" s="232" t="s">
        <v>574</v>
      </c>
      <c r="G665" s="231"/>
      <c r="H665" s="242"/>
      <c r="I665" s="59" t="s">
        <v>10</v>
      </c>
    </row>
    <row r="666" spans="2:9" ht="15.75" customHeight="1" x14ac:dyDescent="0.25">
      <c r="B666" s="102" t="s">
        <v>152</v>
      </c>
      <c r="C666" s="234"/>
      <c r="D666" s="234"/>
      <c r="E666" s="235"/>
      <c r="F666" s="232" t="s">
        <v>575</v>
      </c>
      <c r="G666" s="231"/>
      <c r="H666" s="242"/>
      <c r="I666" s="59" t="s">
        <v>10</v>
      </c>
    </row>
    <row r="667" spans="2:9" ht="15.75" customHeight="1" x14ac:dyDescent="0.25">
      <c r="B667" s="102" t="s">
        <v>576</v>
      </c>
      <c r="C667" s="234"/>
      <c r="D667" s="234"/>
      <c r="E667" s="235"/>
      <c r="F667" s="232" t="s">
        <v>577</v>
      </c>
      <c r="G667" s="231"/>
      <c r="H667" s="242"/>
      <c r="I667" s="59" t="s">
        <v>10</v>
      </c>
    </row>
    <row r="668" spans="2:9" ht="25.5" customHeight="1" x14ac:dyDescent="0.25">
      <c r="B668" s="89" t="s">
        <v>109</v>
      </c>
      <c r="C668" s="234"/>
      <c r="D668" s="234"/>
      <c r="E668" s="235"/>
      <c r="F668" s="232" t="s">
        <v>566</v>
      </c>
      <c r="G668" s="231"/>
      <c r="H668" s="242"/>
      <c r="I668" s="171" t="s">
        <v>108</v>
      </c>
    </row>
    <row r="669" spans="2:9" ht="15.75" customHeight="1" x14ac:dyDescent="0.25">
      <c r="B669" s="113" t="s">
        <v>627</v>
      </c>
      <c r="C669" s="234"/>
      <c r="D669" s="234"/>
      <c r="E669" s="235"/>
      <c r="F669" s="232" t="s">
        <v>567</v>
      </c>
      <c r="G669" s="231"/>
      <c r="H669" s="242"/>
      <c r="I669" s="59" t="s">
        <v>10</v>
      </c>
    </row>
    <row r="670" spans="2:9" ht="15.75" customHeight="1" x14ac:dyDescent="0.25">
      <c r="B670" s="106" t="s">
        <v>568</v>
      </c>
      <c r="C670" s="234"/>
      <c r="D670" s="234"/>
      <c r="E670" s="235"/>
      <c r="F670" s="232" t="s">
        <v>206</v>
      </c>
      <c r="G670" s="231"/>
      <c r="H670" s="242"/>
      <c r="I670" s="59" t="s">
        <v>10</v>
      </c>
    </row>
    <row r="671" spans="2:9" ht="15.75" customHeight="1" x14ac:dyDescent="0.25">
      <c r="B671" s="102" t="s">
        <v>569</v>
      </c>
      <c r="C671" s="234"/>
      <c r="D671" s="234"/>
      <c r="E671" s="235"/>
      <c r="F671" s="232" t="s">
        <v>570</v>
      </c>
      <c r="G671" s="231"/>
      <c r="H671" s="242"/>
      <c r="I671" s="59" t="s">
        <v>10</v>
      </c>
    </row>
    <row r="672" spans="2:9" ht="15.75" customHeight="1" x14ac:dyDescent="0.25">
      <c r="B672" s="89" t="s">
        <v>64</v>
      </c>
      <c r="C672" s="234"/>
      <c r="D672" s="234"/>
      <c r="E672" s="235"/>
      <c r="F672" s="232" t="s">
        <v>578</v>
      </c>
      <c r="G672" s="231"/>
      <c r="H672" s="242"/>
      <c r="I672" s="171" t="s">
        <v>10</v>
      </c>
    </row>
    <row r="673" spans="2:9" ht="15.75" customHeight="1" x14ac:dyDescent="0.25">
      <c r="B673" s="120" t="s">
        <v>30</v>
      </c>
      <c r="C673" s="234"/>
      <c r="D673" s="234"/>
      <c r="E673" s="235"/>
      <c r="F673" s="232" t="s">
        <v>578</v>
      </c>
      <c r="G673" s="231"/>
      <c r="H673" s="242"/>
      <c r="I673" s="58" t="s">
        <v>10</v>
      </c>
    </row>
    <row r="674" spans="2:9" ht="15.75" customHeight="1" x14ac:dyDescent="0.25">
      <c r="B674" s="106" t="s">
        <v>375</v>
      </c>
      <c r="C674" s="234"/>
      <c r="D674" s="234"/>
      <c r="E674" s="235"/>
      <c r="F674" s="232" t="s">
        <v>578</v>
      </c>
      <c r="G674" s="231"/>
      <c r="H674" s="242"/>
      <c r="I674" s="59" t="s">
        <v>10</v>
      </c>
    </row>
    <row r="675" spans="2:9" ht="15.75" customHeight="1" x14ac:dyDescent="0.25">
      <c r="B675" s="89"/>
      <c r="C675" s="234"/>
      <c r="D675" s="234"/>
      <c r="E675" s="235">
        <v>103</v>
      </c>
      <c r="F675" s="232"/>
      <c r="G675" s="231"/>
      <c r="H675" s="242"/>
      <c r="I675" s="171"/>
    </row>
    <row r="676" spans="2:9" ht="38.25" customHeight="1" x14ac:dyDescent="0.25">
      <c r="B676" s="88" t="s">
        <v>628</v>
      </c>
      <c r="C676" s="234"/>
      <c r="D676" s="234"/>
      <c r="E676" s="235"/>
      <c r="F676" s="232" t="s">
        <v>629</v>
      </c>
      <c r="G676" s="231"/>
      <c r="H676" s="242"/>
      <c r="I676" s="171" t="s">
        <v>10</v>
      </c>
    </row>
    <row r="677" spans="2:9" ht="38.25" customHeight="1" x14ac:dyDescent="0.25">
      <c r="B677" s="89" t="s">
        <v>95</v>
      </c>
      <c r="C677" s="234"/>
      <c r="D677" s="234"/>
      <c r="E677" s="235"/>
      <c r="F677" s="232" t="s">
        <v>629</v>
      </c>
      <c r="G677" s="231"/>
      <c r="H677" s="242"/>
      <c r="I677" s="171" t="s">
        <v>10</v>
      </c>
    </row>
    <row r="678" spans="2:9" ht="25.5" customHeight="1" x14ac:dyDescent="0.25">
      <c r="B678" s="120" t="s">
        <v>26</v>
      </c>
      <c r="C678" s="234"/>
      <c r="D678" s="234"/>
      <c r="E678" s="235"/>
      <c r="F678" s="232" t="s">
        <v>630</v>
      </c>
      <c r="G678" s="231"/>
      <c r="H678" s="242"/>
      <c r="I678" s="58" t="s">
        <v>10</v>
      </c>
    </row>
    <row r="679" spans="2:9" ht="15.75" customHeight="1" x14ac:dyDescent="0.25">
      <c r="B679" s="120" t="s">
        <v>235</v>
      </c>
      <c r="C679" s="234"/>
      <c r="D679" s="234"/>
      <c r="E679" s="235"/>
      <c r="F679" s="232" t="s">
        <v>631</v>
      </c>
      <c r="G679" s="231"/>
      <c r="H679" s="242"/>
      <c r="I679" s="58" t="s">
        <v>10</v>
      </c>
    </row>
    <row r="680" spans="2:9" ht="15.75" customHeight="1" x14ac:dyDescent="0.25">
      <c r="B680" s="90" t="s">
        <v>632</v>
      </c>
      <c r="C680" s="234"/>
      <c r="D680" s="234"/>
      <c r="E680" s="235">
        <v>104</v>
      </c>
      <c r="F680" s="232"/>
      <c r="G680" s="231"/>
      <c r="H680" s="242"/>
      <c r="I680" s="171"/>
    </row>
    <row r="681" spans="2:9" ht="25.5" customHeight="1" x14ac:dyDescent="0.25">
      <c r="B681" s="89" t="s">
        <v>95</v>
      </c>
      <c r="C681" s="234"/>
      <c r="D681" s="234"/>
      <c r="E681" s="235"/>
      <c r="F681" s="232" t="s">
        <v>633</v>
      </c>
      <c r="G681" s="231"/>
      <c r="H681" s="242"/>
      <c r="I681" s="171" t="s">
        <v>10</v>
      </c>
    </row>
    <row r="682" spans="2:9" ht="25.5" customHeight="1" x14ac:dyDescent="0.25">
      <c r="B682" s="120" t="s">
        <v>26</v>
      </c>
      <c r="C682" s="234"/>
      <c r="D682" s="234"/>
      <c r="E682" s="235"/>
      <c r="F682" s="232" t="s">
        <v>634</v>
      </c>
      <c r="G682" s="231"/>
      <c r="H682" s="242"/>
      <c r="I682" s="58" t="s">
        <v>10</v>
      </c>
    </row>
    <row r="683" spans="2:9" ht="15.75" customHeight="1" x14ac:dyDescent="0.25">
      <c r="B683" s="106" t="s">
        <v>635</v>
      </c>
      <c r="C683" s="234"/>
      <c r="D683" s="234"/>
      <c r="E683" s="235"/>
      <c r="F683" s="232" t="s">
        <v>636</v>
      </c>
      <c r="G683" s="231"/>
      <c r="H683" s="242"/>
      <c r="I683" s="59" t="s">
        <v>10</v>
      </c>
    </row>
    <row r="684" spans="2:9" ht="15.75" customHeight="1" x14ac:dyDescent="0.25">
      <c r="B684" s="106" t="s">
        <v>637</v>
      </c>
      <c r="C684" s="234"/>
      <c r="D684" s="234"/>
      <c r="E684" s="235"/>
      <c r="F684" s="232" t="s">
        <v>638</v>
      </c>
      <c r="G684" s="231"/>
      <c r="H684" s="242"/>
      <c r="I684" s="59" t="s">
        <v>10</v>
      </c>
    </row>
    <row r="685" spans="2:9" ht="15.75" customHeight="1" x14ac:dyDescent="0.25">
      <c r="B685" s="106" t="s">
        <v>639</v>
      </c>
      <c r="C685" s="234"/>
      <c r="D685" s="234"/>
      <c r="E685" s="235"/>
      <c r="F685" s="232" t="s">
        <v>640</v>
      </c>
      <c r="G685" s="231"/>
      <c r="H685" s="242"/>
      <c r="I685" s="59" t="s">
        <v>10</v>
      </c>
    </row>
    <row r="686" spans="2:9" ht="15.75" customHeight="1" x14ac:dyDescent="0.25">
      <c r="B686" s="120" t="s">
        <v>235</v>
      </c>
      <c r="C686" s="234"/>
      <c r="D686" s="234"/>
      <c r="E686" s="235"/>
      <c r="F686" s="232" t="s">
        <v>631</v>
      </c>
      <c r="G686" s="231"/>
      <c r="H686" s="242"/>
      <c r="I686" s="58" t="s">
        <v>10</v>
      </c>
    </row>
    <row r="687" spans="2:9" ht="15.75" customHeight="1" x14ac:dyDescent="0.25">
      <c r="B687" s="106" t="s">
        <v>641</v>
      </c>
      <c r="C687" s="234"/>
      <c r="D687" s="234"/>
      <c r="E687" s="235"/>
      <c r="F687" s="232" t="s">
        <v>642</v>
      </c>
      <c r="G687" s="231"/>
      <c r="H687" s="242"/>
      <c r="I687" s="59" t="s">
        <v>10</v>
      </c>
    </row>
    <row r="688" spans="2:9" ht="15.75" customHeight="1" x14ac:dyDescent="0.25">
      <c r="B688" s="106" t="s">
        <v>639</v>
      </c>
      <c r="C688" s="234"/>
      <c r="D688" s="234"/>
      <c r="E688" s="235"/>
      <c r="F688" s="232" t="s">
        <v>643</v>
      </c>
      <c r="G688" s="231"/>
      <c r="H688" s="242"/>
      <c r="I688" s="59" t="s">
        <v>10</v>
      </c>
    </row>
    <row r="689" spans="2:9" ht="15.75" customHeight="1" x14ac:dyDescent="0.25">
      <c r="B689" s="90" t="s">
        <v>644</v>
      </c>
      <c r="C689" s="234"/>
      <c r="D689" s="234"/>
      <c r="E689" s="235"/>
      <c r="F689" s="232" t="s">
        <v>645</v>
      </c>
      <c r="G689" s="231"/>
      <c r="H689" s="242"/>
      <c r="I689" s="171" t="s">
        <v>10</v>
      </c>
    </row>
    <row r="690" spans="2:9" ht="15.75" customHeight="1" x14ac:dyDescent="0.25">
      <c r="B690" s="89" t="s">
        <v>95</v>
      </c>
      <c r="C690" s="234"/>
      <c r="D690" s="234"/>
      <c r="E690" s="235"/>
      <c r="F690" s="232" t="s">
        <v>645</v>
      </c>
      <c r="G690" s="231"/>
      <c r="H690" s="242"/>
      <c r="I690" s="171" t="s">
        <v>10</v>
      </c>
    </row>
    <row r="691" spans="2:9" ht="15.75" customHeight="1" x14ac:dyDescent="0.25">
      <c r="B691" s="120" t="s">
        <v>26</v>
      </c>
      <c r="C691" s="234"/>
      <c r="D691" s="234"/>
      <c r="E691" s="235"/>
      <c r="F691" s="232" t="s">
        <v>645</v>
      </c>
      <c r="G691" s="231"/>
      <c r="H691" s="242"/>
      <c r="I691" s="58" t="s">
        <v>10</v>
      </c>
    </row>
    <row r="692" spans="2:9" ht="15.75" customHeight="1" x14ac:dyDescent="0.25">
      <c r="B692" s="106" t="s">
        <v>637</v>
      </c>
      <c r="C692" s="234"/>
      <c r="D692" s="234"/>
      <c r="E692" s="235"/>
      <c r="F692" s="232">
        <v>0</v>
      </c>
      <c r="G692" s="231"/>
      <c r="H692" s="242"/>
      <c r="I692" s="59" t="s">
        <v>10</v>
      </c>
    </row>
    <row r="693" spans="2:9" ht="15.75" customHeight="1" x14ac:dyDescent="0.25">
      <c r="B693" s="106" t="s">
        <v>646</v>
      </c>
      <c r="C693" s="234"/>
      <c r="D693" s="234"/>
      <c r="E693" s="235"/>
      <c r="F693" s="232">
        <v>0</v>
      </c>
      <c r="G693" s="231"/>
      <c r="H693" s="242"/>
      <c r="I693" s="59" t="s">
        <v>10</v>
      </c>
    </row>
    <row r="694" spans="2:9" ht="15.75" customHeight="1" x14ac:dyDescent="0.25">
      <c r="B694" s="120"/>
      <c r="C694" s="234"/>
      <c r="D694" s="234"/>
      <c r="E694" s="235">
        <v>105</v>
      </c>
      <c r="F694" s="232"/>
      <c r="G694" s="231"/>
      <c r="H694" s="242"/>
      <c r="I694" s="171"/>
    </row>
    <row r="695" spans="2:9" ht="15.75" customHeight="1" x14ac:dyDescent="0.25">
      <c r="B695" s="88" t="s">
        <v>647</v>
      </c>
      <c r="C695" s="234"/>
      <c r="D695" s="234"/>
      <c r="E695" s="235">
        <v>106</v>
      </c>
      <c r="F695" s="232"/>
      <c r="G695" s="231"/>
      <c r="H695" s="242"/>
      <c r="I695" s="171"/>
    </row>
    <row r="696" spans="2:9" ht="15.75" customHeight="1" x14ac:dyDescent="0.25">
      <c r="B696" s="88" t="s">
        <v>648</v>
      </c>
      <c r="C696" s="234"/>
      <c r="D696" s="234"/>
      <c r="E696" s="235"/>
      <c r="F696" s="232" t="s">
        <v>649</v>
      </c>
      <c r="G696" s="231"/>
      <c r="H696" s="242"/>
      <c r="I696" s="171" t="s">
        <v>10</v>
      </c>
    </row>
    <row r="697" spans="2:9" ht="15.75" customHeight="1" x14ac:dyDescent="0.25">
      <c r="B697" s="89" t="s">
        <v>95</v>
      </c>
      <c r="C697" s="234"/>
      <c r="D697" s="234"/>
      <c r="E697" s="235"/>
      <c r="F697" s="232" t="s">
        <v>649</v>
      </c>
      <c r="G697" s="231"/>
      <c r="H697" s="242"/>
      <c r="I697" s="171" t="s">
        <v>10</v>
      </c>
    </row>
    <row r="698" spans="2:9" ht="15.75" customHeight="1" x14ac:dyDescent="0.25">
      <c r="B698" s="120" t="s">
        <v>650</v>
      </c>
      <c r="C698" s="234"/>
      <c r="D698" s="234"/>
      <c r="E698" s="235"/>
      <c r="F698" s="232" t="s">
        <v>651</v>
      </c>
      <c r="G698" s="231"/>
      <c r="H698" s="242"/>
      <c r="I698" s="58" t="s">
        <v>10</v>
      </c>
    </row>
    <row r="699" spans="2:9" ht="15.75" customHeight="1" x14ac:dyDescent="0.25">
      <c r="B699" s="120" t="s">
        <v>422</v>
      </c>
      <c r="C699" s="234"/>
      <c r="D699" s="234"/>
      <c r="E699" s="235"/>
      <c r="F699" s="232" t="s">
        <v>652</v>
      </c>
      <c r="G699" s="231"/>
      <c r="H699" s="242"/>
      <c r="I699" s="58" t="s">
        <v>10</v>
      </c>
    </row>
    <row r="700" spans="2:9" ht="15.75" customHeight="1" x14ac:dyDescent="0.25">
      <c r="B700" s="90" t="s">
        <v>653</v>
      </c>
      <c r="C700" s="234"/>
      <c r="D700" s="234"/>
      <c r="E700" s="235"/>
      <c r="F700" s="232" t="s">
        <v>649</v>
      </c>
      <c r="G700" s="231"/>
      <c r="H700" s="242"/>
      <c r="I700" s="171" t="s">
        <v>10</v>
      </c>
    </row>
    <row r="701" spans="2:9" ht="15.75" customHeight="1" x14ac:dyDescent="0.25">
      <c r="B701" s="89" t="s">
        <v>95</v>
      </c>
      <c r="C701" s="234"/>
      <c r="D701" s="234"/>
      <c r="E701" s="235"/>
      <c r="F701" s="232" t="s">
        <v>649</v>
      </c>
      <c r="G701" s="231"/>
      <c r="H701" s="242"/>
      <c r="I701" s="171" t="s">
        <v>10</v>
      </c>
    </row>
    <row r="702" spans="2:9" ht="15.75" customHeight="1" x14ac:dyDescent="0.25">
      <c r="B702" s="120" t="s">
        <v>147</v>
      </c>
      <c r="C702" s="234"/>
      <c r="D702" s="234"/>
      <c r="E702" s="235"/>
      <c r="F702" s="232" t="s">
        <v>651</v>
      </c>
      <c r="G702" s="231"/>
      <c r="H702" s="242"/>
      <c r="I702" s="58" t="s">
        <v>10</v>
      </c>
    </row>
    <row r="703" spans="2:9" ht="15.75" customHeight="1" x14ac:dyDescent="0.25">
      <c r="B703" s="120" t="s">
        <v>422</v>
      </c>
      <c r="C703" s="234"/>
      <c r="D703" s="234"/>
      <c r="E703" s="235"/>
      <c r="F703" s="232" t="s">
        <v>652</v>
      </c>
      <c r="G703" s="231"/>
      <c r="H703" s="242"/>
      <c r="I703" s="58" t="s">
        <v>10</v>
      </c>
    </row>
    <row r="704" spans="2:9" ht="15.75" customHeight="1" x14ac:dyDescent="0.25">
      <c r="B704" s="90" t="s">
        <v>654</v>
      </c>
      <c r="C704" s="234"/>
      <c r="D704" s="234"/>
      <c r="E704" s="235"/>
      <c r="F704" s="232">
        <v>0</v>
      </c>
      <c r="G704" s="231"/>
      <c r="H704" s="242"/>
      <c r="I704" s="171" t="s">
        <v>10</v>
      </c>
    </row>
    <row r="705" spans="2:9" ht="15.75" customHeight="1" x14ac:dyDescent="0.25">
      <c r="B705" s="88"/>
      <c r="C705" s="234"/>
      <c r="D705" s="234"/>
      <c r="E705" s="235">
        <v>107</v>
      </c>
      <c r="F705" s="232"/>
      <c r="G705" s="231"/>
      <c r="H705" s="242"/>
      <c r="I705" s="171"/>
    </row>
    <row r="706" spans="2:9" ht="25.5" customHeight="1" x14ac:dyDescent="0.25">
      <c r="B706" s="88" t="s">
        <v>655</v>
      </c>
      <c r="C706" s="234"/>
      <c r="D706" s="234"/>
      <c r="E706" s="235"/>
      <c r="F706" s="232" t="s">
        <v>656</v>
      </c>
      <c r="G706" s="231"/>
      <c r="H706" s="242"/>
      <c r="I706" s="171" t="s">
        <v>10</v>
      </c>
    </row>
    <row r="707" spans="2:9" ht="25.5" customHeight="1" x14ac:dyDescent="0.25">
      <c r="B707" s="89" t="s">
        <v>95</v>
      </c>
      <c r="C707" s="234"/>
      <c r="D707" s="234"/>
      <c r="E707" s="235"/>
      <c r="F707" s="232" t="s">
        <v>657</v>
      </c>
      <c r="G707" s="231"/>
      <c r="H707" s="242"/>
      <c r="I707" s="171" t="s">
        <v>10</v>
      </c>
    </row>
    <row r="708" spans="2:9" ht="15.75" customHeight="1" x14ac:dyDescent="0.25">
      <c r="B708" s="120" t="s">
        <v>26</v>
      </c>
      <c r="C708" s="234"/>
      <c r="D708" s="234"/>
      <c r="E708" s="235"/>
      <c r="F708" s="232" t="s">
        <v>658</v>
      </c>
      <c r="G708" s="231"/>
      <c r="H708" s="242"/>
      <c r="I708" s="58" t="s">
        <v>10</v>
      </c>
    </row>
    <row r="709" spans="2:9" ht="15.75" customHeight="1" x14ac:dyDescent="0.25">
      <c r="B709" s="120" t="s">
        <v>147</v>
      </c>
      <c r="C709" s="234"/>
      <c r="D709" s="234"/>
      <c r="E709" s="235"/>
      <c r="F709" s="232" t="s">
        <v>659</v>
      </c>
      <c r="G709" s="231"/>
      <c r="H709" s="242"/>
      <c r="I709" s="58" t="s">
        <v>10</v>
      </c>
    </row>
    <row r="710" spans="2:9" ht="15.75" customHeight="1" x14ac:dyDescent="0.25">
      <c r="B710" s="120" t="s">
        <v>235</v>
      </c>
      <c r="C710" s="234"/>
      <c r="D710" s="234"/>
      <c r="E710" s="235"/>
      <c r="F710" s="232" t="s">
        <v>660</v>
      </c>
      <c r="G710" s="231"/>
      <c r="H710" s="242"/>
      <c r="I710" s="58" t="s">
        <v>10</v>
      </c>
    </row>
    <row r="711" spans="2:9" ht="15.75" customHeight="1" x14ac:dyDescent="0.25">
      <c r="B711" s="89" t="s">
        <v>102</v>
      </c>
      <c r="C711" s="234"/>
      <c r="D711" s="234"/>
      <c r="E711" s="235"/>
      <c r="F711" s="232" t="s">
        <v>661</v>
      </c>
      <c r="G711" s="231"/>
      <c r="H711" s="242"/>
      <c r="I711" s="171" t="s">
        <v>10</v>
      </c>
    </row>
    <row r="712" spans="2:9" ht="25.5" customHeight="1" x14ac:dyDescent="0.25">
      <c r="B712" s="90" t="s">
        <v>662</v>
      </c>
      <c r="C712" s="234"/>
      <c r="D712" s="234"/>
      <c r="E712" s="235"/>
      <c r="F712" s="232" t="s">
        <v>663</v>
      </c>
      <c r="G712" s="231"/>
      <c r="H712" s="242"/>
      <c r="I712" s="171" t="s">
        <v>10</v>
      </c>
    </row>
    <row r="713" spans="2:9" ht="25.5" customHeight="1" x14ac:dyDescent="0.25">
      <c r="B713" s="89" t="s">
        <v>95</v>
      </c>
      <c r="C713" s="234"/>
      <c r="D713" s="234"/>
      <c r="E713" s="235"/>
      <c r="F713" s="232" t="s">
        <v>663</v>
      </c>
      <c r="G713" s="231"/>
      <c r="H713" s="242"/>
      <c r="I713" s="171" t="s">
        <v>10</v>
      </c>
    </row>
    <row r="714" spans="2:9" ht="15.75" customHeight="1" x14ac:dyDescent="0.25">
      <c r="B714" s="120" t="s">
        <v>26</v>
      </c>
      <c r="C714" s="234"/>
      <c r="D714" s="234"/>
      <c r="E714" s="235"/>
      <c r="F714" s="232" t="s">
        <v>664</v>
      </c>
      <c r="G714" s="231"/>
      <c r="H714" s="242"/>
      <c r="I714" s="58" t="s">
        <v>10</v>
      </c>
    </row>
    <row r="715" spans="2:9" ht="15.75" customHeight="1" x14ac:dyDescent="0.25">
      <c r="B715" s="120" t="s">
        <v>147</v>
      </c>
      <c r="C715" s="234"/>
      <c r="D715" s="234"/>
      <c r="E715" s="235"/>
      <c r="F715" s="232" t="s">
        <v>659</v>
      </c>
      <c r="G715" s="231"/>
      <c r="H715" s="242"/>
      <c r="I715" s="58" t="s">
        <v>10</v>
      </c>
    </row>
    <row r="716" spans="2:9" ht="15.75" customHeight="1" x14ac:dyDescent="0.25">
      <c r="B716" s="120" t="s">
        <v>235</v>
      </c>
      <c r="C716" s="234"/>
      <c r="D716" s="234"/>
      <c r="E716" s="235"/>
      <c r="F716" s="232" t="s">
        <v>660</v>
      </c>
      <c r="G716" s="231"/>
      <c r="H716" s="242"/>
      <c r="I716" s="58" t="s">
        <v>10</v>
      </c>
    </row>
    <row r="717" spans="2:9" ht="15.75" customHeight="1" x14ac:dyDescent="0.25">
      <c r="B717" s="90" t="s">
        <v>665</v>
      </c>
      <c r="C717" s="234"/>
      <c r="D717" s="234"/>
      <c r="E717" s="235"/>
      <c r="F717" s="232" t="s">
        <v>666</v>
      </c>
      <c r="G717" s="231"/>
      <c r="H717" s="242"/>
      <c r="I717" s="171" t="s">
        <v>10</v>
      </c>
    </row>
    <row r="718" spans="2:9" ht="15.75" customHeight="1" x14ac:dyDescent="0.25">
      <c r="B718" s="89" t="s">
        <v>95</v>
      </c>
      <c r="C718" s="234"/>
      <c r="D718" s="234"/>
      <c r="E718" s="235"/>
      <c r="F718" s="232">
        <v>0</v>
      </c>
      <c r="G718" s="231"/>
      <c r="H718" s="242"/>
      <c r="I718" s="171" t="s">
        <v>10</v>
      </c>
    </row>
    <row r="719" spans="2:9" ht="15.75" customHeight="1" x14ac:dyDescent="0.25">
      <c r="B719" s="120" t="s">
        <v>26</v>
      </c>
      <c r="C719" s="234"/>
      <c r="D719" s="234"/>
      <c r="E719" s="235"/>
      <c r="F719" s="232">
        <v>0</v>
      </c>
      <c r="G719" s="231"/>
      <c r="H719" s="242"/>
      <c r="I719" s="58" t="s">
        <v>10</v>
      </c>
    </row>
    <row r="720" spans="2:9" ht="15.75" customHeight="1" x14ac:dyDescent="0.25">
      <c r="B720" s="89" t="s">
        <v>102</v>
      </c>
      <c r="C720" s="234"/>
      <c r="D720" s="234"/>
      <c r="E720" s="235"/>
      <c r="F720" s="232" t="s">
        <v>661</v>
      </c>
      <c r="G720" s="231"/>
      <c r="H720" s="242"/>
      <c r="I720" s="171" t="s">
        <v>10</v>
      </c>
    </row>
    <row r="721" spans="2:9" ht="15.75" customHeight="1" x14ac:dyDescent="0.25">
      <c r="B721" s="89"/>
      <c r="C721" s="234"/>
      <c r="D721" s="234"/>
      <c r="E721" s="235">
        <v>108</v>
      </c>
      <c r="F721" s="232"/>
      <c r="G721" s="231"/>
      <c r="H721" s="242"/>
      <c r="I721" s="171"/>
    </row>
    <row r="722" spans="2:9" ht="15.75" customHeight="1" x14ac:dyDescent="0.25">
      <c r="B722" s="88" t="s">
        <v>667</v>
      </c>
      <c r="C722" s="234"/>
      <c r="D722" s="234"/>
      <c r="E722" s="235"/>
      <c r="F722" s="232" t="s">
        <v>668</v>
      </c>
      <c r="G722" s="231"/>
      <c r="H722" s="242"/>
      <c r="I722" s="171" t="s">
        <v>10</v>
      </c>
    </row>
    <row r="723" spans="2:9" ht="15.75" customHeight="1" x14ac:dyDescent="0.25">
      <c r="B723" s="89" t="s">
        <v>95</v>
      </c>
      <c r="C723" s="234"/>
      <c r="D723" s="234"/>
      <c r="E723" s="235"/>
      <c r="F723" s="232" t="s">
        <v>668</v>
      </c>
      <c r="G723" s="231"/>
      <c r="H723" s="242"/>
      <c r="I723" s="171" t="s">
        <v>10</v>
      </c>
    </row>
    <row r="724" spans="2:9" ht="15.75" customHeight="1" x14ac:dyDescent="0.25">
      <c r="B724" s="120" t="s">
        <v>26</v>
      </c>
      <c r="C724" s="234"/>
      <c r="D724" s="234"/>
      <c r="E724" s="235"/>
      <c r="F724" s="232" t="s">
        <v>668</v>
      </c>
      <c r="G724" s="231"/>
      <c r="H724" s="242"/>
      <c r="I724" s="58" t="s">
        <v>10</v>
      </c>
    </row>
    <row r="725" spans="2:9" ht="15.75" customHeight="1" x14ac:dyDescent="0.25">
      <c r="B725" s="90" t="s">
        <v>669</v>
      </c>
      <c r="C725" s="234"/>
      <c r="D725" s="234"/>
      <c r="E725" s="235"/>
      <c r="F725" s="232" t="s">
        <v>668</v>
      </c>
      <c r="G725" s="231"/>
      <c r="H725" s="242"/>
      <c r="I725" s="171" t="s">
        <v>10</v>
      </c>
    </row>
    <row r="726" spans="2:9" ht="15.75" customHeight="1" x14ac:dyDescent="0.25">
      <c r="B726" s="89" t="s">
        <v>95</v>
      </c>
      <c r="C726" s="234"/>
      <c r="D726" s="234"/>
      <c r="E726" s="235"/>
      <c r="F726" s="232" t="s">
        <v>668</v>
      </c>
      <c r="G726" s="231"/>
      <c r="H726" s="242"/>
      <c r="I726" s="171" t="s">
        <v>10</v>
      </c>
    </row>
    <row r="727" spans="2:9" ht="15.75" customHeight="1" x14ac:dyDescent="0.25">
      <c r="B727" s="120" t="s">
        <v>26</v>
      </c>
      <c r="C727" s="234"/>
      <c r="D727" s="234"/>
      <c r="E727" s="235"/>
      <c r="F727" s="232" t="s">
        <v>668</v>
      </c>
      <c r="G727" s="231"/>
      <c r="H727" s="242"/>
      <c r="I727" s="58" t="s">
        <v>10</v>
      </c>
    </row>
    <row r="728" spans="2:9" ht="15.75" customHeight="1" x14ac:dyDescent="0.25">
      <c r="B728" s="90" t="s">
        <v>670</v>
      </c>
      <c r="C728" s="234"/>
      <c r="D728" s="234"/>
      <c r="E728" s="235"/>
      <c r="F728" s="232">
        <v>0</v>
      </c>
      <c r="G728" s="231"/>
      <c r="H728" s="242"/>
      <c r="I728" s="171" t="s">
        <v>10</v>
      </c>
    </row>
    <row r="729" spans="2:9" ht="15.75" customHeight="1" x14ac:dyDescent="0.25">
      <c r="B729" s="88"/>
      <c r="C729" s="234"/>
      <c r="D729" s="234"/>
      <c r="E729" s="235">
        <v>109</v>
      </c>
      <c r="F729" s="232"/>
      <c r="G729" s="231"/>
      <c r="H729" s="242"/>
      <c r="I729" s="171"/>
    </row>
    <row r="730" spans="2:9" ht="25.5" customHeight="1" x14ac:dyDescent="0.25">
      <c r="B730" s="88" t="s">
        <v>671</v>
      </c>
      <c r="C730" s="234"/>
      <c r="D730" s="234"/>
      <c r="E730" s="235"/>
      <c r="F730" s="232" t="s">
        <v>672</v>
      </c>
      <c r="G730" s="231"/>
      <c r="H730" s="242"/>
      <c r="I730" s="171" t="s">
        <v>10</v>
      </c>
    </row>
    <row r="731" spans="2:9" ht="25.5" customHeight="1" x14ac:dyDescent="0.25">
      <c r="B731" s="89" t="s">
        <v>95</v>
      </c>
      <c r="C731" s="234"/>
      <c r="D731" s="234"/>
      <c r="E731" s="235"/>
      <c r="F731" s="232" t="s">
        <v>672</v>
      </c>
      <c r="G731" s="231"/>
      <c r="H731" s="242"/>
      <c r="I731" s="171" t="s">
        <v>10</v>
      </c>
    </row>
    <row r="732" spans="2:9" ht="15.75" customHeight="1" x14ac:dyDescent="0.25">
      <c r="B732" s="120" t="s">
        <v>26</v>
      </c>
      <c r="C732" s="234"/>
      <c r="D732" s="234"/>
      <c r="E732" s="235"/>
      <c r="F732" s="232" t="s">
        <v>673</v>
      </c>
      <c r="G732" s="231"/>
      <c r="H732" s="242"/>
      <c r="I732" s="58" t="s">
        <v>10</v>
      </c>
    </row>
    <row r="733" spans="2:9" ht="15.75" customHeight="1" x14ac:dyDescent="0.25">
      <c r="B733" s="120" t="s">
        <v>147</v>
      </c>
      <c r="C733" s="234"/>
      <c r="D733" s="234"/>
      <c r="E733" s="235"/>
      <c r="F733" s="232" t="s">
        <v>674</v>
      </c>
      <c r="G733" s="231"/>
      <c r="H733" s="242"/>
      <c r="I733" s="58" t="s">
        <v>10</v>
      </c>
    </row>
    <row r="734" spans="2:9" ht="15.75" customHeight="1" x14ac:dyDescent="0.25">
      <c r="B734" s="120" t="s">
        <v>235</v>
      </c>
      <c r="C734" s="234"/>
      <c r="D734" s="234"/>
      <c r="E734" s="235"/>
      <c r="F734" s="232" t="s">
        <v>675</v>
      </c>
      <c r="G734" s="231"/>
      <c r="H734" s="242"/>
      <c r="I734" s="58" t="s">
        <v>10</v>
      </c>
    </row>
    <row r="735" spans="2:9" ht="25.5" customHeight="1" x14ac:dyDescent="0.25">
      <c r="B735" s="90" t="s">
        <v>676</v>
      </c>
      <c r="C735" s="234"/>
      <c r="D735" s="234"/>
      <c r="E735" s="235"/>
      <c r="F735" s="232" t="s">
        <v>677</v>
      </c>
      <c r="G735" s="231"/>
      <c r="H735" s="242"/>
      <c r="I735" s="171" t="s">
        <v>10</v>
      </c>
    </row>
    <row r="736" spans="2:9" ht="25.5" customHeight="1" x14ac:dyDescent="0.25">
      <c r="B736" s="89" t="s">
        <v>95</v>
      </c>
      <c r="C736" s="234"/>
      <c r="D736" s="234"/>
      <c r="E736" s="235"/>
      <c r="F736" s="232" t="s">
        <v>677</v>
      </c>
      <c r="G736" s="231"/>
      <c r="H736" s="242"/>
      <c r="I736" s="171" t="s">
        <v>10</v>
      </c>
    </row>
    <row r="737" spans="2:9" ht="15.75" customHeight="1" x14ac:dyDescent="0.25">
      <c r="B737" s="120" t="s">
        <v>26</v>
      </c>
      <c r="C737" s="234"/>
      <c r="D737" s="234"/>
      <c r="E737" s="235"/>
      <c r="F737" s="232" t="s">
        <v>678</v>
      </c>
      <c r="G737" s="231"/>
      <c r="H737" s="242"/>
      <c r="I737" s="58" t="s">
        <v>10</v>
      </c>
    </row>
    <row r="738" spans="2:9" ht="15.75" customHeight="1" x14ac:dyDescent="0.25">
      <c r="B738" s="120" t="s">
        <v>147</v>
      </c>
      <c r="C738" s="234"/>
      <c r="D738" s="234"/>
      <c r="E738" s="235"/>
      <c r="F738" s="232" t="s">
        <v>679</v>
      </c>
      <c r="G738" s="231"/>
      <c r="H738" s="242"/>
      <c r="I738" s="58" t="s">
        <v>10</v>
      </c>
    </row>
    <row r="739" spans="2:9" ht="15.75" customHeight="1" x14ac:dyDescent="0.25">
      <c r="B739" s="120" t="s">
        <v>680</v>
      </c>
      <c r="C739" s="234"/>
      <c r="D739" s="234"/>
      <c r="E739" s="235"/>
      <c r="F739" s="232" t="s">
        <v>675</v>
      </c>
      <c r="G739" s="231"/>
      <c r="H739" s="242"/>
      <c r="I739" s="58" t="s">
        <v>10</v>
      </c>
    </row>
    <row r="740" spans="2:9" ht="15.75" customHeight="1" x14ac:dyDescent="0.25">
      <c r="B740" s="90" t="s">
        <v>681</v>
      </c>
      <c r="C740" s="234"/>
      <c r="D740" s="234"/>
      <c r="E740" s="235"/>
      <c r="F740" s="232" t="s">
        <v>645</v>
      </c>
      <c r="G740" s="231"/>
      <c r="H740" s="242"/>
      <c r="I740" s="171" t="s">
        <v>10</v>
      </c>
    </row>
    <row r="741" spans="2:9" ht="15.75" customHeight="1" x14ac:dyDescent="0.25">
      <c r="B741" s="89" t="s">
        <v>682</v>
      </c>
      <c r="C741" s="234"/>
      <c r="D741" s="234"/>
      <c r="E741" s="235"/>
      <c r="F741" s="232">
        <v>0</v>
      </c>
      <c r="G741" s="231"/>
      <c r="H741" s="242"/>
      <c r="I741" s="171" t="s">
        <v>10</v>
      </c>
    </row>
    <row r="742" spans="2:9" ht="15.75" customHeight="1" x14ac:dyDescent="0.25">
      <c r="B742" s="120" t="s">
        <v>147</v>
      </c>
      <c r="C742" s="234"/>
      <c r="D742" s="234"/>
      <c r="E742" s="235"/>
      <c r="F742" s="232">
        <v>0</v>
      </c>
      <c r="G742" s="231"/>
      <c r="H742" s="242"/>
      <c r="I742" s="58" t="s">
        <v>10</v>
      </c>
    </row>
    <row r="743" spans="2:9" ht="15.75" customHeight="1" x14ac:dyDescent="0.25">
      <c r="B743" s="89" t="s">
        <v>95</v>
      </c>
      <c r="C743" s="234"/>
      <c r="D743" s="234"/>
      <c r="E743" s="235"/>
      <c r="F743" s="232">
        <v>0</v>
      </c>
      <c r="G743" s="231"/>
      <c r="H743" s="242"/>
      <c r="I743" s="171" t="s">
        <v>10</v>
      </c>
    </row>
    <row r="744" spans="2:9" ht="15.75" customHeight="1" x14ac:dyDescent="0.25">
      <c r="B744" s="120" t="s">
        <v>26</v>
      </c>
      <c r="C744" s="234"/>
      <c r="D744" s="234"/>
      <c r="E744" s="235"/>
      <c r="F744" s="232">
        <v>0</v>
      </c>
      <c r="G744" s="231"/>
      <c r="H744" s="242"/>
      <c r="I744" s="58" t="s">
        <v>10</v>
      </c>
    </row>
    <row r="745" spans="2:9" ht="15.75" customHeight="1" x14ac:dyDescent="0.25">
      <c r="B745" s="89"/>
      <c r="C745" s="234"/>
      <c r="D745" s="234"/>
      <c r="E745" s="235">
        <v>110</v>
      </c>
      <c r="F745" s="232"/>
      <c r="G745" s="231"/>
      <c r="H745" s="242"/>
      <c r="I745" s="171"/>
    </row>
    <row r="746" spans="2:9" ht="15.75" customHeight="1" x14ac:dyDescent="0.25">
      <c r="B746" s="88" t="s">
        <v>683</v>
      </c>
      <c r="C746" s="234"/>
      <c r="D746" s="234"/>
      <c r="E746" s="235"/>
      <c r="F746" s="232" t="s">
        <v>684</v>
      </c>
      <c r="G746" s="231"/>
      <c r="H746" s="242"/>
      <c r="I746" s="171" t="s">
        <v>10</v>
      </c>
    </row>
    <row r="747" spans="2:9" ht="15.75" customHeight="1" x14ac:dyDescent="0.25">
      <c r="B747" s="89" t="s">
        <v>95</v>
      </c>
      <c r="C747" s="234"/>
      <c r="D747" s="234"/>
      <c r="E747" s="235"/>
      <c r="F747" s="232" t="s">
        <v>684</v>
      </c>
      <c r="G747" s="231"/>
      <c r="H747" s="242"/>
      <c r="I747" s="171" t="s">
        <v>10</v>
      </c>
    </row>
    <row r="748" spans="2:9" ht="15.75" customHeight="1" x14ac:dyDescent="0.25">
      <c r="B748" s="120" t="s">
        <v>26</v>
      </c>
      <c r="C748" s="234"/>
      <c r="D748" s="234"/>
      <c r="E748" s="235"/>
      <c r="F748" s="232" t="s">
        <v>684</v>
      </c>
      <c r="G748" s="231"/>
      <c r="H748" s="242"/>
      <c r="I748" s="58" t="s">
        <v>10</v>
      </c>
    </row>
    <row r="749" spans="2:9" ht="15.75" customHeight="1" x14ac:dyDescent="0.25">
      <c r="B749" s="90" t="s">
        <v>685</v>
      </c>
      <c r="C749" s="234"/>
      <c r="D749" s="234"/>
      <c r="E749" s="235"/>
      <c r="F749" s="232" t="s">
        <v>686</v>
      </c>
      <c r="G749" s="231"/>
      <c r="H749" s="242"/>
      <c r="I749" s="171" t="s">
        <v>10</v>
      </c>
    </row>
    <row r="750" spans="2:9" ht="15.75" customHeight="1" x14ac:dyDescent="0.25">
      <c r="B750" s="89" t="s">
        <v>95</v>
      </c>
      <c r="C750" s="234"/>
      <c r="D750" s="234"/>
      <c r="E750" s="235"/>
      <c r="F750" s="232" t="s">
        <v>686</v>
      </c>
      <c r="G750" s="231"/>
      <c r="H750" s="242"/>
      <c r="I750" s="171" t="s">
        <v>10</v>
      </c>
    </row>
    <row r="751" spans="2:9" ht="15.75" customHeight="1" x14ac:dyDescent="0.25">
      <c r="B751" s="120" t="s">
        <v>26</v>
      </c>
      <c r="C751" s="234"/>
      <c r="D751" s="234"/>
      <c r="E751" s="235"/>
      <c r="F751" s="232" t="s">
        <v>686</v>
      </c>
      <c r="G751" s="231"/>
      <c r="H751" s="242"/>
      <c r="I751" s="58" t="s">
        <v>10</v>
      </c>
    </row>
    <row r="752" spans="2:9" ht="15.75" customHeight="1" x14ac:dyDescent="0.25">
      <c r="B752" s="90" t="s">
        <v>687</v>
      </c>
      <c r="C752" s="234"/>
      <c r="D752" s="234"/>
      <c r="E752" s="235"/>
      <c r="F752" s="232">
        <v>0</v>
      </c>
      <c r="G752" s="231"/>
      <c r="H752" s="242"/>
      <c r="I752" s="171" t="s">
        <v>10</v>
      </c>
    </row>
    <row r="753" spans="2:9" ht="15.75" customHeight="1" x14ac:dyDescent="0.25">
      <c r="B753" s="89" t="s">
        <v>95</v>
      </c>
      <c r="C753" s="234"/>
      <c r="D753" s="234"/>
      <c r="E753" s="235"/>
      <c r="F753" s="232">
        <v>0</v>
      </c>
      <c r="G753" s="231"/>
      <c r="H753" s="242"/>
      <c r="I753" s="171" t="s">
        <v>10</v>
      </c>
    </row>
    <row r="754" spans="2:9" ht="15.75" customHeight="1" x14ac:dyDescent="0.25">
      <c r="B754" s="120" t="s">
        <v>26</v>
      </c>
      <c r="C754" s="234"/>
      <c r="D754" s="234"/>
      <c r="E754" s="235"/>
      <c r="F754" s="232">
        <v>0</v>
      </c>
      <c r="G754" s="231"/>
      <c r="H754" s="242"/>
      <c r="I754" s="58" t="s">
        <v>10</v>
      </c>
    </row>
    <row r="755" spans="2:9" ht="15.75" customHeight="1" x14ac:dyDescent="0.25">
      <c r="B755" s="89"/>
      <c r="C755" s="234"/>
      <c r="D755" s="234"/>
      <c r="E755" s="235">
        <v>111</v>
      </c>
      <c r="F755" s="232"/>
      <c r="G755" s="231"/>
      <c r="H755" s="242"/>
      <c r="I755" s="171"/>
    </row>
    <row r="756" spans="2:9" ht="15.75" customHeight="1" x14ac:dyDescent="0.25">
      <c r="B756" s="88" t="s">
        <v>688</v>
      </c>
      <c r="C756" s="234"/>
      <c r="D756" s="234"/>
      <c r="E756" s="235"/>
      <c r="F756" s="232" t="s">
        <v>689</v>
      </c>
      <c r="G756" s="231"/>
      <c r="H756" s="242"/>
      <c r="I756" s="171" t="s">
        <v>10</v>
      </c>
    </row>
    <row r="757" spans="2:9" ht="15.75" customHeight="1" x14ac:dyDescent="0.25">
      <c r="B757" s="89" t="s">
        <v>95</v>
      </c>
      <c r="C757" s="234"/>
      <c r="D757" s="234"/>
      <c r="E757" s="235"/>
      <c r="F757" s="232" t="s">
        <v>689</v>
      </c>
      <c r="G757" s="231"/>
      <c r="H757" s="242"/>
      <c r="I757" s="171" t="s">
        <v>10</v>
      </c>
    </row>
    <row r="758" spans="2:9" ht="15.75" customHeight="1" x14ac:dyDescent="0.25">
      <c r="B758" s="120" t="s">
        <v>26</v>
      </c>
      <c r="C758" s="234"/>
      <c r="D758" s="234"/>
      <c r="E758" s="235"/>
      <c r="F758" s="232" t="s">
        <v>689</v>
      </c>
      <c r="G758" s="231"/>
      <c r="H758" s="242"/>
      <c r="I758" s="58" t="s">
        <v>10</v>
      </c>
    </row>
    <row r="759" spans="2:9" ht="15.75" customHeight="1" x14ac:dyDescent="0.25">
      <c r="B759" s="90" t="s">
        <v>690</v>
      </c>
      <c r="C759" s="234"/>
      <c r="D759" s="234"/>
      <c r="E759" s="235"/>
      <c r="F759" s="232" t="s">
        <v>691</v>
      </c>
      <c r="G759" s="231"/>
      <c r="H759" s="242"/>
      <c r="I759" s="171" t="s">
        <v>10</v>
      </c>
    </row>
    <row r="760" spans="2:9" ht="15.75" customHeight="1" x14ac:dyDescent="0.25">
      <c r="B760" s="89" t="s">
        <v>95</v>
      </c>
      <c r="C760" s="234"/>
      <c r="D760" s="234"/>
      <c r="E760" s="235"/>
      <c r="F760" s="232" t="s">
        <v>691</v>
      </c>
      <c r="G760" s="231"/>
      <c r="H760" s="242"/>
      <c r="I760" s="171" t="s">
        <v>10</v>
      </c>
    </row>
    <row r="761" spans="2:9" ht="15.75" customHeight="1" x14ac:dyDescent="0.25">
      <c r="B761" s="120" t="s">
        <v>26</v>
      </c>
      <c r="C761" s="234"/>
      <c r="D761" s="234"/>
      <c r="E761" s="235"/>
      <c r="F761" s="232" t="s">
        <v>691</v>
      </c>
      <c r="G761" s="231"/>
      <c r="H761" s="242"/>
      <c r="I761" s="58" t="s">
        <v>10</v>
      </c>
    </row>
    <row r="762" spans="2:9" ht="15.75" customHeight="1" x14ac:dyDescent="0.25">
      <c r="B762" s="90" t="s">
        <v>692</v>
      </c>
      <c r="C762" s="234"/>
      <c r="D762" s="234"/>
      <c r="E762" s="235"/>
      <c r="F762" s="232">
        <v>0</v>
      </c>
      <c r="G762" s="231"/>
      <c r="H762" s="242"/>
      <c r="I762" s="171" t="s">
        <v>10</v>
      </c>
    </row>
    <row r="763" spans="2:9" ht="15.75" customHeight="1" x14ac:dyDescent="0.25">
      <c r="B763" s="89" t="s">
        <v>95</v>
      </c>
      <c r="C763" s="234"/>
      <c r="D763" s="234"/>
      <c r="E763" s="235"/>
      <c r="F763" s="232">
        <v>0</v>
      </c>
      <c r="G763" s="231"/>
      <c r="H763" s="242"/>
      <c r="I763" s="171" t="s">
        <v>10</v>
      </c>
    </row>
    <row r="764" spans="2:9" ht="15.75" customHeight="1" x14ac:dyDescent="0.25">
      <c r="B764" s="120" t="s">
        <v>26</v>
      </c>
      <c r="C764" s="234"/>
      <c r="D764" s="234"/>
      <c r="E764" s="235"/>
      <c r="F764" s="232">
        <v>0</v>
      </c>
      <c r="G764" s="231"/>
      <c r="H764" s="242"/>
      <c r="I764" s="58" t="s">
        <v>10</v>
      </c>
    </row>
    <row r="765" spans="2:9" ht="15.75" customHeight="1" x14ac:dyDescent="0.25">
      <c r="B765" s="202"/>
      <c r="C765" s="234"/>
      <c r="D765" s="234"/>
      <c r="E765" s="235">
        <v>112</v>
      </c>
      <c r="F765" s="232"/>
      <c r="G765" s="231"/>
      <c r="H765" s="242"/>
      <c r="I765" s="171"/>
    </row>
    <row r="766" spans="2:9" ht="25.5" customHeight="1" x14ac:dyDescent="0.25">
      <c r="B766" s="88" t="s">
        <v>693</v>
      </c>
      <c r="C766" s="234"/>
      <c r="D766" s="234"/>
      <c r="E766" s="235"/>
      <c r="F766" s="232" t="s">
        <v>694</v>
      </c>
      <c r="G766" s="231"/>
      <c r="H766" s="242"/>
      <c r="I766" s="171" t="s">
        <v>10</v>
      </c>
    </row>
    <row r="767" spans="2:9" ht="25.5" customHeight="1" x14ac:dyDescent="0.25">
      <c r="B767" s="89" t="s">
        <v>95</v>
      </c>
      <c r="C767" s="234"/>
      <c r="D767" s="234"/>
      <c r="E767" s="235"/>
      <c r="F767" s="232" t="s">
        <v>695</v>
      </c>
      <c r="G767" s="231"/>
      <c r="H767" s="242"/>
      <c r="I767" s="171" t="s">
        <v>10</v>
      </c>
    </row>
    <row r="768" spans="2:9" ht="25.5" customHeight="1" x14ac:dyDescent="0.25">
      <c r="B768" s="120" t="s">
        <v>28</v>
      </c>
      <c r="C768" s="234"/>
      <c r="D768" s="234"/>
      <c r="E768" s="235"/>
      <c r="F768" s="232" t="s">
        <v>695</v>
      </c>
      <c r="G768" s="231"/>
      <c r="H768" s="242"/>
      <c r="I768" s="171" t="s">
        <v>10</v>
      </c>
    </row>
    <row r="769" spans="2:9" ht="15.75" customHeight="1" x14ac:dyDescent="0.25">
      <c r="B769" s="89" t="s">
        <v>315</v>
      </c>
      <c r="C769" s="234"/>
      <c r="D769" s="234"/>
      <c r="E769" s="235"/>
      <c r="F769" s="232" t="s">
        <v>696</v>
      </c>
      <c r="G769" s="231"/>
      <c r="H769" s="242"/>
      <c r="I769" s="171" t="s">
        <v>10</v>
      </c>
    </row>
    <row r="770" spans="2:9" ht="15.75" customHeight="1" x14ac:dyDescent="0.25">
      <c r="B770" s="120" t="s">
        <v>317</v>
      </c>
      <c r="C770" s="234"/>
      <c r="D770" s="234"/>
      <c r="E770" s="235"/>
      <c r="F770" s="232" t="s">
        <v>696</v>
      </c>
      <c r="G770" s="231"/>
      <c r="H770" s="242"/>
      <c r="I770" s="171" t="s">
        <v>10</v>
      </c>
    </row>
    <row r="771" spans="2:9" ht="15.75" customHeight="1" x14ac:dyDescent="0.25">
      <c r="B771" s="90" t="s">
        <v>697</v>
      </c>
      <c r="C771" s="234"/>
      <c r="D771" s="234"/>
      <c r="E771" s="235"/>
      <c r="F771" s="232" t="s">
        <v>696</v>
      </c>
      <c r="G771" s="231"/>
      <c r="H771" s="242"/>
      <c r="I771" s="171" t="s">
        <v>10</v>
      </c>
    </row>
    <row r="772" spans="2:9" ht="15.75" customHeight="1" x14ac:dyDescent="0.25">
      <c r="B772" s="89" t="s">
        <v>315</v>
      </c>
      <c r="C772" s="234"/>
      <c r="D772" s="234"/>
      <c r="E772" s="235"/>
      <c r="F772" s="232" t="s">
        <v>696</v>
      </c>
      <c r="G772" s="231"/>
      <c r="H772" s="242"/>
      <c r="I772" s="171" t="s">
        <v>10</v>
      </c>
    </row>
    <row r="773" spans="2:9" ht="15.75" customHeight="1" x14ac:dyDescent="0.25">
      <c r="B773" s="120" t="s">
        <v>317</v>
      </c>
      <c r="C773" s="234"/>
      <c r="D773" s="234"/>
      <c r="E773" s="235"/>
      <c r="F773" s="232" t="s">
        <v>696</v>
      </c>
      <c r="G773" s="231"/>
      <c r="H773" s="242"/>
      <c r="I773" s="171" t="s">
        <v>10</v>
      </c>
    </row>
    <row r="774" spans="2:9" ht="15.75" customHeight="1" x14ac:dyDescent="0.25">
      <c r="B774" s="90" t="s">
        <v>698</v>
      </c>
      <c r="C774" s="234"/>
      <c r="D774" s="234"/>
      <c r="E774" s="235">
        <v>113</v>
      </c>
      <c r="F774" s="232"/>
      <c r="G774" s="231"/>
      <c r="H774" s="242"/>
      <c r="I774" s="171"/>
    </row>
    <row r="775" spans="2:9" ht="25.5" customHeight="1" x14ac:dyDescent="0.25">
      <c r="B775" s="89" t="s">
        <v>95</v>
      </c>
      <c r="C775" s="234"/>
      <c r="D775" s="234"/>
      <c r="E775" s="235"/>
      <c r="F775" s="232" t="s">
        <v>695</v>
      </c>
      <c r="G775" s="231"/>
      <c r="H775" s="242"/>
      <c r="I775" s="171" t="s">
        <v>10</v>
      </c>
    </row>
    <row r="776" spans="2:9" ht="25.5" customHeight="1" x14ac:dyDescent="0.25">
      <c r="B776" s="120" t="s">
        <v>28</v>
      </c>
      <c r="C776" s="234"/>
      <c r="D776" s="234"/>
      <c r="E776" s="235"/>
      <c r="F776" s="232" t="s">
        <v>695</v>
      </c>
      <c r="G776" s="231"/>
      <c r="H776" s="242"/>
      <c r="I776" s="58" t="s">
        <v>10</v>
      </c>
    </row>
    <row r="777" spans="2:9" ht="15.75" customHeight="1" x14ac:dyDescent="0.25">
      <c r="B777" s="106" t="s">
        <v>82</v>
      </c>
      <c r="C777" s="234"/>
      <c r="D777" s="234"/>
      <c r="E777" s="235"/>
      <c r="F777" s="232" t="s">
        <v>699</v>
      </c>
      <c r="G777" s="231"/>
      <c r="H777" s="242"/>
      <c r="I777" s="171" t="s">
        <v>10</v>
      </c>
    </row>
    <row r="778" spans="2:9" ht="15.75" customHeight="1" x14ac:dyDescent="0.25">
      <c r="B778" s="106" t="s">
        <v>52</v>
      </c>
      <c r="C778" s="234"/>
      <c r="D778" s="234"/>
      <c r="E778" s="235"/>
      <c r="F778" s="232" t="s">
        <v>700</v>
      </c>
      <c r="G778" s="231"/>
      <c r="H778" s="242"/>
      <c r="I778" s="171" t="s">
        <v>10</v>
      </c>
    </row>
    <row r="779" spans="2:9" ht="15.75" customHeight="1" x14ac:dyDescent="0.25">
      <c r="B779" s="76" t="s">
        <v>85</v>
      </c>
      <c r="C779" s="234"/>
      <c r="D779" s="234"/>
      <c r="E779" s="235"/>
      <c r="F779" s="232" t="s">
        <v>701</v>
      </c>
      <c r="G779" s="231"/>
      <c r="H779" s="242"/>
      <c r="I779" s="171" t="s">
        <v>10</v>
      </c>
    </row>
    <row r="780" spans="2:9" ht="15.75" customHeight="1" x14ac:dyDescent="0.25">
      <c r="B780" s="106"/>
      <c r="C780" s="234"/>
      <c r="D780" s="234"/>
      <c r="E780" s="235">
        <v>114</v>
      </c>
      <c r="F780" s="232"/>
      <c r="G780" s="231"/>
      <c r="H780" s="242"/>
      <c r="I780" s="171"/>
    </row>
    <row r="781" spans="2:9" ht="25.5" customHeight="1" x14ac:dyDescent="0.25">
      <c r="B781" s="114" t="s">
        <v>702</v>
      </c>
      <c r="C781" s="234"/>
      <c r="D781" s="234"/>
      <c r="E781" s="235"/>
      <c r="F781" s="232" t="s">
        <v>703</v>
      </c>
      <c r="G781" s="231"/>
      <c r="H781" s="242"/>
      <c r="I781" s="115" t="s">
        <v>704</v>
      </c>
    </row>
    <row r="782" spans="2:9" ht="25.5" customHeight="1" x14ac:dyDescent="0.25">
      <c r="B782" s="88"/>
      <c r="C782" s="234"/>
      <c r="D782" s="234"/>
      <c r="E782" s="235"/>
      <c r="F782" s="232" t="s">
        <v>705</v>
      </c>
      <c r="G782" s="231"/>
      <c r="H782" s="242"/>
      <c r="I782" s="171" t="s">
        <v>706</v>
      </c>
    </row>
    <row r="783" spans="2:9" ht="15.75" customHeight="1" x14ac:dyDescent="0.25">
      <c r="B783" s="89" t="s">
        <v>95</v>
      </c>
      <c r="C783" s="234"/>
      <c r="D783" s="234"/>
      <c r="E783" s="235"/>
      <c r="F783" s="232" t="s">
        <v>707</v>
      </c>
      <c r="G783" s="231"/>
      <c r="H783" s="242"/>
      <c r="I783" s="171" t="s">
        <v>704</v>
      </c>
    </row>
    <row r="784" spans="2:9" ht="15.75" customHeight="1" x14ac:dyDescent="0.25">
      <c r="B784" s="116" t="s">
        <v>28</v>
      </c>
      <c r="C784" s="234"/>
      <c r="D784" s="234"/>
      <c r="E784" s="235"/>
      <c r="F784" s="232" t="s">
        <v>707</v>
      </c>
      <c r="G784" s="231"/>
      <c r="H784" s="242"/>
      <c r="I784" s="117" t="s">
        <v>704</v>
      </c>
    </row>
    <row r="785" spans="2:9" ht="15.75" customHeight="1" x14ac:dyDescent="0.25">
      <c r="B785" s="120"/>
      <c r="C785" s="234"/>
      <c r="D785" s="234"/>
      <c r="E785" s="235"/>
      <c r="F785" s="232" t="s">
        <v>708</v>
      </c>
      <c r="G785" s="231"/>
      <c r="H785" s="242"/>
      <c r="I785" s="97" t="s">
        <v>706</v>
      </c>
    </row>
    <row r="786" spans="2:9" ht="15.75" customHeight="1" x14ac:dyDescent="0.25">
      <c r="B786" s="89" t="s">
        <v>32</v>
      </c>
      <c r="C786" s="234"/>
      <c r="D786" s="234"/>
      <c r="E786" s="235"/>
      <c r="F786" s="232" t="s">
        <v>709</v>
      </c>
      <c r="G786" s="231"/>
      <c r="H786" s="242"/>
      <c r="I786" s="171" t="s">
        <v>704</v>
      </c>
    </row>
    <row r="787" spans="2:9" ht="15.75" customHeight="1" x14ac:dyDescent="0.25">
      <c r="B787" s="116" t="s">
        <v>710</v>
      </c>
      <c r="C787" s="234"/>
      <c r="D787" s="234"/>
      <c r="E787" s="235"/>
      <c r="F787" s="232" t="s">
        <v>709</v>
      </c>
      <c r="G787" s="231"/>
      <c r="H787" s="242"/>
      <c r="I787" s="117" t="s">
        <v>704</v>
      </c>
    </row>
    <row r="788" spans="2:9" ht="15.75" customHeight="1" x14ac:dyDescent="0.25">
      <c r="B788" s="120"/>
      <c r="C788" s="234"/>
      <c r="D788" s="234"/>
      <c r="E788" s="235"/>
      <c r="F788" s="232" t="s">
        <v>711</v>
      </c>
      <c r="G788" s="231"/>
      <c r="H788" s="242"/>
      <c r="I788" s="97" t="s">
        <v>706</v>
      </c>
    </row>
    <row r="789" spans="2:9" ht="15.75" customHeight="1" x14ac:dyDescent="0.25">
      <c r="B789" s="90" t="s">
        <v>712</v>
      </c>
      <c r="C789" s="234"/>
      <c r="D789" s="234"/>
      <c r="E789" s="235"/>
      <c r="F789" s="232" t="s">
        <v>713</v>
      </c>
      <c r="G789" s="231"/>
      <c r="H789" s="242"/>
      <c r="I789" s="171" t="s">
        <v>704</v>
      </c>
    </row>
    <row r="790" spans="2:9" ht="15.75" customHeight="1" x14ac:dyDescent="0.25">
      <c r="B790" s="89" t="s">
        <v>32</v>
      </c>
      <c r="C790" s="234"/>
      <c r="D790" s="234"/>
      <c r="E790" s="235"/>
      <c r="F790" s="232" t="s">
        <v>713</v>
      </c>
      <c r="G790" s="231"/>
      <c r="H790" s="242"/>
      <c r="I790" s="171" t="s">
        <v>704</v>
      </c>
    </row>
    <row r="791" spans="2:9" ht="15.75" customHeight="1" x14ac:dyDescent="0.25">
      <c r="B791" s="120" t="s">
        <v>710</v>
      </c>
      <c r="C791" s="234"/>
      <c r="D791" s="234"/>
      <c r="E791" s="235"/>
      <c r="F791" s="232" t="s">
        <v>713</v>
      </c>
      <c r="G791" s="231"/>
      <c r="H791" s="242"/>
      <c r="I791" s="58" t="s">
        <v>704</v>
      </c>
    </row>
    <row r="792" spans="2:9" ht="15.75" customHeight="1" x14ac:dyDescent="0.25">
      <c r="B792" s="121" t="s">
        <v>714</v>
      </c>
      <c r="C792" s="234"/>
      <c r="D792" s="234"/>
      <c r="E792" s="235"/>
      <c r="F792" s="232" t="s">
        <v>713</v>
      </c>
      <c r="G792" s="231"/>
      <c r="H792" s="242"/>
      <c r="I792" s="118" t="s">
        <v>704</v>
      </c>
    </row>
    <row r="793" spans="2:9" ht="15.75" customHeight="1" x14ac:dyDescent="0.25">
      <c r="B793" s="121"/>
      <c r="C793" s="234"/>
      <c r="D793" s="234"/>
      <c r="E793" s="235"/>
      <c r="F793" s="232" t="s">
        <v>715</v>
      </c>
      <c r="G793" s="231"/>
      <c r="H793" s="242"/>
      <c r="I793" s="119" t="s">
        <v>706</v>
      </c>
    </row>
    <row r="794" spans="2:9" ht="25.5" customHeight="1" x14ac:dyDescent="0.25">
      <c r="B794" s="90" t="s">
        <v>716</v>
      </c>
      <c r="C794" s="234"/>
      <c r="D794" s="234"/>
      <c r="E794" s="235"/>
      <c r="F794" s="232" t="s">
        <v>717</v>
      </c>
      <c r="G794" s="231"/>
      <c r="H794" s="242"/>
      <c r="I794" s="171" t="s">
        <v>704</v>
      </c>
    </row>
    <row r="795" spans="2:9" ht="15.75" customHeight="1" x14ac:dyDescent="0.25">
      <c r="B795" s="89" t="s">
        <v>95</v>
      </c>
      <c r="C795" s="234"/>
      <c r="D795" s="234"/>
      <c r="E795" s="235"/>
      <c r="F795" s="232" t="s">
        <v>707</v>
      </c>
      <c r="G795" s="231"/>
      <c r="H795" s="242"/>
      <c r="I795" s="171" t="s">
        <v>704</v>
      </c>
    </row>
    <row r="796" spans="2:9" ht="15.75" customHeight="1" x14ac:dyDescent="0.25">
      <c r="B796" s="120" t="s">
        <v>28</v>
      </c>
      <c r="C796" s="234"/>
      <c r="D796" s="234"/>
      <c r="E796" s="235"/>
      <c r="F796" s="232" t="s">
        <v>707</v>
      </c>
      <c r="G796" s="231"/>
      <c r="H796" s="242"/>
      <c r="I796" s="58" t="s">
        <v>704</v>
      </c>
    </row>
    <row r="797" spans="2:9" ht="15.75" customHeight="1" x14ac:dyDescent="0.25">
      <c r="B797" s="121" t="s">
        <v>718</v>
      </c>
      <c r="C797" s="234"/>
      <c r="D797" s="234"/>
      <c r="E797" s="235"/>
      <c r="F797" s="232" t="s">
        <v>719</v>
      </c>
      <c r="G797" s="231"/>
      <c r="H797" s="242"/>
      <c r="I797" s="118" t="s">
        <v>704</v>
      </c>
    </row>
    <row r="798" spans="2:9" ht="15.75" customHeight="1" x14ac:dyDescent="0.25">
      <c r="B798" s="121"/>
      <c r="C798" s="234"/>
      <c r="D798" s="234"/>
      <c r="E798" s="235"/>
      <c r="F798" s="232" t="s">
        <v>720</v>
      </c>
      <c r="G798" s="231"/>
      <c r="H798" s="242"/>
      <c r="I798" s="119" t="s">
        <v>706</v>
      </c>
    </row>
    <row r="799" spans="2:9" ht="15.75" customHeight="1" x14ac:dyDescent="0.25">
      <c r="B799" s="106" t="s">
        <v>721</v>
      </c>
      <c r="C799" s="234"/>
      <c r="D799" s="234"/>
      <c r="E799" s="235"/>
      <c r="F799" s="232" t="s">
        <v>722</v>
      </c>
      <c r="G799" s="231"/>
      <c r="H799" s="242"/>
      <c r="I799" s="119" t="s">
        <v>704</v>
      </c>
    </row>
    <row r="800" spans="2:9" ht="15.75" customHeight="1" x14ac:dyDescent="0.25">
      <c r="B800" s="106" t="s">
        <v>481</v>
      </c>
      <c r="C800" s="234"/>
      <c r="D800" s="234"/>
      <c r="E800" s="235"/>
      <c r="F800" s="232">
        <v>0</v>
      </c>
      <c r="G800" s="231"/>
      <c r="H800" s="242"/>
      <c r="I800" s="119" t="s">
        <v>704</v>
      </c>
    </row>
    <row r="801" spans="2:9" ht="15.75" customHeight="1" x14ac:dyDescent="0.25">
      <c r="B801" s="121" t="s">
        <v>714</v>
      </c>
      <c r="C801" s="234"/>
      <c r="D801" s="234"/>
      <c r="E801" s="235"/>
      <c r="F801" s="232" t="s">
        <v>723</v>
      </c>
      <c r="G801" s="231"/>
      <c r="H801" s="242"/>
      <c r="I801" s="118" t="s">
        <v>704</v>
      </c>
    </row>
    <row r="802" spans="2:9" ht="15.75" customHeight="1" x14ac:dyDescent="0.25">
      <c r="B802" s="121"/>
      <c r="C802" s="234"/>
      <c r="D802" s="234"/>
      <c r="E802" s="235"/>
      <c r="F802" s="232" t="s">
        <v>724</v>
      </c>
      <c r="G802" s="231"/>
      <c r="H802" s="242"/>
      <c r="I802" s="119" t="s">
        <v>706</v>
      </c>
    </row>
    <row r="803" spans="2:9" ht="15.75" customHeight="1" x14ac:dyDescent="0.25">
      <c r="B803" s="89" t="s">
        <v>32</v>
      </c>
      <c r="C803" s="234"/>
      <c r="D803" s="234"/>
      <c r="E803" s="235"/>
      <c r="F803" s="232" t="s">
        <v>725</v>
      </c>
      <c r="G803" s="231"/>
      <c r="H803" s="242"/>
      <c r="I803" s="171" t="s">
        <v>704</v>
      </c>
    </row>
    <row r="804" spans="2:9" ht="15.75" customHeight="1" x14ac:dyDescent="0.25">
      <c r="B804" s="120" t="s">
        <v>710</v>
      </c>
      <c r="C804" s="234"/>
      <c r="D804" s="234"/>
      <c r="E804" s="235"/>
      <c r="F804" s="232" t="s">
        <v>725</v>
      </c>
      <c r="G804" s="231"/>
      <c r="H804" s="242"/>
      <c r="I804" s="58" t="s">
        <v>704</v>
      </c>
    </row>
    <row r="805" spans="2:9" ht="15.75" customHeight="1" x14ac:dyDescent="0.25">
      <c r="B805" s="121" t="s">
        <v>714</v>
      </c>
      <c r="C805" s="234"/>
      <c r="D805" s="234"/>
      <c r="E805" s="235"/>
      <c r="F805" s="232" t="s">
        <v>725</v>
      </c>
      <c r="G805" s="231"/>
      <c r="H805" s="242"/>
      <c r="I805" s="118" t="s">
        <v>704</v>
      </c>
    </row>
    <row r="806" spans="2:9" ht="15.75" customHeight="1" x14ac:dyDescent="0.25">
      <c r="B806" s="121"/>
      <c r="C806" s="234"/>
      <c r="D806" s="234"/>
      <c r="E806" s="235"/>
      <c r="F806" s="232" t="s">
        <v>726</v>
      </c>
      <c r="G806" s="231"/>
      <c r="H806" s="242"/>
      <c r="I806" s="119" t="s">
        <v>706</v>
      </c>
    </row>
    <row r="807" spans="2:9" ht="15.75" customHeight="1" x14ac:dyDescent="0.25">
      <c r="B807" s="106"/>
      <c r="C807" s="234"/>
      <c r="D807" s="234"/>
      <c r="E807" s="235">
        <v>115</v>
      </c>
      <c r="F807" s="232"/>
      <c r="G807" s="231"/>
      <c r="H807" s="242"/>
      <c r="I807" s="171"/>
    </row>
    <row r="808" spans="2:9" ht="15.75" customHeight="1" x14ac:dyDescent="0.25">
      <c r="B808" s="88" t="s">
        <v>727</v>
      </c>
      <c r="C808" s="234"/>
      <c r="D808" s="234"/>
      <c r="E808" s="235">
        <v>116</v>
      </c>
      <c r="F808" s="232"/>
      <c r="G808" s="231"/>
      <c r="H808" s="242"/>
      <c r="I808" s="171"/>
    </row>
    <row r="809" spans="2:9" ht="15.75" customHeight="1" x14ac:dyDescent="0.25">
      <c r="B809" s="89" t="s">
        <v>95</v>
      </c>
      <c r="C809" s="234"/>
      <c r="D809" s="234"/>
      <c r="E809" s="235"/>
      <c r="F809" s="232" t="s">
        <v>728</v>
      </c>
      <c r="G809" s="231"/>
      <c r="H809" s="242"/>
      <c r="I809" s="171" t="s">
        <v>706</v>
      </c>
    </row>
    <row r="810" spans="2:9" ht="15.75" customHeight="1" x14ac:dyDescent="0.25">
      <c r="B810" s="120" t="s">
        <v>28</v>
      </c>
      <c r="C810" s="234"/>
      <c r="D810" s="234"/>
      <c r="E810" s="235"/>
      <c r="F810" s="232" t="s">
        <v>728</v>
      </c>
      <c r="G810" s="231"/>
      <c r="H810" s="242"/>
      <c r="I810" s="58" t="s">
        <v>706</v>
      </c>
    </row>
    <row r="811" spans="2:9" ht="15.75" customHeight="1" x14ac:dyDescent="0.25">
      <c r="B811" s="90" t="s">
        <v>729</v>
      </c>
      <c r="C811" s="234"/>
      <c r="D811" s="234"/>
      <c r="E811" s="235"/>
      <c r="F811" s="232">
        <v>0</v>
      </c>
      <c r="G811" s="231"/>
      <c r="H811" s="242"/>
      <c r="I811" s="171" t="s">
        <v>706</v>
      </c>
    </row>
    <row r="812" spans="2:9" ht="15.75" customHeight="1" x14ac:dyDescent="0.25">
      <c r="B812" s="90" t="s">
        <v>730</v>
      </c>
      <c r="C812" s="234"/>
      <c r="D812" s="234"/>
      <c r="E812" s="235"/>
      <c r="F812" s="232" t="s">
        <v>728</v>
      </c>
      <c r="G812" s="231"/>
      <c r="H812" s="242"/>
      <c r="I812" s="171" t="s">
        <v>706</v>
      </c>
    </row>
    <row r="813" spans="2:9" ht="15.75" customHeight="1" x14ac:dyDescent="0.25">
      <c r="B813" s="89" t="s">
        <v>95</v>
      </c>
      <c r="C813" s="234"/>
      <c r="D813" s="234"/>
      <c r="E813" s="235"/>
      <c r="F813" s="232" t="s">
        <v>728</v>
      </c>
      <c r="G813" s="231"/>
      <c r="H813" s="242"/>
      <c r="I813" s="171" t="s">
        <v>706</v>
      </c>
    </row>
    <row r="814" spans="2:9" ht="15.75" customHeight="1" x14ac:dyDescent="0.25">
      <c r="B814" s="120" t="s">
        <v>28</v>
      </c>
      <c r="C814" s="234"/>
      <c r="D814" s="234"/>
      <c r="E814" s="235"/>
      <c r="F814" s="232" t="s">
        <v>728</v>
      </c>
      <c r="G814" s="231"/>
      <c r="H814" s="242"/>
      <c r="I814" s="58" t="s">
        <v>706</v>
      </c>
    </row>
    <row r="815" spans="2:9" ht="15.75" customHeight="1" x14ac:dyDescent="0.25">
      <c r="B815" s="106" t="s">
        <v>479</v>
      </c>
      <c r="C815" s="234"/>
      <c r="D815" s="234"/>
      <c r="E815" s="235"/>
      <c r="F815" s="232">
        <v>0</v>
      </c>
      <c r="G815" s="231"/>
      <c r="H815" s="242"/>
      <c r="I815" s="59" t="s">
        <v>706</v>
      </c>
    </row>
    <row r="816" spans="2:9" ht="15.75" customHeight="1" x14ac:dyDescent="0.25">
      <c r="B816" s="120"/>
      <c r="C816" s="234"/>
      <c r="D816" s="234"/>
      <c r="E816" s="235">
        <v>117</v>
      </c>
      <c r="F816" s="232"/>
      <c r="G816" s="231"/>
      <c r="H816" s="242"/>
      <c r="I816" s="171"/>
    </row>
    <row r="817" spans="2:9" ht="15.75" customHeight="1" x14ac:dyDescent="0.25">
      <c r="B817" s="88" t="s">
        <v>731</v>
      </c>
      <c r="C817" s="234"/>
      <c r="D817" s="234"/>
      <c r="E817" s="235">
        <v>118</v>
      </c>
      <c r="F817" s="232"/>
      <c r="G817" s="231"/>
      <c r="H817" s="242"/>
      <c r="I817" s="171"/>
    </row>
    <row r="818" spans="2:9" ht="15.75" customHeight="1" x14ac:dyDescent="0.25">
      <c r="B818" s="89" t="s">
        <v>95</v>
      </c>
      <c r="C818" s="234"/>
      <c r="D818" s="234"/>
      <c r="E818" s="235"/>
      <c r="F818" s="232" t="s">
        <v>732</v>
      </c>
      <c r="G818" s="231"/>
      <c r="H818" s="242"/>
      <c r="I818" s="171" t="s">
        <v>706</v>
      </c>
    </row>
    <row r="819" spans="2:9" ht="15.75" customHeight="1" x14ac:dyDescent="0.25">
      <c r="B819" s="120" t="s">
        <v>305</v>
      </c>
      <c r="C819" s="234"/>
      <c r="D819" s="234"/>
      <c r="E819" s="235"/>
      <c r="F819" s="232" t="s">
        <v>732</v>
      </c>
      <c r="G819" s="231"/>
      <c r="H819" s="242"/>
      <c r="I819" s="58" t="s">
        <v>706</v>
      </c>
    </row>
    <row r="820" spans="2:9" ht="15.75" customHeight="1" x14ac:dyDescent="0.25">
      <c r="B820" s="90" t="s">
        <v>733</v>
      </c>
      <c r="C820" s="234"/>
      <c r="D820" s="234"/>
      <c r="E820" s="235">
        <v>119</v>
      </c>
      <c r="F820" s="232"/>
      <c r="G820" s="231"/>
      <c r="H820" s="242"/>
      <c r="I820" s="171"/>
    </row>
    <row r="821" spans="2:9" ht="15.75" customHeight="1" x14ac:dyDescent="0.25">
      <c r="B821" s="89" t="s">
        <v>95</v>
      </c>
      <c r="C821" s="234"/>
      <c r="D821" s="234"/>
      <c r="E821" s="235"/>
      <c r="F821" s="232" t="s">
        <v>732</v>
      </c>
      <c r="G821" s="231"/>
      <c r="H821" s="242"/>
      <c r="I821" s="171" t="s">
        <v>706</v>
      </c>
    </row>
    <row r="822" spans="2:9" ht="15.75" customHeight="1" x14ac:dyDescent="0.25">
      <c r="B822" s="120" t="s">
        <v>327</v>
      </c>
      <c r="C822" s="234"/>
      <c r="D822" s="234"/>
      <c r="E822" s="235"/>
      <c r="F822" s="232" t="s">
        <v>732</v>
      </c>
      <c r="G822" s="231"/>
      <c r="H822" s="242"/>
      <c r="I822" s="58" t="s">
        <v>706</v>
      </c>
    </row>
    <row r="823" spans="2:9" ht="15.75" customHeight="1" x14ac:dyDescent="0.25">
      <c r="B823" s="106" t="s">
        <v>734</v>
      </c>
      <c r="C823" s="234"/>
      <c r="D823" s="234"/>
      <c r="E823" s="235"/>
      <c r="F823" s="232" t="s">
        <v>735</v>
      </c>
      <c r="G823" s="231"/>
      <c r="H823" s="242"/>
      <c r="I823" s="59" t="s">
        <v>706</v>
      </c>
    </row>
    <row r="824" spans="2:9" ht="15.75" customHeight="1" x14ac:dyDescent="0.25">
      <c r="B824" s="106" t="s">
        <v>736</v>
      </c>
      <c r="C824" s="234"/>
      <c r="D824" s="234"/>
      <c r="E824" s="235"/>
      <c r="F824" s="232" t="s">
        <v>737</v>
      </c>
      <c r="G824" s="231"/>
      <c r="H824" s="242"/>
      <c r="I824" s="59" t="s">
        <v>706</v>
      </c>
    </row>
    <row r="825" spans="2:9" ht="15.75" customHeight="1" x14ac:dyDescent="0.25">
      <c r="B825" s="90" t="s">
        <v>738</v>
      </c>
      <c r="C825" s="234"/>
      <c r="D825" s="234"/>
      <c r="E825" s="235"/>
      <c r="F825" s="232">
        <v>0</v>
      </c>
      <c r="G825" s="231"/>
      <c r="H825" s="242"/>
      <c r="I825" s="171" t="s">
        <v>706</v>
      </c>
    </row>
    <row r="826" spans="2:9" ht="15.75" customHeight="1" x14ac:dyDescent="0.25">
      <c r="B826" s="106"/>
      <c r="C826" s="234"/>
      <c r="D826" s="234"/>
      <c r="E826" s="235">
        <v>120</v>
      </c>
      <c r="F826" s="232"/>
      <c r="G826" s="231"/>
      <c r="H826" s="242"/>
      <c r="I826" s="171"/>
    </row>
    <row r="827" spans="2:9" ht="15.75" customHeight="1" x14ac:dyDescent="0.25">
      <c r="B827" s="88" t="s">
        <v>739</v>
      </c>
      <c r="C827" s="234"/>
      <c r="D827" s="234"/>
      <c r="E827" s="235">
        <v>121</v>
      </c>
      <c r="F827" s="232"/>
      <c r="G827" s="231"/>
      <c r="H827" s="242"/>
      <c r="I827" s="171"/>
    </row>
    <row r="828" spans="2:9" ht="15.75" customHeight="1" x14ac:dyDescent="0.25">
      <c r="B828" s="89" t="s">
        <v>24</v>
      </c>
      <c r="C828" s="234"/>
      <c r="D828" s="234"/>
      <c r="E828" s="235"/>
      <c r="F828" s="232" t="s">
        <v>740</v>
      </c>
      <c r="G828" s="231"/>
      <c r="H828" s="242"/>
      <c r="I828" s="115" t="s">
        <v>22</v>
      </c>
    </row>
    <row r="829" spans="2:9" ht="15.75" customHeight="1" x14ac:dyDescent="0.25">
      <c r="B829" s="89"/>
      <c r="C829" s="234"/>
      <c r="D829" s="234"/>
      <c r="E829" s="235"/>
      <c r="F829" s="232" t="s">
        <v>741</v>
      </c>
      <c r="G829" s="231"/>
      <c r="H829" s="242"/>
      <c r="I829" s="171" t="s">
        <v>10</v>
      </c>
    </row>
    <row r="830" spans="2:9" ht="15.75" customHeight="1" x14ac:dyDescent="0.25">
      <c r="B830" s="120" t="s">
        <v>26</v>
      </c>
      <c r="C830" s="234"/>
      <c r="D830" s="234"/>
      <c r="E830" s="235"/>
      <c r="F830" s="232" t="s">
        <v>740</v>
      </c>
      <c r="G830" s="231"/>
      <c r="H830" s="242"/>
      <c r="I830" s="115" t="s">
        <v>22</v>
      </c>
    </row>
    <row r="831" spans="2:9" ht="15.75" customHeight="1" x14ac:dyDescent="0.25">
      <c r="B831" s="88"/>
      <c r="C831" s="234"/>
      <c r="D831" s="234"/>
      <c r="E831" s="235"/>
      <c r="F831" s="232" t="s">
        <v>741</v>
      </c>
      <c r="G831" s="231"/>
      <c r="H831" s="242"/>
      <c r="I831" s="171" t="s">
        <v>10</v>
      </c>
    </row>
    <row r="832" spans="2:9" ht="15.75" customHeight="1" x14ac:dyDescent="0.25">
      <c r="B832" s="88"/>
      <c r="C832" s="234"/>
      <c r="D832" s="234"/>
      <c r="E832" s="235">
        <v>122</v>
      </c>
      <c r="F832" s="232"/>
      <c r="G832" s="231"/>
      <c r="H832" s="242"/>
      <c r="I832" s="171"/>
    </row>
    <row r="833" spans="2:9" ht="15.75" customHeight="1" x14ac:dyDescent="0.25">
      <c r="B833" s="90" t="s">
        <v>742</v>
      </c>
      <c r="C833" s="234"/>
      <c r="D833" s="234"/>
      <c r="E833" s="235">
        <v>123</v>
      </c>
      <c r="F833" s="232"/>
      <c r="G833" s="231"/>
      <c r="H833" s="242"/>
      <c r="I833" s="171"/>
    </row>
    <row r="834" spans="2:9" ht="15.75" customHeight="1" x14ac:dyDescent="0.25">
      <c r="B834" s="89" t="s">
        <v>24</v>
      </c>
      <c r="C834" s="234"/>
      <c r="D834" s="234"/>
      <c r="E834" s="235"/>
      <c r="F834" s="232" t="s">
        <v>740</v>
      </c>
      <c r="G834" s="231"/>
      <c r="H834" s="242"/>
      <c r="I834" s="115" t="s">
        <v>22</v>
      </c>
    </row>
    <row r="835" spans="2:9" ht="15.75" customHeight="1" x14ac:dyDescent="0.25">
      <c r="B835" s="89"/>
      <c r="C835" s="234"/>
      <c r="D835" s="234"/>
      <c r="E835" s="235"/>
      <c r="F835" s="232" t="s">
        <v>741</v>
      </c>
      <c r="G835" s="231"/>
      <c r="H835" s="242"/>
      <c r="I835" s="171" t="s">
        <v>10</v>
      </c>
    </row>
    <row r="836" spans="2:9" ht="15.75" customHeight="1" x14ac:dyDescent="0.25">
      <c r="B836" s="120" t="s">
        <v>26</v>
      </c>
      <c r="C836" s="234"/>
      <c r="D836" s="234"/>
      <c r="E836" s="235"/>
      <c r="F836" s="232" t="s">
        <v>740</v>
      </c>
      <c r="G836" s="231"/>
      <c r="H836" s="242"/>
      <c r="I836" s="117" t="s">
        <v>22</v>
      </c>
    </row>
    <row r="837" spans="2:9" ht="15.75" customHeight="1" x14ac:dyDescent="0.25">
      <c r="B837" s="88"/>
      <c r="C837" s="234"/>
      <c r="D837" s="234"/>
      <c r="E837" s="235"/>
      <c r="F837" s="232" t="s">
        <v>741</v>
      </c>
      <c r="G837" s="231"/>
      <c r="H837" s="242"/>
      <c r="I837" s="97" t="s">
        <v>10</v>
      </c>
    </row>
    <row r="838" spans="2:9" ht="15.75" customHeight="1" x14ac:dyDescent="0.25">
      <c r="B838" s="90" t="s">
        <v>743</v>
      </c>
      <c r="C838" s="234"/>
      <c r="D838" s="234"/>
      <c r="E838" s="235"/>
      <c r="F838" s="232">
        <v>0</v>
      </c>
      <c r="G838" s="231"/>
      <c r="H838" s="242"/>
      <c r="I838" s="115" t="s">
        <v>22</v>
      </c>
    </row>
    <row r="839" spans="2:9" ht="15.75" customHeight="1" x14ac:dyDescent="0.25">
      <c r="B839" s="88"/>
      <c r="C839" s="234"/>
      <c r="D839" s="234"/>
      <c r="E839" s="235"/>
      <c r="F839" s="232">
        <v>0</v>
      </c>
      <c r="G839" s="231"/>
      <c r="H839" s="242"/>
      <c r="I839" s="171" t="s">
        <v>10</v>
      </c>
    </row>
    <row r="840" spans="2:9" ht="15.75" customHeight="1" x14ac:dyDescent="0.25">
      <c r="B840" s="88"/>
      <c r="C840" s="234"/>
      <c r="D840" s="234"/>
      <c r="E840" s="235">
        <v>124</v>
      </c>
      <c r="F840" s="232"/>
      <c r="G840" s="231"/>
      <c r="H840" s="242"/>
      <c r="I840" s="171"/>
    </row>
    <row r="841" spans="2:9" ht="38.25" customHeight="1" x14ac:dyDescent="0.25">
      <c r="B841" s="88" t="s">
        <v>744</v>
      </c>
      <c r="C841" s="234"/>
      <c r="D841" s="234"/>
      <c r="E841" s="235"/>
      <c r="F841" s="232" t="s">
        <v>745</v>
      </c>
      <c r="G841" s="231"/>
      <c r="H841" s="242"/>
      <c r="I841" s="115" t="s">
        <v>22</v>
      </c>
    </row>
    <row r="842" spans="2:9" ht="38.25" customHeight="1" x14ac:dyDescent="0.25">
      <c r="B842" s="202"/>
      <c r="C842" s="234"/>
      <c r="D842" s="234"/>
      <c r="E842" s="235"/>
      <c r="F842" s="232" t="s">
        <v>746</v>
      </c>
      <c r="G842" s="231"/>
      <c r="H842" s="242"/>
      <c r="I842" s="171" t="s">
        <v>10</v>
      </c>
    </row>
    <row r="843" spans="2:9" ht="25.5" customHeight="1" x14ac:dyDescent="0.25">
      <c r="B843" s="89" t="s">
        <v>24</v>
      </c>
      <c r="C843" s="234"/>
      <c r="D843" s="234"/>
      <c r="E843" s="235"/>
      <c r="F843" s="232" t="s">
        <v>747</v>
      </c>
      <c r="G843" s="231"/>
      <c r="H843" s="242"/>
      <c r="I843" s="115" t="s">
        <v>22</v>
      </c>
    </row>
    <row r="844" spans="2:9" ht="25.5" customHeight="1" x14ac:dyDescent="0.25">
      <c r="B844" s="89"/>
      <c r="C844" s="234"/>
      <c r="D844" s="234"/>
      <c r="E844" s="235"/>
      <c r="F844" s="232" t="s">
        <v>748</v>
      </c>
      <c r="G844" s="231"/>
      <c r="H844" s="242"/>
      <c r="I844" s="171" t="s">
        <v>10</v>
      </c>
    </row>
    <row r="845" spans="2:9" ht="25.5" customHeight="1" x14ac:dyDescent="0.25">
      <c r="B845" s="120" t="s">
        <v>28</v>
      </c>
      <c r="C845" s="234"/>
      <c r="D845" s="234"/>
      <c r="E845" s="235"/>
      <c r="F845" s="232" t="s">
        <v>747</v>
      </c>
      <c r="G845" s="231"/>
      <c r="H845" s="242"/>
      <c r="I845" s="117" t="s">
        <v>22</v>
      </c>
    </row>
    <row r="846" spans="2:9" ht="25.5" customHeight="1" x14ac:dyDescent="0.25">
      <c r="B846" s="89"/>
      <c r="C846" s="234"/>
      <c r="D846" s="234"/>
      <c r="E846" s="235"/>
      <c r="F846" s="232" t="s">
        <v>748</v>
      </c>
      <c r="G846" s="231"/>
      <c r="H846" s="242"/>
      <c r="I846" s="97" t="s">
        <v>10</v>
      </c>
    </row>
    <row r="847" spans="2:9" ht="15.75" customHeight="1" x14ac:dyDescent="0.25">
      <c r="B847" s="89" t="s">
        <v>315</v>
      </c>
      <c r="C847" s="234"/>
      <c r="D847" s="234"/>
      <c r="E847" s="235"/>
      <c r="F847" s="232" t="s">
        <v>749</v>
      </c>
      <c r="G847" s="231"/>
      <c r="H847" s="242"/>
      <c r="I847" s="115" t="s">
        <v>22</v>
      </c>
    </row>
    <row r="848" spans="2:9" ht="15.75" customHeight="1" x14ac:dyDescent="0.25">
      <c r="B848" s="89"/>
      <c r="C848" s="234"/>
      <c r="D848" s="234"/>
      <c r="E848" s="235"/>
      <c r="F848" s="232" t="s">
        <v>750</v>
      </c>
      <c r="G848" s="231"/>
      <c r="H848" s="242"/>
      <c r="I848" s="171" t="s">
        <v>10</v>
      </c>
    </row>
    <row r="849" spans="2:9" ht="15.75" customHeight="1" x14ac:dyDescent="0.25">
      <c r="B849" s="120" t="s">
        <v>317</v>
      </c>
      <c r="C849" s="234"/>
      <c r="D849" s="234"/>
      <c r="E849" s="235"/>
      <c r="F849" s="232" t="s">
        <v>749</v>
      </c>
      <c r="G849" s="231"/>
      <c r="H849" s="242"/>
      <c r="I849" s="117" t="s">
        <v>22</v>
      </c>
    </row>
    <row r="850" spans="2:9" ht="15.75" customHeight="1" x14ac:dyDescent="0.25">
      <c r="B850" s="120"/>
      <c r="C850" s="234"/>
      <c r="D850" s="234"/>
      <c r="E850" s="235"/>
      <c r="F850" s="232" t="s">
        <v>750</v>
      </c>
      <c r="G850" s="231"/>
      <c r="H850" s="242"/>
      <c r="I850" s="97" t="s">
        <v>10</v>
      </c>
    </row>
    <row r="851" spans="2:9" ht="25.5" customHeight="1" x14ac:dyDescent="0.25">
      <c r="B851" s="90" t="s">
        <v>751</v>
      </c>
      <c r="C851" s="234"/>
      <c r="D851" s="234"/>
      <c r="E851" s="235"/>
      <c r="F851" s="232" t="s">
        <v>752</v>
      </c>
      <c r="G851" s="231"/>
      <c r="H851" s="242"/>
      <c r="I851" s="115" t="s">
        <v>22</v>
      </c>
    </row>
    <row r="852" spans="2:9" ht="25.5" customHeight="1" x14ac:dyDescent="0.25">
      <c r="B852" s="88"/>
      <c r="C852" s="234"/>
      <c r="D852" s="234"/>
      <c r="E852" s="235"/>
      <c r="F852" s="232" t="s">
        <v>753</v>
      </c>
      <c r="G852" s="231"/>
      <c r="H852" s="242"/>
      <c r="I852" s="171" t="s">
        <v>10</v>
      </c>
    </row>
    <row r="853" spans="2:9" ht="15.75" customHeight="1" x14ac:dyDescent="0.25">
      <c r="B853" s="89" t="s">
        <v>24</v>
      </c>
      <c r="C853" s="234"/>
      <c r="D853" s="234"/>
      <c r="E853" s="235"/>
      <c r="F853" s="232" t="s">
        <v>754</v>
      </c>
      <c r="G853" s="231"/>
      <c r="H853" s="242"/>
      <c r="I853" s="115" t="s">
        <v>22</v>
      </c>
    </row>
    <row r="854" spans="2:9" ht="15.75" customHeight="1" x14ac:dyDescent="0.25">
      <c r="B854" s="88"/>
      <c r="C854" s="234"/>
      <c r="D854" s="234"/>
      <c r="E854" s="235"/>
      <c r="F854" s="232" t="s">
        <v>755</v>
      </c>
      <c r="G854" s="231"/>
      <c r="H854" s="242"/>
      <c r="I854" s="171" t="s">
        <v>10</v>
      </c>
    </row>
    <row r="855" spans="2:9" ht="15.75" customHeight="1" x14ac:dyDescent="0.25">
      <c r="B855" s="120" t="s">
        <v>28</v>
      </c>
      <c r="C855" s="234"/>
      <c r="D855" s="234"/>
      <c r="E855" s="235"/>
      <c r="F855" s="232" t="s">
        <v>754</v>
      </c>
      <c r="G855" s="231"/>
      <c r="H855" s="242"/>
      <c r="I855" s="117" t="s">
        <v>22</v>
      </c>
    </row>
    <row r="856" spans="2:9" ht="15.75" customHeight="1" x14ac:dyDescent="0.25">
      <c r="B856" s="89"/>
      <c r="C856" s="234"/>
      <c r="D856" s="234"/>
      <c r="E856" s="235"/>
      <c r="F856" s="232" t="s">
        <v>755</v>
      </c>
      <c r="G856" s="231"/>
      <c r="H856" s="242"/>
      <c r="I856" s="119" t="s">
        <v>10</v>
      </c>
    </row>
    <row r="857" spans="2:9" ht="15.75" customHeight="1" x14ac:dyDescent="0.25">
      <c r="B857" s="106" t="s">
        <v>82</v>
      </c>
      <c r="C857" s="234"/>
      <c r="D857" s="234"/>
      <c r="E857" s="235"/>
      <c r="F857" s="232" t="s">
        <v>756</v>
      </c>
      <c r="G857" s="231"/>
      <c r="H857" s="242"/>
      <c r="I857" s="118" t="s">
        <v>22</v>
      </c>
    </row>
    <row r="858" spans="2:9" ht="15.75" customHeight="1" x14ac:dyDescent="0.25">
      <c r="B858" s="120"/>
      <c r="C858" s="234"/>
      <c r="D858" s="234"/>
      <c r="E858" s="235"/>
      <c r="F858" s="232" t="s">
        <v>757</v>
      </c>
      <c r="G858" s="231"/>
      <c r="H858" s="242"/>
      <c r="I858" s="119" t="s">
        <v>10</v>
      </c>
    </row>
    <row r="859" spans="2:9" ht="15.75" customHeight="1" x14ac:dyDescent="0.25">
      <c r="B859" s="106" t="s">
        <v>52</v>
      </c>
      <c r="C859" s="234"/>
      <c r="D859" s="234"/>
      <c r="E859" s="235"/>
      <c r="F859" s="232" t="s">
        <v>758</v>
      </c>
      <c r="G859" s="231"/>
      <c r="H859" s="242"/>
      <c r="I859" s="118" t="s">
        <v>22</v>
      </c>
    </row>
    <row r="860" spans="2:9" ht="15.75" customHeight="1" x14ac:dyDescent="0.25">
      <c r="B860" s="89"/>
      <c r="C860" s="234"/>
      <c r="D860" s="234"/>
      <c r="E860" s="235"/>
      <c r="F860" s="232" t="s">
        <v>759</v>
      </c>
      <c r="G860" s="231"/>
      <c r="H860" s="242"/>
      <c r="I860" s="119" t="s">
        <v>10</v>
      </c>
    </row>
    <row r="861" spans="2:9" ht="15.75" customHeight="1" x14ac:dyDescent="0.25">
      <c r="B861" s="89" t="s">
        <v>315</v>
      </c>
      <c r="C861" s="234"/>
      <c r="D861" s="234"/>
      <c r="E861" s="235"/>
      <c r="F861" s="232" t="s">
        <v>760</v>
      </c>
      <c r="G861" s="231"/>
      <c r="H861" s="242"/>
      <c r="I861" s="115" t="s">
        <v>22</v>
      </c>
    </row>
    <row r="862" spans="2:9" ht="15.75" customHeight="1" x14ac:dyDescent="0.25">
      <c r="B862" s="89"/>
      <c r="C862" s="234"/>
      <c r="D862" s="234"/>
      <c r="E862" s="235"/>
      <c r="F862" s="232" t="s">
        <v>761</v>
      </c>
      <c r="G862" s="231"/>
      <c r="H862" s="242"/>
      <c r="I862" s="171" t="s">
        <v>10</v>
      </c>
    </row>
    <row r="863" spans="2:9" ht="15.75" customHeight="1" x14ac:dyDescent="0.25">
      <c r="B863" s="120" t="s">
        <v>317</v>
      </c>
      <c r="C863" s="234"/>
      <c r="D863" s="234"/>
      <c r="E863" s="235"/>
      <c r="F863" s="232" t="s">
        <v>760</v>
      </c>
      <c r="G863" s="231"/>
      <c r="H863" s="242"/>
      <c r="I863" s="117" t="s">
        <v>22</v>
      </c>
    </row>
    <row r="864" spans="2:9" ht="15.75" customHeight="1" x14ac:dyDescent="0.25">
      <c r="B864" s="120"/>
      <c r="C864" s="234"/>
      <c r="D864" s="234"/>
      <c r="E864" s="235"/>
      <c r="F864" s="232" t="s">
        <v>761</v>
      </c>
      <c r="G864" s="231"/>
      <c r="H864" s="242"/>
      <c r="I864" s="97" t="s">
        <v>10</v>
      </c>
    </row>
    <row r="865" spans="2:9" ht="25.5" customHeight="1" x14ac:dyDescent="0.25">
      <c r="B865" s="90" t="s">
        <v>762</v>
      </c>
      <c r="C865" s="234"/>
      <c r="D865" s="234"/>
      <c r="E865" s="235"/>
      <c r="F865" s="232" t="s">
        <v>763</v>
      </c>
      <c r="G865" s="231"/>
      <c r="H865" s="242"/>
      <c r="I865" s="115" t="s">
        <v>22</v>
      </c>
    </row>
    <row r="866" spans="2:9" ht="25.5" customHeight="1" x14ac:dyDescent="0.25">
      <c r="B866" s="88"/>
      <c r="C866" s="234"/>
      <c r="D866" s="234"/>
      <c r="E866" s="235"/>
      <c r="F866" s="232" t="s">
        <v>764</v>
      </c>
      <c r="G866" s="231"/>
      <c r="H866" s="242"/>
      <c r="I866" s="171" t="s">
        <v>10</v>
      </c>
    </row>
    <row r="867" spans="2:9" ht="25.5" customHeight="1" x14ac:dyDescent="0.25">
      <c r="B867" s="89" t="s">
        <v>24</v>
      </c>
      <c r="C867" s="234"/>
      <c r="D867" s="234"/>
      <c r="E867" s="235"/>
      <c r="F867" s="232" t="s">
        <v>765</v>
      </c>
      <c r="G867" s="231"/>
      <c r="H867" s="242"/>
      <c r="I867" s="115" t="s">
        <v>22</v>
      </c>
    </row>
    <row r="868" spans="2:9" ht="25.5" customHeight="1" x14ac:dyDescent="0.25">
      <c r="B868" s="88"/>
      <c r="C868" s="234"/>
      <c r="D868" s="234"/>
      <c r="E868" s="235"/>
      <c r="F868" s="232" t="s">
        <v>766</v>
      </c>
      <c r="G868" s="231"/>
      <c r="H868" s="242"/>
      <c r="I868" s="171" t="s">
        <v>10</v>
      </c>
    </row>
    <row r="869" spans="2:9" ht="25.5" customHeight="1" x14ac:dyDescent="0.25">
      <c r="B869" s="120" t="s">
        <v>28</v>
      </c>
      <c r="C869" s="234"/>
      <c r="D869" s="234"/>
      <c r="E869" s="235"/>
      <c r="F869" s="232" t="s">
        <v>765</v>
      </c>
      <c r="G869" s="231"/>
      <c r="H869" s="242"/>
      <c r="I869" s="117" t="s">
        <v>22</v>
      </c>
    </row>
    <row r="870" spans="2:9" ht="25.5" customHeight="1" x14ac:dyDescent="0.25">
      <c r="B870" s="89"/>
      <c r="C870" s="234"/>
      <c r="D870" s="234"/>
      <c r="E870" s="235"/>
      <c r="F870" s="232" t="s">
        <v>766</v>
      </c>
      <c r="G870" s="231"/>
      <c r="H870" s="242"/>
      <c r="I870" s="97" t="s">
        <v>10</v>
      </c>
    </row>
    <row r="871" spans="2:9" ht="15.75" customHeight="1" x14ac:dyDescent="0.25">
      <c r="B871" s="106" t="s">
        <v>82</v>
      </c>
      <c r="C871" s="234"/>
      <c r="D871" s="234"/>
      <c r="E871" s="235"/>
      <c r="F871" s="232" t="s">
        <v>767</v>
      </c>
      <c r="G871" s="231"/>
      <c r="H871" s="242"/>
      <c r="I871" s="118" t="s">
        <v>22</v>
      </c>
    </row>
    <row r="872" spans="2:9" ht="15.75" customHeight="1" x14ac:dyDescent="0.25">
      <c r="B872" s="106"/>
      <c r="C872" s="234"/>
      <c r="D872" s="234"/>
      <c r="E872" s="235"/>
      <c r="F872" s="232" t="s">
        <v>768</v>
      </c>
      <c r="G872" s="231"/>
      <c r="H872" s="242"/>
      <c r="I872" s="119" t="s">
        <v>10</v>
      </c>
    </row>
    <row r="873" spans="2:9" ht="15.75" customHeight="1" x14ac:dyDescent="0.25">
      <c r="B873" s="106" t="s">
        <v>52</v>
      </c>
      <c r="C873" s="234"/>
      <c r="D873" s="234"/>
      <c r="E873" s="235"/>
      <c r="F873" s="232" t="s">
        <v>769</v>
      </c>
      <c r="G873" s="231"/>
      <c r="H873" s="242"/>
      <c r="I873" s="118" t="s">
        <v>22</v>
      </c>
    </row>
    <row r="874" spans="2:9" ht="15.75" customHeight="1" x14ac:dyDescent="0.25">
      <c r="B874" s="122"/>
      <c r="C874" s="234"/>
      <c r="D874" s="234"/>
      <c r="E874" s="235"/>
      <c r="F874" s="232" t="s">
        <v>770</v>
      </c>
      <c r="G874" s="231"/>
      <c r="H874" s="242"/>
      <c r="I874" s="119" t="s">
        <v>10</v>
      </c>
    </row>
    <row r="875" spans="2:9" ht="15.75" customHeight="1" x14ac:dyDescent="0.25">
      <c r="B875" s="76" t="s">
        <v>85</v>
      </c>
      <c r="C875" s="234"/>
      <c r="D875" s="234"/>
      <c r="E875" s="235"/>
      <c r="F875" s="232" t="s">
        <v>771</v>
      </c>
      <c r="G875" s="231"/>
      <c r="H875" s="242"/>
      <c r="I875" s="118" t="s">
        <v>22</v>
      </c>
    </row>
    <row r="876" spans="2:9" ht="15.75" customHeight="1" x14ac:dyDescent="0.25">
      <c r="B876" s="106"/>
      <c r="C876" s="234"/>
      <c r="D876" s="234"/>
      <c r="E876" s="235"/>
      <c r="F876" s="232" t="s">
        <v>772</v>
      </c>
      <c r="G876" s="231"/>
      <c r="H876" s="242"/>
      <c r="I876" s="119" t="s">
        <v>10</v>
      </c>
    </row>
    <row r="877" spans="2:9" ht="15.75" customHeight="1" x14ac:dyDescent="0.25">
      <c r="B877" s="89" t="s">
        <v>315</v>
      </c>
      <c r="C877" s="234"/>
      <c r="D877" s="234"/>
      <c r="E877" s="235"/>
      <c r="F877" s="232" t="s">
        <v>773</v>
      </c>
      <c r="G877" s="231"/>
      <c r="H877" s="242"/>
      <c r="I877" s="115" t="s">
        <v>22</v>
      </c>
    </row>
    <row r="878" spans="2:9" ht="15.75" customHeight="1" x14ac:dyDescent="0.25">
      <c r="B878" s="89"/>
      <c r="C878" s="234"/>
      <c r="D878" s="234"/>
      <c r="E878" s="235"/>
      <c r="F878" s="232" t="s">
        <v>774</v>
      </c>
      <c r="G878" s="231"/>
      <c r="H878" s="242"/>
      <c r="I878" s="171" t="s">
        <v>10</v>
      </c>
    </row>
    <row r="879" spans="2:9" ht="15.75" customHeight="1" x14ac:dyDescent="0.25">
      <c r="B879" s="120" t="s">
        <v>317</v>
      </c>
      <c r="C879" s="234"/>
      <c r="D879" s="234"/>
      <c r="E879" s="235"/>
      <c r="F879" s="232" t="s">
        <v>773</v>
      </c>
      <c r="G879" s="231"/>
      <c r="H879" s="242"/>
      <c r="I879" s="117" t="s">
        <v>22</v>
      </c>
    </row>
    <row r="880" spans="2:9" ht="15.75" customHeight="1" x14ac:dyDescent="0.25">
      <c r="B880" s="120"/>
      <c r="C880" s="234"/>
      <c r="D880" s="234"/>
      <c r="E880" s="235"/>
      <c r="F880" s="232" t="s">
        <v>774</v>
      </c>
      <c r="G880" s="231"/>
      <c r="H880" s="242"/>
      <c r="I880" s="97" t="s">
        <v>10</v>
      </c>
    </row>
    <row r="881" spans="2:9" ht="15.75" customHeight="1" x14ac:dyDescent="0.25">
      <c r="B881" s="120"/>
      <c r="C881" s="234"/>
      <c r="D881" s="234"/>
      <c r="E881" s="235">
        <v>125</v>
      </c>
      <c r="F881" s="232"/>
      <c r="G881" s="231"/>
      <c r="H881" s="242"/>
      <c r="I881" s="171"/>
    </row>
    <row r="882" spans="2:9" ht="15.75" customHeight="1" x14ac:dyDescent="0.25">
      <c r="B882" s="88" t="s">
        <v>775</v>
      </c>
      <c r="C882" s="234"/>
      <c r="D882" s="234"/>
      <c r="E882" s="235">
        <v>126</v>
      </c>
      <c r="F882" s="232"/>
      <c r="G882" s="231"/>
      <c r="H882" s="242"/>
      <c r="I882" s="171"/>
    </row>
    <row r="883" spans="2:9" ht="15.75" customHeight="1" x14ac:dyDescent="0.25">
      <c r="B883" s="89" t="s">
        <v>95</v>
      </c>
      <c r="C883" s="234"/>
      <c r="D883" s="234"/>
      <c r="E883" s="235"/>
      <c r="F883" s="232" t="s">
        <v>776</v>
      </c>
      <c r="G883" s="231"/>
      <c r="H883" s="242"/>
      <c r="I883" s="115" t="s">
        <v>22</v>
      </c>
    </row>
    <row r="884" spans="2:9" ht="15.75" customHeight="1" x14ac:dyDescent="0.25">
      <c r="B884" s="89"/>
      <c r="C884" s="234"/>
      <c r="D884" s="234"/>
      <c r="E884" s="235"/>
      <c r="F884" s="232" t="s">
        <v>777</v>
      </c>
      <c r="G884" s="231"/>
      <c r="H884" s="242"/>
      <c r="I884" s="171" t="s">
        <v>10</v>
      </c>
    </row>
    <row r="885" spans="2:9" ht="15.75" customHeight="1" x14ac:dyDescent="0.25">
      <c r="B885" s="120" t="s">
        <v>778</v>
      </c>
      <c r="C885" s="234"/>
      <c r="D885" s="234"/>
      <c r="E885" s="235"/>
      <c r="F885" s="232" t="s">
        <v>776</v>
      </c>
      <c r="G885" s="231"/>
      <c r="H885" s="242"/>
      <c r="I885" s="117" t="s">
        <v>22</v>
      </c>
    </row>
    <row r="886" spans="2:9" ht="15.75" customHeight="1" x14ac:dyDescent="0.25">
      <c r="B886" s="88"/>
      <c r="C886" s="234"/>
      <c r="D886" s="234"/>
      <c r="E886" s="235"/>
      <c r="F886" s="232" t="s">
        <v>777</v>
      </c>
      <c r="G886" s="231"/>
      <c r="H886" s="242"/>
      <c r="I886" s="97" t="s">
        <v>10</v>
      </c>
    </row>
    <row r="887" spans="2:9" ht="15.75" customHeight="1" x14ac:dyDescent="0.25">
      <c r="B887" s="90" t="s">
        <v>779</v>
      </c>
      <c r="C887" s="234"/>
      <c r="D887" s="234"/>
      <c r="E887" s="235">
        <v>127</v>
      </c>
      <c r="F887" s="232"/>
      <c r="G887" s="231"/>
      <c r="H887" s="242"/>
      <c r="I887" s="115"/>
    </row>
    <row r="888" spans="2:9" ht="15.75" customHeight="1" x14ac:dyDescent="0.25">
      <c r="B888" s="89" t="s">
        <v>95</v>
      </c>
      <c r="C888" s="234"/>
      <c r="D888" s="234"/>
      <c r="E888" s="235"/>
      <c r="F888" s="232" t="s">
        <v>776</v>
      </c>
      <c r="G888" s="231"/>
      <c r="H888" s="242"/>
      <c r="I888" s="115" t="s">
        <v>22</v>
      </c>
    </row>
    <row r="889" spans="2:9" ht="15.75" customHeight="1" x14ac:dyDescent="0.25">
      <c r="B889" s="89"/>
      <c r="C889" s="234"/>
      <c r="D889" s="234"/>
      <c r="E889" s="235"/>
      <c r="F889" s="232" t="s">
        <v>777</v>
      </c>
      <c r="G889" s="231"/>
      <c r="H889" s="242"/>
      <c r="I889" s="171" t="s">
        <v>10</v>
      </c>
    </row>
    <row r="890" spans="2:9" ht="15.75" customHeight="1" x14ac:dyDescent="0.25">
      <c r="B890" s="120" t="s">
        <v>498</v>
      </c>
      <c r="C890" s="234"/>
      <c r="D890" s="234"/>
      <c r="E890" s="235"/>
      <c r="F890" s="232" t="s">
        <v>776</v>
      </c>
      <c r="G890" s="231"/>
      <c r="H890" s="242"/>
      <c r="I890" s="117" t="s">
        <v>22</v>
      </c>
    </row>
    <row r="891" spans="2:9" ht="15.75" customHeight="1" x14ac:dyDescent="0.25">
      <c r="B891" s="88"/>
      <c r="C891" s="234"/>
      <c r="D891" s="234"/>
      <c r="E891" s="235"/>
      <c r="F891" s="232" t="s">
        <v>777</v>
      </c>
      <c r="G891" s="231"/>
      <c r="H891" s="242"/>
      <c r="I891" s="97" t="s">
        <v>10</v>
      </c>
    </row>
    <row r="892" spans="2:9" ht="15.75" customHeight="1" x14ac:dyDescent="0.25">
      <c r="B892" s="90" t="s">
        <v>780</v>
      </c>
      <c r="C892" s="234"/>
      <c r="D892" s="234"/>
      <c r="E892" s="235"/>
      <c r="F892" s="232">
        <v>0</v>
      </c>
      <c r="G892" s="231"/>
      <c r="H892" s="242"/>
      <c r="I892" s="115" t="s">
        <v>22</v>
      </c>
    </row>
    <row r="893" spans="2:9" ht="15.75" customHeight="1" x14ac:dyDescent="0.25">
      <c r="B893" s="88"/>
      <c r="C893" s="234"/>
      <c r="D893" s="234"/>
      <c r="E893" s="235"/>
      <c r="F893" s="232">
        <v>0</v>
      </c>
      <c r="G893" s="231"/>
      <c r="H893" s="242"/>
      <c r="I893" s="171" t="s">
        <v>10</v>
      </c>
    </row>
    <row r="894" spans="2:9" ht="15.75" customHeight="1" x14ac:dyDescent="0.25">
      <c r="B894" s="88"/>
      <c r="C894" s="234"/>
      <c r="D894" s="234"/>
      <c r="E894" s="235">
        <v>128</v>
      </c>
      <c r="F894" s="232"/>
      <c r="G894" s="231"/>
      <c r="H894" s="242"/>
      <c r="I894" s="171"/>
    </row>
    <row r="895" spans="2:9" ht="25.5" customHeight="1" x14ac:dyDescent="0.25">
      <c r="B895" s="88" t="s">
        <v>781</v>
      </c>
      <c r="C895" s="234"/>
      <c r="D895" s="234"/>
      <c r="E895" s="235"/>
      <c r="F895" s="232" t="s">
        <v>782</v>
      </c>
      <c r="G895" s="231"/>
      <c r="H895" s="242"/>
      <c r="I895" s="115" t="s">
        <v>22</v>
      </c>
    </row>
    <row r="896" spans="2:9" ht="25.5" customHeight="1" x14ac:dyDescent="0.25">
      <c r="B896" s="88"/>
      <c r="C896" s="234"/>
      <c r="D896" s="234"/>
      <c r="E896" s="235"/>
      <c r="F896" s="232" t="s">
        <v>783</v>
      </c>
      <c r="G896" s="231"/>
      <c r="H896" s="242"/>
      <c r="I896" s="171" t="s">
        <v>10</v>
      </c>
    </row>
    <row r="897" spans="2:9" ht="15.75" customHeight="1" x14ac:dyDescent="0.25">
      <c r="B897" s="89" t="s">
        <v>102</v>
      </c>
      <c r="C897" s="234"/>
      <c r="D897" s="234"/>
      <c r="E897" s="235"/>
      <c r="F897" s="232" t="s">
        <v>784</v>
      </c>
      <c r="G897" s="231"/>
      <c r="H897" s="242"/>
      <c r="I897" s="115" t="s">
        <v>22</v>
      </c>
    </row>
    <row r="898" spans="2:9" ht="15.75" customHeight="1" x14ac:dyDescent="0.25">
      <c r="B898" s="88"/>
      <c r="C898" s="234"/>
      <c r="D898" s="234"/>
      <c r="E898" s="235"/>
      <c r="F898" s="232" t="s">
        <v>785</v>
      </c>
      <c r="G898" s="231"/>
      <c r="H898" s="242"/>
      <c r="I898" s="171" t="s">
        <v>10</v>
      </c>
    </row>
    <row r="899" spans="2:9" ht="15.75" customHeight="1" x14ac:dyDescent="0.25">
      <c r="B899" s="89" t="s">
        <v>109</v>
      </c>
      <c r="C899" s="234"/>
      <c r="D899" s="234"/>
      <c r="E899" s="235"/>
      <c r="F899" s="232" t="s">
        <v>786</v>
      </c>
      <c r="G899" s="231"/>
      <c r="H899" s="242"/>
      <c r="I899" s="115" t="s">
        <v>22</v>
      </c>
    </row>
    <row r="900" spans="2:9" ht="15.75" customHeight="1" x14ac:dyDescent="0.25">
      <c r="B900" s="88"/>
      <c r="C900" s="234"/>
      <c r="D900" s="234"/>
      <c r="E900" s="235"/>
      <c r="F900" s="232" t="s">
        <v>787</v>
      </c>
      <c r="G900" s="231"/>
      <c r="H900" s="242"/>
      <c r="I900" s="171" t="s">
        <v>10</v>
      </c>
    </row>
    <row r="901" spans="2:9" ht="15.75" customHeight="1" x14ac:dyDescent="0.25">
      <c r="B901" s="89" t="s">
        <v>104</v>
      </c>
      <c r="C901" s="234"/>
      <c r="D901" s="234"/>
      <c r="E901" s="235"/>
      <c r="F901" s="232" t="s">
        <v>788</v>
      </c>
      <c r="G901" s="231"/>
      <c r="H901" s="242"/>
      <c r="I901" s="115" t="s">
        <v>22</v>
      </c>
    </row>
    <row r="902" spans="2:9" ht="15.75" customHeight="1" x14ac:dyDescent="0.25">
      <c r="B902" s="88"/>
      <c r="C902" s="234"/>
      <c r="D902" s="234"/>
      <c r="E902" s="235"/>
      <c r="F902" s="232" t="s">
        <v>789</v>
      </c>
      <c r="G902" s="231"/>
      <c r="H902" s="242"/>
      <c r="I902" s="171" t="s">
        <v>10</v>
      </c>
    </row>
    <row r="903" spans="2:9" ht="15.75" customHeight="1" x14ac:dyDescent="0.25">
      <c r="B903" s="81" t="s">
        <v>106</v>
      </c>
      <c r="C903" s="234"/>
      <c r="D903" s="234"/>
      <c r="E903" s="235"/>
      <c r="F903" s="232" t="s">
        <v>790</v>
      </c>
      <c r="G903" s="231"/>
      <c r="H903" s="242"/>
      <c r="I903" s="115" t="s">
        <v>22</v>
      </c>
    </row>
    <row r="904" spans="2:9" ht="15.75" customHeight="1" x14ac:dyDescent="0.25">
      <c r="B904" s="88"/>
      <c r="C904" s="234"/>
      <c r="D904" s="234"/>
      <c r="E904" s="235"/>
      <c r="F904" s="232" t="s">
        <v>791</v>
      </c>
      <c r="G904" s="231"/>
      <c r="H904" s="242"/>
      <c r="I904" s="171" t="s">
        <v>10</v>
      </c>
    </row>
    <row r="905" spans="2:9" ht="15.75" customHeight="1" x14ac:dyDescent="0.25">
      <c r="B905" s="89" t="s">
        <v>127</v>
      </c>
      <c r="C905" s="234"/>
      <c r="D905" s="234"/>
      <c r="E905" s="235"/>
      <c r="F905" s="232">
        <v>0</v>
      </c>
      <c r="G905" s="231"/>
      <c r="H905" s="242"/>
      <c r="I905" s="115" t="s">
        <v>22</v>
      </c>
    </row>
    <row r="906" spans="2:9" ht="15.75" customHeight="1" x14ac:dyDescent="0.25">
      <c r="B906" s="109"/>
      <c r="C906" s="234"/>
      <c r="D906" s="234"/>
      <c r="E906" s="235"/>
      <c r="F906" s="232">
        <v>0</v>
      </c>
      <c r="G906" s="231"/>
      <c r="H906" s="242"/>
      <c r="I906" s="171" t="s">
        <v>10</v>
      </c>
    </row>
    <row r="907" spans="2:9" ht="25.5" customHeight="1" x14ac:dyDescent="0.25">
      <c r="B907" s="90" t="s">
        <v>792</v>
      </c>
      <c r="C907" s="234"/>
      <c r="D907" s="234"/>
      <c r="E907" s="235"/>
      <c r="F907" s="232" t="s">
        <v>793</v>
      </c>
      <c r="G907" s="231"/>
      <c r="H907" s="242"/>
      <c r="I907" s="115" t="s">
        <v>22</v>
      </c>
    </row>
    <row r="908" spans="2:9" ht="25.5" customHeight="1" x14ac:dyDescent="0.25">
      <c r="B908" s="88"/>
      <c r="C908" s="234"/>
      <c r="D908" s="234"/>
      <c r="E908" s="235"/>
      <c r="F908" s="232" t="s">
        <v>794</v>
      </c>
      <c r="G908" s="231"/>
      <c r="H908" s="242"/>
      <c r="I908" s="171" t="s">
        <v>10</v>
      </c>
    </row>
    <row r="909" spans="2:9" ht="15.75" customHeight="1" x14ac:dyDescent="0.25">
      <c r="B909" s="89" t="s">
        <v>109</v>
      </c>
      <c r="C909" s="234"/>
      <c r="D909" s="234"/>
      <c r="E909" s="235"/>
      <c r="F909" s="232" t="s">
        <v>795</v>
      </c>
      <c r="G909" s="231"/>
      <c r="H909" s="242"/>
      <c r="I909" s="115" t="s">
        <v>22</v>
      </c>
    </row>
    <row r="910" spans="2:9" ht="15.75" customHeight="1" x14ac:dyDescent="0.25">
      <c r="B910" s="88"/>
      <c r="C910" s="234"/>
      <c r="D910" s="234"/>
      <c r="E910" s="235"/>
      <c r="F910" s="232" t="s">
        <v>796</v>
      </c>
      <c r="G910" s="231"/>
      <c r="H910" s="242"/>
      <c r="I910" s="171" t="s">
        <v>10</v>
      </c>
    </row>
    <row r="911" spans="2:9" ht="15.75" customHeight="1" x14ac:dyDescent="0.25">
      <c r="B911" s="89" t="s">
        <v>104</v>
      </c>
      <c r="C911" s="234"/>
      <c r="D911" s="234"/>
      <c r="E911" s="235"/>
      <c r="F911" s="232" t="s">
        <v>788</v>
      </c>
      <c r="G911" s="231"/>
      <c r="H911" s="242"/>
      <c r="I911" s="115" t="s">
        <v>22</v>
      </c>
    </row>
    <row r="912" spans="2:9" ht="15.75" customHeight="1" x14ac:dyDescent="0.25">
      <c r="B912" s="88"/>
      <c r="C912" s="234"/>
      <c r="D912" s="234"/>
      <c r="E912" s="235"/>
      <c r="F912" s="232" t="s">
        <v>789</v>
      </c>
      <c r="G912" s="231"/>
      <c r="H912" s="242"/>
      <c r="I912" s="171" t="s">
        <v>10</v>
      </c>
    </row>
    <row r="913" spans="2:9" ht="15.75" customHeight="1" x14ac:dyDescent="0.25">
      <c r="B913" s="81" t="s">
        <v>106</v>
      </c>
      <c r="C913" s="234"/>
      <c r="D913" s="234"/>
      <c r="E913" s="235"/>
      <c r="F913" s="232" t="s">
        <v>790</v>
      </c>
      <c r="G913" s="231"/>
      <c r="H913" s="242"/>
      <c r="I913" s="115" t="s">
        <v>22</v>
      </c>
    </row>
    <row r="914" spans="2:9" ht="15.75" customHeight="1" x14ac:dyDescent="0.25">
      <c r="B914" s="88"/>
      <c r="C914" s="234"/>
      <c r="D914" s="234"/>
      <c r="E914" s="235"/>
      <c r="F914" s="232" t="s">
        <v>791</v>
      </c>
      <c r="G914" s="231"/>
      <c r="H914" s="242"/>
      <c r="I914" s="171" t="s">
        <v>10</v>
      </c>
    </row>
    <row r="915" spans="2:9" ht="15.75" customHeight="1" x14ac:dyDescent="0.25">
      <c r="B915" s="90" t="s">
        <v>797</v>
      </c>
      <c r="C915" s="234"/>
      <c r="D915" s="234"/>
      <c r="E915" s="235"/>
      <c r="F915" s="232" t="s">
        <v>798</v>
      </c>
      <c r="G915" s="231"/>
      <c r="H915" s="242"/>
      <c r="I915" s="115" t="s">
        <v>22</v>
      </c>
    </row>
    <row r="916" spans="2:9" ht="15.75" customHeight="1" x14ac:dyDescent="0.25">
      <c r="B916" s="88"/>
      <c r="C916" s="234"/>
      <c r="D916" s="234"/>
      <c r="E916" s="235"/>
      <c r="F916" s="232" t="s">
        <v>799</v>
      </c>
      <c r="G916" s="231"/>
      <c r="H916" s="242"/>
      <c r="I916" s="171" t="s">
        <v>10</v>
      </c>
    </row>
    <row r="917" spans="2:9" ht="15.75" customHeight="1" x14ac:dyDescent="0.25">
      <c r="B917" s="89" t="s">
        <v>102</v>
      </c>
      <c r="C917" s="234"/>
      <c r="D917" s="234"/>
      <c r="E917" s="235"/>
      <c r="F917" s="232" t="s">
        <v>784</v>
      </c>
      <c r="G917" s="231"/>
      <c r="H917" s="242"/>
      <c r="I917" s="115" t="s">
        <v>22</v>
      </c>
    </row>
    <row r="918" spans="2:9" ht="15.75" customHeight="1" x14ac:dyDescent="0.25">
      <c r="B918" s="88"/>
      <c r="C918" s="234"/>
      <c r="D918" s="234"/>
      <c r="E918" s="235"/>
      <c r="F918" s="232" t="s">
        <v>785</v>
      </c>
      <c r="G918" s="231"/>
      <c r="H918" s="242"/>
      <c r="I918" s="171" t="s">
        <v>10</v>
      </c>
    </row>
    <row r="919" spans="2:9" ht="15.75" customHeight="1" x14ac:dyDescent="0.25">
      <c r="B919" s="89" t="s">
        <v>800</v>
      </c>
      <c r="C919" s="234"/>
      <c r="D919" s="234"/>
      <c r="E919" s="235">
        <v>129</v>
      </c>
      <c r="F919" s="232"/>
      <c r="G919" s="231"/>
      <c r="H919" s="242"/>
      <c r="I919" s="171" t="s">
        <v>22</v>
      </c>
    </row>
    <row r="920" spans="2:9" ht="15.75" customHeight="1" x14ac:dyDescent="0.25">
      <c r="B920" s="88"/>
      <c r="C920" s="234"/>
      <c r="D920" s="234"/>
      <c r="E920" s="235">
        <v>130</v>
      </c>
      <c r="F920" s="232"/>
      <c r="G920" s="231"/>
      <c r="H920" s="242"/>
      <c r="I920" s="171" t="s">
        <v>10</v>
      </c>
    </row>
    <row r="921" spans="2:9" ht="15.75" customHeight="1" x14ac:dyDescent="0.25">
      <c r="B921" s="89" t="s">
        <v>801</v>
      </c>
      <c r="C921" s="234"/>
      <c r="D921" s="234"/>
      <c r="E921" s="235">
        <v>131</v>
      </c>
      <c r="F921" s="232"/>
      <c r="G921" s="231"/>
      <c r="H921" s="242"/>
      <c r="I921" s="115" t="s">
        <v>22</v>
      </c>
    </row>
    <row r="922" spans="2:9" ht="15.75" customHeight="1" x14ac:dyDescent="0.25">
      <c r="B922" s="109"/>
      <c r="C922" s="234"/>
      <c r="D922" s="234"/>
      <c r="E922" s="235">
        <v>132</v>
      </c>
      <c r="F922" s="232"/>
      <c r="G922" s="231"/>
      <c r="H922" s="242"/>
      <c r="I922" s="171" t="s">
        <v>10</v>
      </c>
    </row>
    <row r="923" spans="2:9" ht="15.75" customHeight="1" x14ac:dyDescent="0.25">
      <c r="B923" s="120"/>
      <c r="C923" s="234"/>
      <c r="D923" s="234"/>
      <c r="E923" s="235">
        <v>133</v>
      </c>
      <c r="F923" s="232"/>
      <c r="G923" s="231"/>
      <c r="H923" s="242"/>
      <c r="I923" s="171"/>
    </row>
    <row r="924" spans="2:9" ht="25.5" customHeight="1" x14ac:dyDescent="0.25">
      <c r="B924" s="88" t="s">
        <v>802</v>
      </c>
      <c r="C924" s="234"/>
      <c r="D924" s="234"/>
      <c r="E924" s="235"/>
      <c r="F924" s="232" t="s">
        <v>803</v>
      </c>
      <c r="G924" s="231"/>
      <c r="H924" s="242"/>
      <c r="I924" s="171" t="s">
        <v>10</v>
      </c>
    </row>
    <row r="925" spans="2:9" ht="25.5" customHeight="1" x14ac:dyDescent="0.25">
      <c r="B925" s="89" t="s">
        <v>95</v>
      </c>
      <c r="C925" s="234"/>
      <c r="D925" s="234"/>
      <c r="E925" s="235"/>
      <c r="F925" s="232" t="s">
        <v>803</v>
      </c>
      <c r="G925" s="231"/>
      <c r="H925" s="242"/>
      <c r="I925" s="171" t="s">
        <v>10</v>
      </c>
    </row>
    <row r="926" spans="2:9" ht="15.75" customHeight="1" x14ac:dyDescent="0.25">
      <c r="B926" s="120" t="s">
        <v>147</v>
      </c>
      <c r="C926" s="234"/>
      <c r="D926" s="234"/>
      <c r="E926" s="235"/>
      <c r="F926" s="232" t="s">
        <v>804</v>
      </c>
      <c r="G926" s="231"/>
      <c r="H926" s="242"/>
      <c r="I926" s="58" t="s">
        <v>10</v>
      </c>
    </row>
    <row r="927" spans="2:9" ht="15.75" customHeight="1" x14ac:dyDescent="0.25">
      <c r="B927" s="120" t="s">
        <v>491</v>
      </c>
      <c r="C927" s="234"/>
      <c r="D927" s="234"/>
      <c r="E927" s="235"/>
      <c r="F927" s="232" t="s">
        <v>805</v>
      </c>
      <c r="G927" s="231"/>
      <c r="H927" s="242"/>
      <c r="I927" s="58" t="s">
        <v>10</v>
      </c>
    </row>
    <row r="928" spans="2:9" ht="15.75" customHeight="1" x14ac:dyDescent="0.25">
      <c r="B928" s="120" t="s">
        <v>30</v>
      </c>
      <c r="C928" s="234"/>
      <c r="D928" s="234"/>
      <c r="E928" s="235"/>
      <c r="F928" s="232" t="s">
        <v>806</v>
      </c>
      <c r="G928" s="231"/>
      <c r="H928" s="242"/>
      <c r="I928" s="58" t="s">
        <v>10</v>
      </c>
    </row>
    <row r="929" spans="2:9" ht="25.5" customHeight="1" x14ac:dyDescent="0.25">
      <c r="B929" s="90" t="s">
        <v>807</v>
      </c>
      <c r="C929" s="234"/>
      <c r="D929" s="234"/>
      <c r="E929" s="235"/>
      <c r="F929" s="232" t="s">
        <v>808</v>
      </c>
      <c r="G929" s="231"/>
      <c r="H929" s="242"/>
      <c r="I929" s="171" t="s">
        <v>10</v>
      </c>
    </row>
    <row r="930" spans="2:9" ht="25.5" customHeight="1" x14ac:dyDescent="0.25">
      <c r="B930" s="89" t="s">
        <v>95</v>
      </c>
      <c r="C930" s="234"/>
      <c r="D930" s="234"/>
      <c r="E930" s="235"/>
      <c r="F930" s="232" t="s">
        <v>808</v>
      </c>
      <c r="G930" s="231"/>
      <c r="H930" s="242"/>
      <c r="I930" s="171" t="s">
        <v>10</v>
      </c>
    </row>
    <row r="931" spans="2:9" ht="15.75" customHeight="1" x14ac:dyDescent="0.25">
      <c r="B931" s="120" t="s">
        <v>368</v>
      </c>
      <c r="C931" s="234"/>
      <c r="D931" s="234"/>
      <c r="E931" s="235"/>
      <c r="F931" s="232" t="s">
        <v>809</v>
      </c>
      <c r="G931" s="231"/>
      <c r="H931" s="242"/>
      <c r="I931" s="58" t="s">
        <v>10</v>
      </c>
    </row>
    <row r="932" spans="2:9" ht="15.75" customHeight="1" x14ac:dyDescent="0.25">
      <c r="B932" s="120" t="s">
        <v>491</v>
      </c>
      <c r="C932" s="234"/>
      <c r="D932" s="234"/>
      <c r="E932" s="235"/>
      <c r="F932" s="232" t="s">
        <v>805</v>
      </c>
      <c r="G932" s="231"/>
      <c r="H932" s="242"/>
      <c r="I932" s="58" t="s">
        <v>10</v>
      </c>
    </row>
    <row r="933" spans="2:9" ht="15.75" customHeight="1" x14ac:dyDescent="0.25">
      <c r="B933" s="120" t="s">
        <v>30</v>
      </c>
      <c r="C933" s="234"/>
      <c r="D933" s="234"/>
      <c r="E933" s="235"/>
      <c r="F933" s="232" t="s">
        <v>806</v>
      </c>
      <c r="G933" s="231"/>
      <c r="H933" s="242"/>
      <c r="I933" s="58" t="s">
        <v>10</v>
      </c>
    </row>
    <row r="934" spans="2:9" ht="15.75" customHeight="1" x14ac:dyDescent="0.25">
      <c r="B934" s="90" t="s">
        <v>810</v>
      </c>
      <c r="C934" s="234"/>
      <c r="D934" s="234"/>
      <c r="E934" s="235"/>
      <c r="F934" s="232">
        <v>0</v>
      </c>
      <c r="G934" s="231"/>
      <c r="H934" s="242"/>
      <c r="I934" s="171" t="s">
        <v>10</v>
      </c>
    </row>
    <row r="935" spans="2:9" ht="15.75" customHeight="1" x14ac:dyDescent="0.25">
      <c r="B935" s="89" t="s">
        <v>811</v>
      </c>
      <c r="C935" s="234"/>
      <c r="D935" s="234"/>
      <c r="E935" s="235"/>
      <c r="F935" s="232">
        <v>0</v>
      </c>
      <c r="G935" s="231"/>
      <c r="H935" s="242"/>
      <c r="I935" s="171" t="s">
        <v>10</v>
      </c>
    </row>
    <row r="936" spans="2:9" ht="15.75" customHeight="1" x14ac:dyDescent="0.25">
      <c r="B936" s="120" t="s">
        <v>368</v>
      </c>
      <c r="C936" s="234"/>
      <c r="D936" s="234"/>
      <c r="E936" s="235">
        <v>134</v>
      </c>
      <c r="F936" s="232"/>
      <c r="G936" s="231"/>
      <c r="H936" s="242"/>
      <c r="I936" s="58" t="s">
        <v>10</v>
      </c>
    </row>
    <row r="937" spans="2:9" ht="15.75" customHeight="1" x14ac:dyDescent="0.25">
      <c r="B937" s="202"/>
      <c r="C937" s="234"/>
      <c r="D937" s="234"/>
      <c r="E937" s="235">
        <v>135</v>
      </c>
      <c r="F937" s="232"/>
      <c r="G937" s="231"/>
      <c r="H937" s="242"/>
      <c r="I937" s="171"/>
    </row>
    <row r="938" spans="2:9" ht="15.75" customHeight="1" x14ac:dyDescent="0.25">
      <c r="B938" s="123" t="s">
        <v>812</v>
      </c>
      <c r="C938" s="234"/>
      <c r="D938" s="234"/>
      <c r="E938" s="235">
        <v>136</v>
      </c>
      <c r="F938" s="232"/>
      <c r="G938" s="231"/>
      <c r="H938" s="242"/>
      <c r="I938" s="92"/>
    </row>
    <row r="939" spans="2:9" ht="15.75" customHeight="1" x14ac:dyDescent="0.25">
      <c r="B939" s="123"/>
      <c r="C939" s="234"/>
      <c r="D939" s="234"/>
      <c r="E939" s="235">
        <v>137</v>
      </c>
      <c r="F939" s="232"/>
      <c r="G939" s="231"/>
      <c r="H939" s="242"/>
      <c r="I939" s="92" t="s">
        <v>10</v>
      </c>
    </row>
    <row r="940" spans="2:9" ht="15.75" customHeight="1" x14ac:dyDescent="0.25">
      <c r="B940" s="94" t="s">
        <v>95</v>
      </c>
      <c r="C940" s="234"/>
      <c r="D940" s="234"/>
      <c r="E940" s="235">
        <v>138</v>
      </c>
      <c r="F940" s="232"/>
      <c r="G940" s="231"/>
      <c r="H940" s="242"/>
      <c r="I940" s="92" t="s">
        <v>10</v>
      </c>
    </row>
    <row r="941" spans="2:9" ht="15.75" customHeight="1" x14ac:dyDescent="0.25">
      <c r="B941" s="93" t="s">
        <v>147</v>
      </c>
      <c r="C941" s="234"/>
      <c r="D941" s="234"/>
      <c r="E941" s="235">
        <v>139</v>
      </c>
      <c r="F941" s="232"/>
      <c r="G941" s="231"/>
      <c r="H941" s="242"/>
      <c r="I941" s="61" t="s">
        <v>10</v>
      </c>
    </row>
    <row r="942" spans="2:9" ht="15.75" customHeight="1" x14ac:dyDescent="0.25">
      <c r="B942" s="104" t="s">
        <v>813</v>
      </c>
      <c r="C942" s="234"/>
      <c r="D942" s="234"/>
      <c r="E942" s="235">
        <v>140</v>
      </c>
      <c r="F942" s="232"/>
      <c r="G942" s="231"/>
      <c r="H942" s="242"/>
      <c r="I942" s="92" t="s">
        <v>10</v>
      </c>
    </row>
    <row r="943" spans="2:9" ht="15.75" customHeight="1" x14ac:dyDescent="0.25">
      <c r="B943" s="94" t="s">
        <v>95</v>
      </c>
      <c r="C943" s="234"/>
      <c r="D943" s="234"/>
      <c r="E943" s="235">
        <v>141</v>
      </c>
      <c r="F943" s="232"/>
      <c r="G943" s="231"/>
      <c r="H943" s="242"/>
      <c r="I943" s="92" t="s">
        <v>10</v>
      </c>
    </row>
    <row r="944" spans="2:9" ht="15.75" customHeight="1" x14ac:dyDescent="0.25">
      <c r="B944" s="93" t="s">
        <v>147</v>
      </c>
      <c r="C944" s="234"/>
      <c r="D944" s="234"/>
      <c r="E944" s="235">
        <v>142</v>
      </c>
      <c r="F944" s="232"/>
      <c r="G944" s="231"/>
      <c r="H944" s="242"/>
      <c r="I944" s="61" t="s">
        <v>10</v>
      </c>
    </row>
    <row r="945" spans="2:9" ht="15.75" customHeight="1" x14ac:dyDescent="0.25">
      <c r="B945" s="104" t="s">
        <v>814</v>
      </c>
      <c r="C945" s="234"/>
      <c r="D945" s="234"/>
      <c r="E945" s="235">
        <v>143</v>
      </c>
      <c r="F945" s="232"/>
      <c r="G945" s="231"/>
      <c r="H945" s="242"/>
      <c r="I945" s="92" t="s">
        <v>10</v>
      </c>
    </row>
    <row r="946" spans="2:9" ht="15.75" customHeight="1" x14ac:dyDescent="0.25">
      <c r="B946" s="123"/>
      <c r="C946" s="234"/>
      <c r="D946" s="234"/>
      <c r="E946" s="235">
        <v>144</v>
      </c>
      <c r="F946" s="232"/>
      <c r="G946" s="231"/>
      <c r="H946" s="242"/>
      <c r="I946" s="92"/>
    </row>
    <row r="947" spans="2:9" ht="15.75" customHeight="1" x14ac:dyDescent="0.25">
      <c r="B947" s="123"/>
      <c r="C947" s="234"/>
      <c r="D947" s="234"/>
      <c r="E947" s="235">
        <v>145</v>
      </c>
      <c r="F947" s="232"/>
      <c r="G947" s="231"/>
      <c r="H947" s="242"/>
      <c r="I947" s="92"/>
    </row>
    <row r="948" spans="2:9" ht="15.75" customHeight="1" x14ac:dyDescent="0.25">
      <c r="B948" s="124" t="s">
        <v>815</v>
      </c>
      <c r="C948" s="234"/>
      <c r="D948" s="234"/>
      <c r="E948" s="235">
        <v>146</v>
      </c>
      <c r="F948" s="232"/>
      <c r="G948" s="231"/>
      <c r="H948" s="242"/>
      <c r="I948" s="92"/>
    </row>
    <row r="949" spans="2:9" ht="15.75" customHeight="1" x14ac:dyDescent="0.25">
      <c r="B949" s="123"/>
      <c r="C949" s="234"/>
      <c r="D949" s="234"/>
      <c r="E949" s="235">
        <v>147</v>
      </c>
      <c r="F949" s="232"/>
      <c r="G949" s="231"/>
      <c r="H949" s="242"/>
      <c r="I949" s="92"/>
    </row>
    <row r="950" spans="2:9" ht="15.75" customHeight="1" x14ac:dyDescent="0.25">
      <c r="B950" s="123" t="s">
        <v>816</v>
      </c>
      <c r="C950" s="234"/>
      <c r="D950" s="234"/>
      <c r="E950" s="235">
        <v>148</v>
      </c>
      <c r="F950" s="232"/>
      <c r="G950" s="231"/>
      <c r="H950" s="242"/>
      <c r="I950" s="92"/>
    </row>
    <row r="951" spans="2:9" ht="15.75" customHeight="1" x14ac:dyDescent="0.25">
      <c r="B951" s="94" t="s">
        <v>817</v>
      </c>
      <c r="C951" s="234"/>
      <c r="D951" s="234"/>
      <c r="E951" s="235"/>
      <c r="F951" s="232" t="s">
        <v>818</v>
      </c>
      <c r="G951" s="231"/>
      <c r="H951" s="242"/>
      <c r="I951" s="92" t="s">
        <v>10</v>
      </c>
    </row>
    <row r="952" spans="2:9" ht="15.75" customHeight="1" x14ac:dyDescent="0.25">
      <c r="B952" s="93" t="s">
        <v>819</v>
      </c>
      <c r="C952" s="234"/>
      <c r="D952" s="234"/>
      <c r="E952" s="235">
        <v>149</v>
      </c>
      <c r="F952" s="232"/>
      <c r="G952" s="231"/>
      <c r="H952" s="242"/>
      <c r="I952" s="92"/>
    </row>
    <row r="953" spans="2:9" ht="15.75" customHeight="1" x14ac:dyDescent="0.25">
      <c r="B953" s="125"/>
      <c r="C953" s="234"/>
      <c r="D953" s="234"/>
      <c r="E953" s="235">
        <v>150</v>
      </c>
      <c r="F953" s="232"/>
      <c r="G953" s="231"/>
      <c r="H953" s="242"/>
      <c r="I953" s="92"/>
    </row>
    <row r="954" spans="2:9" ht="15.75" customHeight="1" x14ac:dyDescent="0.25">
      <c r="B954" s="126"/>
      <c r="C954" s="234"/>
      <c r="D954" s="234"/>
      <c r="E954" s="235">
        <v>151</v>
      </c>
      <c r="F954" s="232"/>
      <c r="G954" s="231"/>
      <c r="H954" s="242"/>
      <c r="I954" s="92"/>
    </row>
    <row r="955" spans="2:9" ht="15.75" customHeight="1" x14ac:dyDescent="0.25">
      <c r="B955" s="123" t="s">
        <v>820</v>
      </c>
      <c r="C955" s="234"/>
      <c r="D955" s="234"/>
      <c r="E955" s="235">
        <v>152</v>
      </c>
      <c r="F955" s="232"/>
      <c r="G955" s="231"/>
      <c r="H955" s="242"/>
      <c r="I955" s="92"/>
    </row>
    <row r="956" spans="2:9" ht="15.75" customHeight="1" x14ac:dyDescent="0.25">
      <c r="B956" s="94" t="s">
        <v>95</v>
      </c>
      <c r="C956" s="234"/>
      <c r="D956" s="234"/>
      <c r="E956" s="235">
        <v>153</v>
      </c>
      <c r="F956" s="232"/>
      <c r="G956" s="231"/>
      <c r="H956" s="242"/>
      <c r="I956" s="92" t="s">
        <v>10</v>
      </c>
    </row>
    <row r="957" spans="2:9" x14ac:dyDescent="0.25">
      <c r="B957" s="127" t="s">
        <v>821</v>
      </c>
      <c r="C957" s="234"/>
      <c r="D957" s="234"/>
      <c r="E957" s="235">
        <v>154</v>
      </c>
      <c r="F957" s="232"/>
      <c r="G957" s="231"/>
      <c r="H957" s="242"/>
      <c r="I957" s="152"/>
    </row>
    <row r="958" spans="2:9" x14ac:dyDescent="0.25">
      <c r="B958" s="128"/>
      <c r="C958" s="234"/>
      <c r="D958" s="234"/>
      <c r="E958" s="235">
        <v>155</v>
      </c>
      <c r="F958" s="232"/>
      <c r="G958" s="231"/>
      <c r="H958" s="242"/>
      <c r="I958" s="129"/>
    </row>
    <row r="959" spans="2:9" ht="15.75" customHeight="1" x14ac:dyDescent="0.25">
      <c r="B959" s="125"/>
      <c r="C959" s="234"/>
      <c r="D959" s="234"/>
      <c r="E959" s="235">
        <v>156</v>
      </c>
      <c r="F959" s="232"/>
      <c r="G959" s="231"/>
      <c r="H959" s="242"/>
      <c r="I959" s="130"/>
    </row>
    <row r="960" spans="2:9" ht="15.75" customHeight="1" x14ac:dyDescent="0.25">
      <c r="B960" s="125"/>
      <c r="C960" s="234"/>
      <c r="D960" s="234"/>
      <c r="E960" s="235">
        <v>157</v>
      </c>
      <c r="F960" s="232"/>
      <c r="G960" s="231"/>
      <c r="H960" s="242"/>
      <c r="I960" s="130"/>
    </row>
    <row r="961" spans="2:9" ht="15.75" customHeight="1" x14ac:dyDescent="0.25">
      <c r="B961" s="88" t="s">
        <v>822</v>
      </c>
      <c r="C961" s="234"/>
      <c r="D961" s="234"/>
      <c r="E961" s="235">
        <v>158</v>
      </c>
      <c r="F961" s="232"/>
      <c r="G961" s="231"/>
      <c r="H961" s="242"/>
      <c r="I961" s="88"/>
    </row>
    <row r="962" spans="2:9" ht="15.75" customHeight="1" x14ac:dyDescent="0.25">
      <c r="B962" s="88" t="s">
        <v>823</v>
      </c>
      <c r="C962" s="234"/>
      <c r="D962" s="234"/>
      <c r="E962" s="235">
        <v>159</v>
      </c>
      <c r="F962" s="232"/>
      <c r="G962" s="231"/>
      <c r="H962" s="242"/>
      <c r="I962" s="88"/>
    </row>
    <row r="963" spans="2:9" ht="15.75" customHeight="1" x14ac:dyDescent="0.25">
      <c r="B963" s="131"/>
      <c r="C963" s="234"/>
      <c r="D963" s="234"/>
      <c r="E963" s="235">
        <v>160</v>
      </c>
      <c r="F963" s="232"/>
      <c r="G963" s="231"/>
      <c r="H963" s="242"/>
      <c r="I963" s="171"/>
    </row>
    <row r="964" spans="2:9" ht="15.75" customHeight="1" x14ac:dyDescent="0.25">
      <c r="B964" s="132" t="s">
        <v>824</v>
      </c>
      <c r="C964" s="234"/>
      <c r="D964" s="234"/>
      <c r="E964" s="235">
        <v>161</v>
      </c>
      <c r="F964" s="232"/>
      <c r="G964" s="231"/>
      <c r="H964" s="242"/>
      <c r="I964" s="132"/>
    </row>
    <row r="965" spans="2:9" ht="15.75" customHeight="1" x14ac:dyDescent="0.25">
      <c r="B965" s="88"/>
      <c r="C965" s="234"/>
      <c r="D965" s="234"/>
      <c r="E965" s="235">
        <v>162</v>
      </c>
      <c r="F965" s="232"/>
      <c r="G965" s="231"/>
      <c r="H965" s="242"/>
      <c r="I965" s="171"/>
    </row>
    <row r="966" spans="2:9" ht="15.75" customHeight="1" x14ac:dyDescent="0.25">
      <c r="B966" s="133" t="s">
        <v>19</v>
      </c>
      <c r="C966" s="234"/>
      <c r="D966" s="234"/>
      <c r="E966" s="235">
        <v>163</v>
      </c>
      <c r="F966" s="232"/>
      <c r="G966" s="231"/>
      <c r="H966" s="242"/>
      <c r="I966" s="134"/>
    </row>
    <row r="967" spans="2:9" ht="15.75" customHeight="1" x14ac:dyDescent="0.25">
      <c r="B967" s="135"/>
      <c r="C967" s="234"/>
      <c r="D967" s="234"/>
      <c r="E967" s="235">
        <v>164</v>
      </c>
      <c r="F967" s="232"/>
      <c r="G967" s="231"/>
      <c r="H967" s="242"/>
      <c r="I967" s="134"/>
    </row>
    <row r="968" spans="2:9" ht="15.75" customHeight="1" x14ac:dyDescent="0.25">
      <c r="B968" s="133" t="s">
        <v>825</v>
      </c>
      <c r="C968" s="234"/>
      <c r="D968" s="234"/>
      <c r="E968" s="235">
        <v>165</v>
      </c>
      <c r="F968" s="232"/>
      <c r="G968" s="231"/>
      <c r="H968" s="242"/>
      <c r="I968" s="134" t="s">
        <v>826</v>
      </c>
    </row>
    <row r="969" spans="2:9" ht="15.75" customHeight="1" x14ac:dyDescent="0.25">
      <c r="B969" s="136" t="s">
        <v>824</v>
      </c>
      <c r="C969" s="234"/>
      <c r="D969" s="234"/>
      <c r="E969" s="235">
        <v>166</v>
      </c>
      <c r="F969" s="232"/>
      <c r="G969" s="231"/>
      <c r="H969" s="242"/>
      <c r="I969" s="134" t="s">
        <v>826</v>
      </c>
    </row>
    <row r="970" spans="2:9" ht="15.75" customHeight="1" x14ac:dyDescent="0.25">
      <c r="B970" s="133"/>
      <c r="C970" s="234"/>
      <c r="D970" s="234"/>
      <c r="E970" s="235">
        <v>167</v>
      </c>
      <c r="F970" s="232"/>
      <c r="G970" s="231"/>
      <c r="H970" s="242"/>
      <c r="I970" s="134"/>
    </row>
    <row r="971" spans="2:9" ht="15.75" customHeight="1" x14ac:dyDescent="0.25">
      <c r="B971" s="133" t="s">
        <v>296</v>
      </c>
      <c r="C971" s="234"/>
      <c r="D971" s="234"/>
      <c r="E971" s="235">
        <v>168</v>
      </c>
      <c r="F971" s="232"/>
      <c r="G971" s="231"/>
      <c r="H971" s="242"/>
      <c r="I971" s="134"/>
    </row>
    <row r="972" spans="2:9" ht="15.75" customHeight="1" x14ac:dyDescent="0.25">
      <c r="B972" s="133" t="s">
        <v>827</v>
      </c>
      <c r="C972" s="234"/>
      <c r="D972" s="234"/>
      <c r="E972" s="235">
        <v>169</v>
      </c>
      <c r="F972" s="232"/>
      <c r="G972" s="231"/>
      <c r="H972" s="242"/>
      <c r="I972" s="137" t="s">
        <v>826</v>
      </c>
    </row>
    <row r="973" spans="2:9" ht="15.75" customHeight="1" x14ac:dyDescent="0.25">
      <c r="B973" s="133"/>
      <c r="C973" s="234"/>
      <c r="D973" s="234"/>
      <c r="E973" s="235">
        <v>170</v>
      </c>
      <c r="F973" s="232"/>
      <c r="G973" s="231"/>
      <c r="H973" s="242"/>
      <c r="I973" s="134" t="s">
        <v>10</v>
      </c>
    </row>
    <row r="974" spans="2:9" ht="15.75" customHeight="1" x14ac:dyDescent="0.25">
      <c r="B974" s="136" t="s">
        <v>824</v>
      </c>
      <c r="C974" s="234"/>
      <c r="D974" s="234"/>
      <c r="E974" s="235">
        <v>171</v>
      </c>
      <c r="F974" s="232"/>
      <c r="G974" s="231"/>
      <c r="H974" s="242"/>
      <c r="I974" s="137" t="s">
        <v>826</v>
      </c>
    </row>
    <row r="975" spans="2:9" ht="15.75" customHeight="1" x14ac:dyDescent="0.25">
      <c r="B975" s="136"/>
      <c r="C975" s="234"/>
      <c r="D975" s="234"/>
      <c r="E975" s="235">
        <v>172</v>
      </c>
      <c r="F975" s="232"/>
      <c r="G975" s="231"/>
      <c r="H975" s="242"/>
      <c r="I975" s="134" t="s">
        <v>10</v>
      </c>
    </row>
    <row r="976" spans="2:9" ht="15.75" customHeight="1" x14ac:dyDescent="0.25">
      <c r="B976" s="88" t="s">
        <v>828</v>
      </c>
      <c r="C976" s="234"/>
      <c r="D976" s="234"/>
      <c r="E976" s="235"/>
      <c r="F976" s="232" t="s">
        <v>829</v>
      </c>
      <c r="G976" s="231"/>
      <c r="H976" s="242"/>
      <c r="I976" s="171" t="s">
        <v>10</v>
      </c>
    </row>
    <row r="977" spans="2:9" ht="15.75" customHeight="1" x14ac:dyDescent="0.25">
      <c r="B977" s="120" t="s">
        <v>824</v>
      </c>
      <c r="C977" s="234"/>
      <c r="D977" s="234"/>
      <c r="E977" s="235"/>
      <c r="F977" s="232" t="s">
        <v>829</v>
      </c>
      <c r="G977" s="231"/>
      <c r="H977" s="242"/>
      <c r="I977" s="58" t="s">
        <v>10</v>
      </c>
    </row>
    <row r="978" spans="2:9" ht="15.75" customHeight="1" x14ac:dyDescent="0.25">
      <c r="B978" s="120"/>
      <c r="C978" s="234"/>
      <c r="D978" s="234"/>
      <c r="E978" s="235">
        <v>173</v>
      </c>
      <c r="F978" s="232"/>
      <c r="G978" s="231"/>
      <c r="H978" s="242"/>
      <c r="I978" s="171"/>
    </row>
    <row r="979" spans="2:9" ht="15.75" customHeight="1" x14ac:dyDescent="0.25">
      <c r="B979" s="135"/>
      <c r="C979" s="234"/>
      <c r="D979" s="234"/>
      <c r="E979" s="235">
        <v>174</v>
      </c>
      <c r="F979" s="232"/>
      <c r="G979" s="231"/>
      <c r="H979" s="242"/>
      <c r="I979" s="133"/>
    </row>
    <row r="980" spans="2:9" ht="15.75" customHeight="1" x14ac:dyDescent="0.25">
      <c r="B980" s="138" t="s">
        <v>830</v>
      </c>
      <c r="C980" s="234"/>
      <c r="D980" s="234"/>
      <c r="E980" s="235">
        <v>175</v>
      </c>
      <c r="F980" s="232"/>
      <c r="G980" s="231"/>
      <c r="H980" s="242"/>
      <c r="I980" s="134"/>
    </row>
    <row r="981" spans="2:9" ht="15.75" customHeight="1" x14ac:dyDescent="0.25">
      <c r="B981" s="133" t="s">
        <v>825</v>
      </c>
      <c r="C981" s="234"/>
      <c r="D981" s="234"/>
      <c r="E981" s="235">
        <v>176</v>
      </c>
      <c r="F981" s="232"/>
      <c r="G981" s="231"/>
      <c r="H981" s="242"/>
      <c r="I981" s="134" t="s">
        <v>826</v>
      </c>
    </row>
    <row r="982" spans="2:9" ht="15.75" customHeight="1" x14ac:dyDescent="0.25">
      <c r="B982" s="135"/>
      <c r="C982" s="234"/>
      <c r="D982" s="234"/>
      <c r="E982" s="235">
        <v>177</v>
      </c>
      <c r="F982" s="232"/>
      <c r="G982" s="231"/>
      <c r="H982" s="242"/>
      <c r="I982" s="134"/>
    </row>
    <row r="983" spans="2:9" ht="15.75" customHeight="1" x14ac:dyDescent="0.25">
      <c r="B983" s="139" t="s">
        <v>831</v>
      </c>
      <c r="C983" s="234"/>
      <c r="D983" s="234"/>
      <c r="E983" s="235">
        <v>178</v>
      </c>
      <c r="F983" s="232"/>
      <c r="G983" s="231"/>
      <c r="H983" s="242"/>
      <c r="I983" s="134" t="s">
        <v>10</v>
      </c>
    </row>
    <row r="984" spans="2:9" ht="15.75" customHeight="1" x14ac:dyDescent="0.25">
      <c r="B984" s="139"/>
      <c r="C984" s="234"/>
      <c r="D984" s="234"/>
      <c r="E984" s="235">
        <v>179</v>
      </c>
      <c r="F984" s="232"/>
      <c r="G984" s="231"/>
      <c r="H984" s="242"/>
      <c r="I984" s="134"/>
    </row>
    <row r="985" spans="2:9" ht="15.75" customHeight="1" x14ac:dyDescent="0.25">
      <c r="B985" s="140" t="s">
        <v>832</v>
      </c>
      <c r="C985" s="234"/>
      <c r="D985" s="234"/>
      <c r="E985" s="235">
        <v>180</v>
      </c>
      <c r="F985" s="232"/>
      <c r="G985" s="231"/>
      <c r="H985" s="242"/>
      <c r="I985" s="134" t="s">
        <v>10</v>
      </c>
    </row>
    <row r="986" spans="2:9" ht="15.75" customHeight="1" x14ac:dyDescent="0.25">
      <c r="B986" s="135"/>
      <c r="C986" s="234"/>
      <c r="D986" s="234"/>
      <c r="E986" s="235">
        <v>181</v>
      </c>
      <c r="F986" s="232"/>
      <c r="G986" s="231"/>
      <c r="H986" s="242"/>
      <c r="I986" s="134"/>
    </row>
    <row r="987" spans="2:9" ht="15.75" customHeight="1" x14ac:dyDescent="0.25">
      <c r="B987" s="140" t="s">
        <v>833</v>
      </c>
      <c r="C987" s="234"/>
      <c r="D987" s="234"/>
      <c r="E987" s="235">
        <v>182</v>
      </c>
      <c r="F987" s="232"/>
      <c r="G987" s="231"/>
      <c r="H987" s="242"/>
      <c r="I987" s="134" t="s">
        <v>10</v>
      </c>
    </row>
    <row r="988" spans="2:9" ht="15.75" customHeight="1" x14ac:dyDescent="0.25">
      <c r="B988" s="135"/>
      <c r="C988" s="234"/>
      <c r="D988" s="234"/>
      <c r="E988" s="235">
        <v>183</v>
      </c>
      <c r="F988" s="232"/>
      <c r="G988" s="231"/>
      <c r="H988" s="242"/>
      <c r="I988" s="134"/>
    </row>
    <row r="989" spans="2:9" ht="15.75" customHeight="1" x14ac:dyDescent="0.25">
      <c r="B989" s="133" t="s">
        <v>296</v>
      </c>
      <c r="C989" s="234"/>
      <c r="D989" s="234"/>
      <c r="E989" s="235">
        <v>184</v>
      </c>
      <c r="F989" s="232"/>
      <c r="G989" s="231"/>
      <c r="H989" s="242"/>
      <c r="I989" s="134"/>
    </row>
    <row r="990" spans="2:9" ht="15.75" customHeight="1" x14ac:dyDescent="0.25">
      <c r="B990" s="133" t="s">
        <v>827</v>
      </c>
      <c r="C990" s="234"/>
      <c r="D990" s="234"/>
      <c r="E990" s="235">
        <v>185</v>
      </c>
      <c r="F990" s="232"/>
      <c r="G990" s="231"/>
      <c r="H990" s="242"/>
      <c r="I990" s="137" t="s">
        <v>826</v>
      </c>
    </row>
    <row r="991" spans="2:9" ht="15.75" customHeight="1" x14ac:dyDescent="0.25">
      <c r="B991" s="133"/>
      <c r="C991" s="234"/>
      <c r="D991" s="234"/>
      <c r="E991" s="235">
        <v>186</v>
      </c>
      <c r="F991" s="232"/>
      <c r="G991" s="231"/>
      <c r="H991" s="242"/>
      <c r="I991" s="134" t="s">
        <v>10</v>
      </c>
    </row>
    <row r="992" spans="2:9" ht="15.75" customHeight="1" x14ac:dyDescent="0.25">
      <c r="B992" s="136"/>
      <c r="C992" s="234"/>
      <c r="D992" s="234"/>
      <c r="E992" s="235">
        <v>187</v>
      </c>
      <c r="F992" s="232"/>
      <c r="G992" s="231"/>
      <c r="H992" s="242"/>
      <c r="I992" s="134"/>
    </row>
    <row r="993" spans="2:9" ht="25.5" customHeight="1" x14ac:dyDescent="0.25">
      <c r="B993" s="133" t="s">
        <v>834</v>
      </c>
      <c r="C993" s="234"/>
      <c r="D993" s="234"/>
      <c r="E993" s="235"/>
      <c r="F993" s="232" t="s">
        <v>835</v>
      </c>
      <c r="G993" s="231"/>
      <c r="H993" s="242"/>
      <c r="I993" s="134" t="s">
        <v>10</v>
      </c>
    </row>
    <row r="994" spans="2:9" ht="38.25" customHeight="1" x14ac:dyDescent="0.25">
      <c r="B994" s="141" t="s">
        <v>836</v>
      </c>
      <c r="C994" s="234"/>
      <c r="D994" s="234"/>
      <c r="E994" s="235"/>
      <c r="F994" s="232" t="s">
        <v>837</v>
      </c>
      <c r="G994" s="231"/>
      <c r="H994" s="242"/>
      <c r="I994" s="134" t="s">
        <v>10</v>
      </c>
    </row>
    <row r="995" spans="2:9" ht="15.75" customHeight="1" x14ac:dyDescent="0.25">
      <c r="B995" s="142" t="s">
        <v>838</v>
      </c>
      <c r="C995" s="234"/>
      <c r="D995" s="234"/>
      <c r="E995" s="235"/>
      <c r="F995" s="232" t="s">
        <v>839</v>
      </c>
      <c r="G995" s="231"/>
      <c r="H995" s="242"/>
      <c r="I995" s="134" t="s">
        <v>10</v>
      </c>
    </row>
    <row r="996" spans="2:9" ht="15.75" customHeight="1" x14ac:dyDescent="0.25">
      <c r="B996" s="141" t="s">
        <v>840</v>
      </c>
      <c r="C996" s="234"/>
      <c r="D996" s="234"/>
      <c r="E996" s="235"/>
      <c r="F996" s="232">
        <v>153.5</v>
      </c>
      <c r="G996" s="231"/>
      <c r="H996" s="242"/>
      <c r="I996" s="134" t="s">
        <v>10</v>
      </c>
    </row>
    <row r="997" spans="2:9" ht="15.75" customHeight="1" x14ac:dyDescent="0.25">
      <c r="B997" s="135"/>
      <c r="C997" s="234"/>
      <c r="D997" s="234"/>
      <c r="E997" s="235">
        <v>188</v>
      </c>
      <c r="F997" s="232"/>
      <c r="G997" s="231"/>
      <c r="H997" s="242"/>
      <c r="I997" s="134"/>
    </row>
    <row r="998" spans="2:9" ht="15.75" customHeight="1" x14ac:dyDescent="0.25">
      <c r="B998" s="135"/>
      <c r="C998" s="234"/>
      <c r="D998" s="234"/>
      <c r="E998" s="235">
        <v>189</v>
      </c>
      <c r="F998" s="232"/>
      <c r="G998" s="231"/>
      <c r="H998" s="242"/>
      <c r="I998" s="134"/>
    </row>
    <row r="999" spans="2:9" ht="15.75" customHeight="1" x14ac:dyDescent="0.25">
      <c r="B999" s="135"/>
      <c r="C999" s="234"/>
      <c r="D999" s="234"/>
      <c r="E999" s="235">
        <v>190</v>
      </c>
      <c r="F999" s="232"/>
      <c r="G999" s="231"/>
      <c r="H999" s="242"/>
      <c r="I999" s="134"/>
    </row>
    <row r="1000" spans="2:9" ht="15.75" customHeight="1" x14ac:dyDescent="0.25">
      <c r="B1000" s="135"/>
      <c r="C1000" s="234"/>
      <c r="D1000" s="234"/>
      <c r="E1000" s="235">
        <v>191</v>
      </c>
      <c r="F1000" s="232"/>
      <c r="G1000" s="231"/>
      <c r="H1000" s="242"/>
      <c r="I1000" s="134"/>
    </row>
    <row r="1001" spans="2:9" ht="15.75" customHeight="1" x14ac:dyDescent="0.25">
      <c r="B1001" s="88" t="s">
        <v>841</v>
      </c>
      <c r="C1001" s="234"/>
      <c r="D1001" s="234"/>
      <c r="E1001" s="235">
        <v>192</v>
      </c>
      <c r="F1001" s="232"/>
      <c r="G1001" s="231"/>
      <c r="H1001" s="242"/>
      <c r="I1001" s="171"/>
    </row>
    <row r="1002" spans="2:9" ht="15.75" customHeight="1" x14ac:dyDescent="0.25">
      <c r="B1002" s="143"/>
      <c r="C1002" s="234"/>
      <c r="D1002" s="234"/>
      <c r="E1002" s="235">
        <v>193</v>
      </c>
      <c r="F1002" s="232"/>
      <c r="G1002" s="231"/>
      <c r="H1002" s="242"/>
      <c r="I1002" s="171"/>
    </row>
    <row r="1003" spans="2:9" ht="15.75" customHeight="1" x14ac:dyDescent="0.25">
      <c r="B1003" s="147" t="s">
        <v>842</v>
      </c>
      <c r="C1003" s="234"/>
      <c r="D1003" s="234"/>
      <c r="E1003" s="235"/>
      <c r="F1003" s="232" t="s">
        <v>843</v>
      </c>
      <c r="G1003" s="231"/>
      <c r="H1003" s="242"/>
      <c r="I1003" s="171" t="s">
        <v>844</v>
      </c>
    </row>
    <row r="1004" spans="2:9" ht="31.5" customHeight="1" x14ac:dyDescent="0.25">
      <c r="B1004" s="144" t="s">
        <v>845</v>
      </c>
      <c r="C1004" s="234"/>
      <c r="D1004" s="234"/>
      <c r="E1004" s="235"/>
      <c r="F1004" s="232" t="s">
        <v>846</v>
      </c>
      <c r="G1004" s="231"/>
      <c r="H1004" s="242"/>
      <c r="I1004" s="171" t="s">
        <v>844</v>
      </c>
    </row>
    <row r="1005" spans="2:9" ht="15.75" customHeight="1" x14ac:dyDescent="0.25">
      <c r="B1005" s="291" t="s">
        <v>847</v>
      </c>
      <c r="C1005" s="234"/>
      <c r="D1005" s="234"/>
      <c r="E1005" s="235"/>
      <c r="F1005" s="232" t="s">
        <v>848</v>
      </c>
      <c r="G1005" s="231"/>
      <c r="H1005" s="242"/>
      <c r="I1005" s="58" t="s">
        <v>844</v>
      </c>
    </row>
    <row r="1006" spans="2:9" ht="15.75" customHeight="1" x14ac:dyDescent="0.25">
      <c r="B1006" s="283"/>
      <c r="C1006" s="234"/>
      <c r="D1006" s="234"/>
      <c r="E1006" s="235"/>
      <c r="F1006" s="232" t="s">
        <v>849</v>
      </c>
      <c r="G1006" s="231"/>
      <c r="H1006" s="242"/>
      <c r="I1006" s="58" t="s">
        <v>850</v>
      </c>
    </row>
    <row r="1007" spans="2:9" ht="15.75" customHeight="1" x14ac:dyDescent="0.25">
      <c r="B1007" s="259" t="s">
        <v>851</v>
      </c>
      <c r="C1007" s="234"/>
      <c r="D1007" s="234"/>
      <c r="E1007" s="235"/>
      <c r="F1007" s="232" t="s">
        <v>852</v>
      </c>
      <c r="G1007" s="231"/>
      <c r="H1007" s="242"/>
      <c r="I1007" s="58" t="s">
        <v>844</v>
      </c>
    </row>
    <row r="1008" spans="2:9" ht="15.75" customHeight="1" x14ac:dyDescent="0.25">
      <c r="B1008" s="145" t="s">
        <v>853</v>
      </c>
      <c r="C1008" s="234"/>
      <c r="D1008" s="234"/>
      <c r="E1008" s="235"/>
      <c r="F1008" s="232" t="s">
        <v>854</v>
      </c>
      <c r="G1008" s="231"/>
      <c r="H1008" s="242"/>
      <c r="I1008" s="59" t="s">
        <v>844</v>
      </c>
    </row>
    <row r="1009" spans="2:9" ht="15.75" customHeight="1" x14ac:dyDescent="0.25">
      <c r="B1009" s="259" t="s">
        <v>816</v>
      </c>
      <c r="C1009" s="234"/>
      <c r="D1009" s="234"/>
      <c r="E1009" s="235"/>
      <c r="F1009" s="232" t="s">
        <v>855</v>
      </c>
      <c r="G1009" s="231"/>
      <c r="H1009" s="242"/>
      <c r="I1009" s="58" t="s">
        <v>844</v>
      </c>
    </row>
    <row r="1010" spans="2:9" ht="15.75" customHeight="1" x14ac:dyDescent="0.25">
      <c r="B1010" s="145" t="s">
        <v>856</v>
      </c>
      <c r="C1010" s="234"/>
      <c r="D1010" s="234"/>
      <c r="E1010" s="235"/>
      <c r="F1010" s="232" t="s">
        <v>857</v>
      </c>
      <c r="G1010" s="231"/>
      <c r="H1010" s="242"/>
      <c r="I1010" s="59" t="s">
        <v>844</v>
      </c>
    </row>
    <row r="1011" spans="2:9" ht="15.75" customHeight="1" x14ac:dyDescent="0.25">
      <c r="B1011" s="295" t="s">
        <v>858</v>
      </c>
      <c r="C1011" s="234"/>
      <c r="D1011" s="234"/>
      <c r="E1011" s="235"/>
      <c r="F1011" s="232" t="s">
        <v>859</v>
      </c>
      <c r="G1011" s="231"/>
      <c r="H1011" s="242"/>
      <c r="I1011" s="59" t="s">
        <v>844</v>
      </c>
    </row>
    <row r="1012" spans="2:9" ht="15.75" customHeight="1" x14ac:dyDescent="0.25">
      <c r="B1012" s="283"/>
      <c r="C1012" s="234"/>
      <c r="D1012" s="234"/>
      <c r="E1012" s="235"/>
      <c r="F1012" s="232" t="s">
        <v>860</v>
      </c>
      <c r="G1012" s="231"/>
      <c r="H1012" s="242"/>
      <c r="I1012" s="59" t="s">
        <v>850</v>
      </c>
    </row>
    <row r="1013" spans="2:9" ht="15.75" customHeight="1" x14ac:dyDescent="0.25">
      <c r="B1013" s="287" t="s">
        <v>861</v>
      </c>
      <c r="C1013" s="234"/>
      <c r="D1013" s="234"/>
      <c r="E1013" s="235"/>
      <c r="F1013" s="232" t="s">
        <v>862</v>
      </c>
      <c r="G1013" s="231"/>
      <c r="H1013" s="242"/>
      <c r="I1013" s="171" t="s">
        <v>844</v>
      </c>
    </row>
    <row r="1014" spans="2:9" ht="15.75" customHeight="1" x14ac:dyDescent="0.25">
      <c r="B1014" s="283"/>
      <c r="C1014" s="234"/>
      <c r="D1014" s="234"/>
      <c r="E1014" s="235"/>
      <c r="F1014" s="232" t="s">
        <v>863</v>
      </c>
      <c r="G1014" s="231"/>
      <c r="H1014" s="242"/>
      <c r="I1014" s="146" t="s">
        <v>850</v>
      </c>
    </row>
    <row r="1015" spans="2:9" ht="15.75" customHeight="1" x14ac:dyDescent="0.25">
      <c r="B1015" s="291" t="s">
        <v>847</v>
      </c>
      <c r="C1015" s="234"/>
      <c r="D1015" s="234"/>
      <c r="E1015" s="235"/>
      <c r="F1015" s="232" t="s">
        <v>864</v>
      </c>
      <c r="G1015" s="231"/>
      <c r="H1015" s="242"/>
      <c r="I1015" s="58" t="s">
        <v>844</v>
      </c>
    </row>
    <row r="1016" spans="2:9" ht="15.75" customHeight="1" x14ac:dyDescent="0.25">
      <c r="B1016" s="283"/>
      <c r="C1016" s="234"/>
      <c r="D1016" s="234"/>
      <c r="E1016" s="235"/>
      <c r="F1016" s="232" t="s">
        <v>865</v>
      </c>
      <c r="G1016" s="231"/>
      <c r="H1016" s="242"/>
      <c r="I1016" s="58" t="s">
        <v>850</v>
      </c>
    </row>
    <row r="1017" spans="2:9" ht="15.75" customHeight="1" x14ac:dyDescent="0.25">
      <c r="B1017" s="287" t="s">
        <v>866</v>
      </c>
      <c r="C1017" s="234"/>
      <c r="D1017" s="234"/>
      <c r="E1017" s="235"/>
      <c r="F1017" s="232" t="s">
        <v>867</v>
      </c>
      <c r="G1017" s="231"/>
      <c r="H1017" s="242"/>
      <c r="I1017" s="171" t="s">
        <v>844</v>
      </c>
    </row>
    <row r="1018" spans="2:9" ht="15.75" customHeight="1" x14ac:dyDescent="0.25">
      <c r="B1018" s="283"/>
      <c r="C1018" s="234"/>
      <c r="D1018" s="234"/>
      <c r="E1018" s="235"/>
      <c r="F1018" s="232" t="s">
        <v>868</v>
      </c>
      <c r="G1018" s="231"/>
      <c r="H1018" s="242"/>
      <c r="I1018" s="146" t="s">
        <v>850</v>
      </c>
    </row>
    <row r="1019" spans="2:9" ht="15.75" customHeight="1" x14ac:dyDescent="0.25">
      <c r="B1019" s="291" t="s">
        <v>847</v>
      </c>
      <c r="C1019" s="234"/>
      <c r="D1019" s="234"/>
      <c r="E1019" s="235"/>
      <c r="F1019" s="232" t="s">
        <v>869</v>
      </c>
      <c r="G1019" s="231"/>
      <c r="H1019" s="242"/>
      <c r="I1019" s="58" t="s">
        <v>844</v>
      </c>
    </row>
    <row r="1020" spans="2:9" ht="15.75" customHeight="1" x14ac:dyDescent="0.25">
      <c r="B1020" s="283"/>
      <c r="C1020" s="234"/>
      <c r="D1020" s="234"/>
      <c r="E1020" s="235"/>
      <c r="F1020" s="232" t="s">
        <v>870</v>
      </c>
      <c r="G1020" s="231"/>
      <c r="H1020" s="242"/>
      <c r="I1020" s="58" t="s">
        <v>850</v>
      </c>
    </row>
    <row r="1021" spans="2:9" ht="15.75" customHeight="1" x14ac:dyDescent="0.25">
      <c r="B1021" s="147" t="s">
        <v>871</v>
      </c>
      <c r="C1021" s="234"/>
      <c r="D1021" s="234"/>
      <c r="E1021" s="235"/>
      <c r="F1021" s="232" t="s">
        <v>872</v>
      </c>
      <c r="G1021" s="231"/>
      <c r="H1021" s="242"/>
      <c r="I1021" s="171" t="s">
        <v>844</v>
      </c>
    </row>
    <row r="1022" spans="2:9" ht="15.75" customHeight="1" x14ac:dyDescent="0.25">
      <c r="B1022" s="254" t="s">
        <v>873</v>
      </c>
      <c r="C1022" s="234"/>
      <c r="D1022" s="234"/>
      <c r="E1022" s="235"/>
      <c r="F1022" s="232" t="s">
        <v>874</v>
      </c>
      <c r="G1022" s="231"/>
      <c r="H1022" s="242"/>
      <c r="I1022" s="58" t="s">
        <v>844</v>
      </c>
    </row>
    <row r="1023" spans="2:9" ht="15.75" customHeight="1" x14ac:dyDescent="0.25">
      <c r="B1023" s="282" t="s">
        <v>875</v>
      </c>
      <c r="C1023" s="234"/>
      <c r="D1023" s="234"/>
      <c r="E1023" s="235"/>
      <c r="F1023" s="232" t="s">
        <v>876</v>
      </c>
      <c r="G1023" s="231"/>
      <c r="H1023" s="242"/>
      <c r="I1023" s="58" t="s">
        <v>844</v>
      </c>
    </row>
    <row r="1024" spans="2:9" ht="15.75" customHeight="1" x14ac:dyDescent="0.25">
      <c r="B1024" s="283"/>
      <c r="C1024" s="234"/>
      <c r="D1024" s="234"/>
      <c r="E1024" s="235"/>
      <c r="F1024" s="232" t="s">
        <v>877</v>
      </c>
      <c r="G1024" s="231"/>
      <c r="H1024" s="242"/>
      <c r="I1024" s="58" t="s">
        <v>850</v>
      </c>
    </row>
    <row r="1025" spans="2:9" ht="15.75" customHeight="1" x14ac:dyDescent="0.25">
      <c r="B1025" s="147" t="s">
        <v>878</v>
      </c>
      <c r="C1025" s="234"/>
      <c r="D1025" s="234"/>
      <c r="E1025" s="235"/>
      <c r="F1025" s="232" t="s">
        <v>879</v>
      </c>
      <c r="G1025" s="231"/>
      <c r="H1025" s="242"/>
      <c r="I1025" s="171" t="s">
        <v>844</v>
      </c>
    </row>
    <row r="1026" spans="2:9" ht="15.75" customHeight="1" x14ac:dyDescent="0.25">
      <c r="B1026" s="255" t="s">
        <v>880</v>
      </c>
      <c r="C1026" s="234"/>
      <c r="D1026" s="234"/>
      <c r="E1026" s="235"/>
      <c r="F1026" s="232" t="s">
        <v>881</v>
      </c>
      <c r="G1026" s="231"/>
      <c r="H1026" s="242"/>
      <c r="I1026" s="171" t="s">
        <v>844</v>
      </c>
    </row>
    <row r="1027" spans="2:9" ht="15.75" customHeight="1" x14ac:dyDescent="0.25">
      <c r="B1027" s="259" t="s">
        <v>882</v>
      </c>
      <c r="C1027" s="234"/>
      <c r="D1027" s="234"/>
      <c r="E1027" s="235"/>
      <c r="F1027" s="232" t="s">
        <v>883</v>
      </c>
      <c r="G1027" s="231"/>
      <c r="H1027" s="242"/>
      <c r="I1027" s="58" t="s">
        <v>844</v>
      </c>
    </row>
    <row r="1028" spans="2:9" ht="15.75" customHeight="1" x14ac:dyDescent="0.25">
      <c r="B1028" s="259" t="s">
        <v>884</v>
      </c>
      <c r="C1028" s="234"/>
      <c r="D1028" s="234"/>
      <c r="E1028" s="235"/>
      <c r="F1028" s="232" t="s">
        <v>885</v>
      </c>
      <c r="G1028" s="231"/>
      <c r="H1028" s="242"/>
      <c r="I1028" s="58" t="s">
        <v>844</v>
      </c>
    </row>
    <row r="1029" spans="2:9" ht="15.75" customHeight="1" x14ac:dyDescent="0.25">
      <c r="B1029" s="259" t="s">
        <v>886</v>
      </c>
      <c r="C1029" s="234"/>
      <c r="D1029" s="234"/>
      <c r="E1029" s="235"/>
      <c r="F1029" s="232" t="s">
        <v>887</v>
      </c>
      <c r="G1029" s="231"/>
      <c r="H1029" s="242"/>
      <c r="I1029" s="58" t="s">
        <v>844</v>
      </c>
    </row>
    <row r="1030" spans="2:9" ht="15.75" customHeight="1" x14ac:dyDescent="0.25">
      <c r="B1030" s="259" t="s">
        <v>888</v>
      </c>
      <c r="C1030" s="234"/>
      <c r="D1030" s="234"/>
      <c r="E1030" s="235"/>
      <c r="F1030" s="232" t="s">
        <v>889</v>
      </c>
      <c r="G1030" s="231"/>
      <c r="H1030" s="242"/>
      <c r="I1030" s="58" t="s">
        <v>844</v>
      </c>
    </row>
    <row r="1031" spans="2:9" ht="31.5" customHeight="1" x14ac:dyDescent="0.25">
      <c r="B1031" s="148" t="s">
        <v>890</v>
      </c>
      <c r="C1031" s="234"/>
      <c r="D1031" s="234"/>
      <c r="E1031" s="235"/>
      <c r="F1031" s="232" t="s">
        <v>891</v>
      </c>
      <c r="G1031" s="231"/>
      <c r="H1031" s="242"/>
      <c r="I1031" s="256" t="s">
        <v>844</v>
      </c>
    </row>
    <row r="1032" spans="2:9" ht="15.75" customHeight="1" x14ac:dyDescent="0.25">
      <c r="B1032" s="149" t="s">
        <v>882</v>
      </c>
      <c r="C1032" s="234"/>
      <c r="D1032" s="234"/>
      <c r="E1032" s="235"/>
      <c r="F1032" s="232" t="s">
        <v>892</v>
      </c>
      <c r="G1032" s="231"/>
      <c r="H1032" s="242"/>
      <c r="I1032" s="58" t="s">
        <v>844</v>
      </c>
    </row>
    <row r="1033" spans="2:9" ht="15.75" customHeight="1" x14ac:dyDescent="0.25">
      <c r="B1033" s="149" t="s">
        <v>884</v>
      </c>
      <c r="C1033" s="234"/>
      <c r="D1033" s="234"/>
      <c r="E1033" s="235"/>
      <c r="F1033" s="232" t="s">
        <v>893</v>
      </c>
      <c r="G1033" s="231"/>
      <c r="H1033" s="242"/>
      <c r="I1033" s="58" t="s">
        <v>844</v>
      </c>
    </row>
    <row r="1034" spans="2:9" ht="15.75" customHeight="1" x14ac:dyDescent="0.25">
      <c r="B1034" s="259" t="s">
        <v>886</v>
      </c>
      <c r="C1034" s="234"/>
      <c r="D1034" s="234"/>
      <c r="E1034" s="235"/>
      <c r="F1034" s="232" t="s">
        <v>894</v>
      </c>
      <c r="G1034" s="231"/>
      <c r="H1034" s="242"/>
      <c r="I1034" s="58" t="s">
        <v>844</v>
      </c>
    </row>
    <row r="1035" spans="2:9" ht="15.75" customHeight="1" x14ac:dyDescent="0.25">
      <c r="B1035" s="259" t="s">
        <v>888</v>
      </c>
      <c r="C1035" s="234"/>
      <c r="D1035" s="234"/>
      <c r="E1035" s="235"/>
      <c r="F1035" s="232" t="s">
        <v>895</v>
      </c>
      <c r="G1035" s="231"/>
      <c r="H1035" s="242"/>
      <c r="I1035" s="58" t="s">
        <v>844</v>
      </c>
    </row>
    <row r="1036" spans="2:9" ht="15.75" customHeight="1" x14ac:dyDescent="0.25">
      <c r="B1036" s="287" t="s">
        <v>896</v>
      </c>
      <c r="C1036" s="234"/>
      <c r="D1036" s="234"/>
      <c r="E1036" s="235"/>
      <c r="F1036" s="232" t="s">
        <v>897</v>
      </c>
      <c r="G1036" s="231"/>
      <c r="H1036" s="242"/>
      <c r="I1036" s="256" t="s">
        <v>844</v>
      </c>
    </row>
    <row r="1037" spans="2:9" ht="15.75" customHeight="1" x14ac:dyDescent="0.25">
      <c r="B1037" s="283"/>
      <c r="C1037" s="234"/>
      <c r="D1037" s="234"/>
      <c r="E1037" s="235"/>
      <c r="F1037" s="232" t="s">
        <v>898</v>
      </c>
      <c r="G1037" s="231"/>
      <c r="H1037" s="242"/>
      <c r="I1037" s="146" t="s">
        <v>850</v>
      </c>
    </row>
    <row r="1038" spans="2:9" ht="15.75" customHeight="1" x14ac:dyDescent="0.25">
      <c r="B1038" s="282" t="s">
        <v>899</v>
      </c>
      <c r="C1038" s="234"/>
      <c r="D1038" s="234"/>
      <c r="E1038" s="235"/>
      <c r="F1038" s="232" t="s">
        <v>900</v>
      </c>
      <c r="G1038" s="231"/>
      <c r="H1038" s="242"/>
      <c r="I1038" s="58" t="s">
        <v>844</v>
      </c>
    </row>
    <row r="1039" spans="2:9" ht="15.75" customHeight="1" x14ac:dyDescent="0.25">
      <c r="B1039" s="283"/>
      <c r="C1039" s="234"/>
      <c r="D1039" s="234"/>
      <c r="E1039" s="235"/>
      <c r="F1039" s="232" t="s">
        <v>901</v>
      </c>
      <c r="G1039" s="231"/>
      <c r="H1039" s="242"/>
      <c r="I1039" s="58" t="s">
        <v>850</v>
      </c>
    </row>
    <row r="1040" spans="2:9" ht="15.75" customHeight="1" x14ac:dyDescent="0.25">
      <c r="B1040" s="282" t="s">
        <v>902</v>
      </c>
      <c r="C1040" s="234"/>
      <c r="D1040" s="234"/>
      <c r="E1040" s="235"/>
      <c r="F1040" s="232" t="s">
        <v>903</v>
      </c>
      <c r="G1040" s="231"/>
      <c r="H1040" s="242"/>
      <c r="I1040" s="58" t="s">
        <v>844</v>
      </c>
    </row>
    <row r="1041" spans="2:9" ht="15.75" customHeight="1" x14ac:dyDescent="0.25">
      <c r="B1041" s="283"/>
      <c r="C1041" s="234"/>
      <c r="D1041" s="234"/>
      <c r="E1041" s="235"/>
      <c r="F1041" s="232" t="s">
        <v>904</v>
      </c>
      <c r="G1041" s="231"/>
      <c r="H1041" s="242"/>
      <c r="I1041" s="58" t="s">
        <v>850</v>
      </c>
    </row>
    <row r="1042" spans="2:9" ht="15.75" customHeight="1" x14ac:dyDescent="0.25">
      <c r="B1042" s="291" t="s">
        <v>905</v>
      </c>
      <c r="C1042" s="234"/>
      <c r="D1042" s="234"/>
      <c r="E1042" s="235"/>
      <c r="F1042" s="232" t="s">
        <v>906</v>
      </c>
      <c r="G1042" s="231"/>
      <c r="H1042" s="242"/>
      <c r="I1042" s="58" t="s">
        <v>844</v>
      </c>
    </row>
    <row r="1043" spans="2:9" ht="15.75" customHeight="1" x14ac:dyDescent="0.25">
      <c r="B1043" s="283"/>
      <c r="C1043" s="234"/>
      <c r="D1043" s="234"/>
      <c r="E1043" s="235"/>
      <c r="F1043" s="232" t="s">
        <v>907</v>
      </c>
      <c r="G1043" s="231"/>
      <c r="H1043" s="242"/>
      <c r="I1043" s="58" t="s">
        <v>850</v>
      </c>
    </row>
    <row r="1044" spans="2:9" ht="15.75" customHeight="1" x14ac:dyDescent="0.25">
      <c r="B1044" s="291" t="s">
        <v>888</v>
      </c>
      <c r="C1044" s="234"/>
      <c r="D1044" s="234"/>
      <c r="E1044" s="235"/>
      <c r="F1044" s="232" t="s">
        <v>908</v>
      </c>
      <c r="G1044" s="231"/>
      <c r="H1044" s="242"/>
      <c r="I1044" s="58" t="s">
        <v>844</v>
      </c>
    </row>
    <row r="1045" spans="2:9" ht="15.75" customHeight="1" x14ac:dyDescent="0.25">
      <c r="B1045" s="283"/>
      <c r="C1045" s="234"/>
      <c r="D1045" s="234"/>
      <c r="E1045" s="235"/>
      <c r="F1045" s="232" t="s">
        <v>909</v>
      </c>
      <c r="G1045" s="231"/>
      <c r="H1045" s="242"/>
      <c r="I1045" s="58" t="s">
        <v>850</v>
      </c>
    </row>
    <row r="1046" spans="2:9" ht="15.75" customHeight="1" x14ac:dyDescent="0.25">
      <c r="B1046" s="287" t="s">
        <v>910</v>
      </c>
      <c r="C1046" s="234"/>
      <c r="D1046" s="234"/>
      <c r="E1046" s="235"/>
      <c r="F1046" s="232" t="s">
        <v>911</v>
      </c>
      <c r="G1046" s="231"/>
      <c r="H1046" s="242"/>
      <c r="I1046" s="256" t="s">
        <v>844</v>
      </c>
    </row>
    <row r="1047" spans="2:9" ht="15.75" customHeight="1" x14ac:dyDescent="0.25">
      <c r="B1047" s="283"/>
      <c r="C1047" s="234"/>
      <c r="D1047" s="234"/>
      <c r="E1047" s="235"/>
      <c r="F1047" s="232" t="s">
        <v>912</v>
      </c>
      <c r="G1047" s="231"/>
      <c r="H1047" s="242"/>
      <c r="I1047" s="146" t="s">
        <v>850</v>
      </c>
    </row>
    <row r="1048" spans="2:9" ht="15.75" customHeight="1" x14ac:dyDescent="0.25">
      <c r="B1048" s="282" t="s">
        <v>899</v>
      </c>
      <c r="C1048" s="234"/>
      <c r="D1048" s="234"/>
      <c r="E1048" s="235"/>
      <c r="F1048" s="232" t="s">
        <v>913</v>
      </c>
      <c r="G1048" s="231"/>
      <c r="H1048" s="242"/>
      <c r="I1048" s="58" t="s">
        <v>844</v>
      </c>
    </row>
    <row r="1049" spans="2:9" ht="15.75" customHeight="1" x14ac:dyDescent="0.25">
      <c r="B1049" s="283"/>
      <c r="C1049" s="234"/>
      <c r="D1049" s="234"/>
      <c r="E1049" s="235"/>
      <c r="F1049" s="232" t="s">
        <v>914</v>
      </c>
      <c r="G1049" s="231"/>
      <c r="H1049" s="242"/>
      <c r="I1049" s="58" t="s">
        <v>850</v>
      </c>
    </row>
    <row r="1050" spans="2:9" ht="15.75" customHeight="1" x14ac:dyDescent="0.25">
      <c r="B1050" s="282" t="s">
        <v>902</v>
      </c>
      <c r="C1050" s="234"/>
      <c r="D1050" s="234"/>
      <c r="E1050" s="235"/>
      <c r="F1050" s="232" t="s">
        <v>915</v>
      </c>
      <c r="G1050" s="231"/>
      <c r="H1050" s="242"/>
      <c r="I1050" s="58" t="s">
        <v>844</v>
      </c>
    </row>
    <row r="1051" spans="2:9" ht="15.75" customHeight="1" x14ac:dyDescent="0.25">
      <c r="B1051" s="283"/>
      <c r="C1051" s="234"/>
      <c r="D1051" s="234"/>
      <c r="E1051" s="235"/>
      <c r="F1051" s="232" t="s">
        <v>916</v>
      </c>
      <c r="G1051" s="231"/>
      <c r="H1051" s="242"/>
      <c r="I1051" s="58" t="s">
        <v>850</v>
      </c>
    </row>
    <row r="1052" spans="2:9" ht="15.75" customHeight="1" x14ac:dyDescent="0.25">
      <c r="B1052" s="291" t="s">
        <v>905</v>
      </c>
      <c r="C1052" s="234"/>
      <c r="D1052" s="234"/>
      <c r="E1052" s="235"/>
      <c r="F1052" s="232" t="s">
        <v>917</v>
      </c>
      <c r="G1052" s="231"/>
      <c r="H1052" s="242"/>
      <c r="I1052" s="58" t="s">
        <v>844</v>
      </c>
    </row>
    <row r="1053" spans="2:9" ht="15.75" customHeight="1" x14ac:dyDescent="0.25">
      <c r="B1053" s="283"/>
      <c r="C1053" s="234"/>
      <c r="D1053" s="234"/>
      <c r="E1053" s="235"/>
      <c r="F1053" s="232" t="s">
        <v>918</v>
      </c>
      <c r="G1053" s="231"/>
      <c r="H1053" s="242"/>
      <c r="I1053" s="58" t="s">
        <v>850</v>
      </c>
    </row>
    <row r="1054" spans="2:9" ht="15.75" customHeight="1" x14ac:dyDescent="0.25">
      <c r="B1054" s="291" t="s">
        <v>888</v>
      </c>
      <c r="C1054" s="234"/>
      <c r="D1054" s="234"/>
      <c r="E1054" s="235"/>
      <c r="F1054" s="232" t="s">
        <v>919</v>
      </c>
      <c r="G1054" s="231"/>
      <c r="H1054" s="242"/>
      <c r="I1054" s="58" t="s">
        <v>844</v>
      </c>
    </row>
    <row r="1055" spans="2:9" ht="15.75" customHeight="1" x14ac:dyDescent="0.25">
      <c r="B1055" s="283"/>
      <c r="C1055" s="234"/>
      <c r="D1055" s="234"/>
      <c r="E1055" s="235"/>
      <c r="F1055" s="232" t="s">
        <v>920</v>
      </c>
      <c r="G1055" s="231"/>
      <c r="H1055" s="242"/>
      <c r="I1055" s="58" t="s">
        <v>850</v>
      </c>
    </row>
    <row r="1056" spans="2:9" ht="31.5" customHeight="1" x14ac:dyDescent="0.25">
      <c r="B1056" s="144" t="s">
        <v>921</v>
      </c>
      <c r="C1056" s="234"/>
      <c r="D1056" s="234"/>
      <c r="E1056" s="235"/>
      <c r="F1056" s="232" t="s">
        <v>922</v>
      </c>
      <c r="G1056" s="231"/>
      <c r="H1056" s="242"/>
      <c r="I1056" s="256" t="s">
        <v>844</v>
      </c>
    </row>
    <row r="1057" spans="2:9" ht="31.5" customHeight="1" x14ac:dyDescent="0.25">
      <c r="B1057" s="144" t="s">
        <v>923</v>
      </c>
      <c r="C1057" s="234"/>
      <c r="D1057" s="234"/>
      <c r="E1057" s="235"/>
      <c r="F1057" s="232" t="s">
        <v>924</v>
      </c>
      <c r="G1057" s="231"/>
      <c r="H1057" s="242"/>
      <c r="I1057" s="256" t="s">
        <v>844</v>
      </c>
    </row>
    <row r="1058" spans="2:9" ht="15.75" customHeight="1" x14ac:dyDescent="0.25">
      <c r="B1058" s="150" t="s">
        <v>925</v>
      </c>
      <c r="C1058" s="234"/>
      <c r="D1058" s="234"/>
      <c r="E1058" s="235"/>
      <c r="F1058" s="232" t="s">
        <v>926</v>
      </c>
      <c r="G1058" s="231"/>
      <c r="H1058" s="242"/>
      <c r="I1058" s="58" t="s">
        <v>844</v>
      </c>
    </row>
    <row r="1059" spans="2:9" ht="15.75" customHeight="1" x14ac:dyDescent="0.25">
      <c r="B1059" s="150" t="s">
        <v>927</v>
      </c>
      <c r="C1059" s="234"/>
      <c r="D1059" s="234"/>
      <c r="E1059" s="235"/>
      <c r="F1059" s="232" t="s">
        <v>928</v>
      </c>
      <c r="G1059" s="231"/>
      <c r="H1059" s="242"/>
      <c r="I1059" s="58" t="s">
        <v>844</v>
      </c>
    </row>
    <row r="1060" spans="2:9" ht="15.75" customHeight="1" x14ac:dyDescent="0.25">
      <c r="B1060" s="150" t="s">
        <v>886</v>
      </c>
      <c r="C1060" s="234"/>
      <c r="D1060" s="234"/>
      <c r="E1060" s="235"/>
      <c r="F1060" s="232" t="s">
        <v>929</v>
      </c>
      <c r="G1060" s="231"/>
      <c r="H1060" s="242"/>
      <c r="I1060" s="58" t="s">
        <v>844</v>
      </c>
    </row>
    <row r="1061" spans="2:9" ht="15.75" customHeight="1" x14ac:dyDescent="0.25">
      <c r="B1061" s="150" t="s">
        <v>888</v>
      </c>
      <c r="C1061" s="234"/>
      <c r="D1061" s="234"/>
      <c r="E1061" s="235"/>
      <c r="F1061" s="232" t="s">
        <v>930</v>
      </c>
      <c r="G1061" s="231"/>
      <c r="H1061" s="242"/>
      <c r="I1061" s="58" t="s">
        <v>844</v>
      </c>
    </row>
    <row r="1062" spans="2:9" ht="15.75" customHeight="1" x14ac:dyDescent="0.25">
      <c r="B1062" s="287" t="s">
        <v>931</v>
      </c>
      <c r="C1062" s="234"/>
      <c r="D1062" s="234"/>
      <c r="E1062" s="235"/>
      <c r="F1062" s="232" t="s">
        <v>932</v>
      </c>
      <c r="G1062" s="231"/>
      <c r="H1062" s="242"/>
      <c r="I1062" s="256" t="s">
        <v>844</v>
      </c>
    </row>
    <row r="1063" spans="2:9" ht="15.75" customHeight="1" x14ac:dyDescent="0.25">
      <c r="B1063" s="283"/>
      <c r="C1063" s="234"/>
      <c r="D1063" s="234"/>
      <c r="E1063" s="235"/>
      <c r="F1063" s="232" t="s">
        <v>933</v>
      </c>
      <c r="G1063" s="231"/>
      <c r="H1063" s="242"/>
      <c r="I1063" s="146" t="s">
        <v>850</v>
      </c>
    </row>
    <row r="1064" spans="2:9" ht="15.75" customHeight="1" x14ac:dyDescent="0.25">
      <c r="B1064" s="299" t="s">
        <v>934</v>
      </c>
      <c r="C1064" s="234"/>
      <c r="D1064" s="234"/>
      <c r="E1064" s="235"/>
      <c r="F1064" s="232" t="s">
        <v>935</v>
      </c>
      <c r="G1064" s="231"/>
      <c r="H1064" s="242"/>
      <c r="I1064" s="256" t="s">
        <v>844</v>
      </c>
    </row>
    <row r="1065" spans="2:9" ht="15.75" customHeight="1" x14ac:dyDescent="0.25">
      <c r="B1065" s="283"/>
      <c r="C1065" s="234"/>
      <c r="D1065" s="234"/>
      <c r="E1065" s="235"/>
      <c r="F1065" s="232" t="s">
        <v>936</v>
      </c>
      <c r="G1065" s="231"/>
      <c r="H1065" s="242"/>
      <c r="I1065" s="146" t="s">
        <v>850</v>
      </c>
    </row>
    <row r="1066" spans="2:9" ht="15.75" customHeight="1" x14ac:dyDescent="0.25">
      <c r="B1066" s="292" t="s">
        <v>899</v>
      </c>
      <c r="C1066" s="234"/>
      <c r="D1066" s="234"/>
      <c r="E1066" s="235"/>
      <c r="F1066" s="232" t="s">
        <v>937</v>
      </c>
      <c r="G1066" s="231"/>
      <c r="H1066" s="242"/>
      <c r="I1066" s="58" t="s">
        <v>844</v>
      </c>
    </row>
    <row r="1067" spans="2:9" ht="15.75" customHeight="1" x14ac:dyDescent="0.25">
      <c r="B1067" s="283"/>
      <c r="C1067" s="234"/>
      <c r="D1067" s="234"/>
      <c r="E1067" s="235"/>
      <c r="F1067" s="232" t="s">
        <v>938</v>
      </c>
      <c r="G1067" s="231"/>
      <c r="H1067" s="242"/>
      <c r="I1067" s="58" t="s">
        <v>850</v>
      </c>
    </row>
    <row r="1068" spans="2:9" ht="15.75" customHeight="1" x14ac:dyDescent="0.25">
      <c r="B1068" s="292" t="s">
        <v>902</v>
      </c>
      <c r="C1068" s="234"/>
      <c r="D1068" s="234"/>
      <c r="E1068" s="235"/>
      <c r="F1068" s="232" t="s">
        <v>939</v>
      </c>
      <c r="G1068" s="231"/>
      <c r="H1068" s="242"/>
      <c r="I1068" s="58" t="s">
        <v>844</v>
      </c>
    </row>
    <row r="1069" spans="2:9" ht="15.75" customHeight="1" x14ac:dyDescent="0.25">
      <c r="B1069" s="283"/>
      <c r="C1069" s="234"/>
      <c r="D1069" s="234"/>
      <c r="E1069" s="235"/>
      <c r="F1069" s="232" t="s">
        <v>940</v>
      </c>
      <c r="G1069" s="231"/>
      <c r="H1069" s="242"/>
      <c r="I1069" s="58" t="s">
        <v>850</v>
      </c>
    </row>
    <row r="1070" spans="2:9" ht="15.75" customHeight="1" x14ac:dyDescent="0.25">
      <c r="B1070" s="286" t="s">
        <v>905</v>
      </c>
      <c r="C1070" s="234"/>
      <c r="D1070" s="234"/>
      <c r="E1070" s="235"/>
      <c r="F1070" s="232" t="s">
        <v>941</v>
      </c>
      <c r="G1070" s="231"/>
      <c r="H1070" s="242"/>
      <c r="I1070" s="256" t="s">
        <v>844</v>
      </c>
    </row>
    <row r="1071" spans="2:9" ht="15.75" customHeight="1" x14ac:dyDescent="0.25">
      <c r="B1071" s="283"/>
      <c r="C1071" s="234"/>
      <c r="D1071" s="234"/>
      <c r="E1071" s="235"/>
      <c r="F1071" s="232" t="s">
        <v>942</v>
      </c>
      <c r="G1071" s="231"/>
      <c r="H1071" s="242"/>
      <c r="I1071" s="58" t="s">
        <v>850</v>
      </c>
    </row>
    <row r="1072" spans="2:9" ht="15.75" customHeight="1" x14ac:dyDescent="0.25">
      <c r="B1072" s="299" t="s">
        <v>943</v>
      </c>
      <c r="C1072" s="234"/>
      <c r="D1072" s="234"/>
      <c r="E1072" s="235"/>
      <c r="F1072" s="232" t="s">
        <v>944</v>
      </c>
      <c r="G1072" s="231"/>
      <c r="H1072" s="242"/>
      <c r="I1072" s="256" t="s">
        <v>844</v>
      </c>
    </row>
    <row r="1073" spans="2:9" ht="15.75" customHeight="1" x14ac:dyDescent="0.25">
      <c r="B1073" s="283"/>
      <c r="C1073" s="234"/>
      <c r="D1073" s="234"/>
      <c r="E1073" s="235"/>
      <c r="F1073" s="232" t="s">
        <v>945</v>
      </c>
      <c r="G1073" s="231"/>
      <c r="H1073" s="242"/>
      <c r="I1073" s="58" t="s">
        <v>850</v>
      </c>
    </row>
    <row r="1074" spans="2:9" ht="15.75" customHeight="1" x14ac:dyDescent="0.25">
      <c r="B1074" s="300" t="s">
        <v>888</v>
      </c>
      <c r="C1074" s="234"/>
      <c r="D1074" s="234"/>
      <c r="E1074" s="235"/>
      <c r="F1074" s="232" t="s">
        <v>946</v>
      </c>
      <c r="G1074" s="231"/>
      <c r="H1074" s="242"/>
      <c r="I1074" s="58" t="s">
        <v>844</v>
      </c>
    </row>
    <row r="1075" spans="2:9" ht="15.75" customHeight="1" x14ac:dyDescent="0.25">
      <c r="B1075" s="283"/>
      <c r="C1075" s="234"/>
      <c r="D1075" s="234"/>
      <c r="E1075" s="235"/>
      <c r="F1075" s="232" t="s">
        <v>947</v>
      </c>
      <c r="G1075" s="231"/>
      <c r="H1075" s="242"/>
      <c r="I1075" s="58" t="s">
        <v>850</v>
      </c>
    </row>
    <row r="1076" spans="2:9" ht="15.75" customHeight="1" x14ac:dyDescent="0.25">
      <c r="B1076" s="290" t="s">
        <v>948</v>
      </c>
      <c r="C1076" s="234"/>
      <c r="D1076" s="234"/>
      <c r="E1076" s="235"/>
      <c r="F1076" s="232" t="s">
        <v>949</v>
      </c>
      <c r="G1076" s="231"/>
      <c r="H1076" s="242"/>
      <c r="I1076" s="256" t="s">
        <v>844</v>
      </c>
    </row>
    <row r="1077" spans="2:9" ht="15.75" customHeight="1" x14ac:dyDescent="0.25">
      <c r="B1077" s="283"/>
      <c r="C1077" s="234"/>
      <c r="D1077" s="234"/>
      <c r="E1077" s="235"/>
      <c r="F1077" s="232" t="s">
        <v>950</v>
      </c>
      <c r="G1077" s="231"/>
      <c r="H1077" s="242"/>
      <c r="I1077" s="146" t="s">
        <v>850</v>
      </c>
    </row>
    <row r="1078" spans="2:9" ht="15.75" customHeight="1" x14ac:dyDescent="0.25">
      <c r="B1078" s="299" t="s">
        <v>934</v>
      </c>
      <c r="C1078" s="234"/>
      <c r="D1078" s="234"/>
      <c r="E1078" s="235"/>
      <c r="F1078" s="232" t="s">
        <v>951</v>
      </c>
      <c r="G1078" s="231"/>
      <c r="H1078" s="242"/>
      <c r="I1078" s="171" t="s">
        <v>844</v>
      </c>
    </row>
    <row r="1079" spans="2:9" ht="15.75" customHeight="1" x14ac:dyDescent="0.25">
      <c r="B1079" s="283"/>
      <c r="C1079" s="234"/>
      <c r="D1079" s="234"/>
      <c r="E1079" s="235"/>
      <c r="F1079" s="232" t="s">
        <v>952</v>
      </c>
      <c r="G1079" s="231"/>
      <c r="H1079" s="242"/>
      <c r="I1079" s="146" t="s">
        <v>850</v>
      </c>
    </row>
    <row r="1080" spans="2:9" ht="15.75" customHeight="1" x14ac:dyDescent="0.25">
      <c r="B1080" s="282" t="s">
        <v>902</v>
      </c>
      <c r="C1080" s="234"/>
      <c r="D1080" s="234"/>
      <c r="E1080" s="235"/>
      <c r="F1080" s="232" t="s">
        <v>953</v>
      </c>
      <c r="G1080" s="231"/>
      <c r="H1080" s="242"/>
      <c r="I1080" s="58" t="s">
        <v>844</v>
      </c>
    </row>
    <row r="1081" spans="2:9" ht="15.75" customHeight="1" x14ac:dyDescent="0.25">
      <c r="B1081" s="283"/>
      <c r="C1081" s="234"/>
      <c r="D1081" s="234"/>
      <c r="E1081" s="235"/>
      <c r="F1081" s="232" t="s">
        <v>954</v>
      </c>
      <c r="G1081" s="231"/>
      <c r="H1081" s="242"/>
      <c r="I1081" s="58" t="s">
        <v>850</v>
      </c>
    </row>
    <row r="1082" spans="2:9" ht="15.75" customHeight="1" x14ac:dyDescent="0.25">
      <c r="B1082" s="302" t="s">
        <v>905</v>
      </c>
      <c r="C1082" s="234"/>
      <c r="D1082" s="234"/>
      <c r="E1082" s="235"/>
      <c r="F1082" s="232" t="s">
        <v>955</v>
      </c>
      <c r="G1082" s="231"/>
      <c r="H1082" s="242"/>
      <c r="I1082" s="58" t="s">
        <v>844</v>
      </c>
    </row>
    <row r="1083" spans="2:9" ht="15.75" customHeight="1" x14ac:dyDescent="0.25">
      <c r="B1083" s="283"/>
      <c r="C1083" s="234"/>
      <c r="D1083" s="234"/>
      <c r="E1083" s="235"/>
      <c r="F1083" s="232" t="s">
        <v>956</v>
      </c>
      <c r="G1083" s="231"/>
      <c r="H1083" s="242"/>
      <c r="I1083" s="58" t="s">
        <v>850</v>
      </c>
    </row>
    <row r="1084" spans="2:9" ht="15.75" customHeight="1" x14ac:dyDescent="0.25">
      <c r="B1084" s="299" t="s">
        <v>943</v>
      </c>
      <c r="C1084" s="234"/>
      <c r="D1084" s="234"/>
      <c r="E1084" s="235"/>
      <c r="F1084" s="232" t="s">
        <v>957</v>
      </c>
      <c r="G1084" s="231"/>
      <c r="H1084" s="242"/>
      <c r="I1084" s="171" t="s">
        <v>844</v>
      </c>
    </row>
    <row r="1085" spans="2:9" ht="15.75" customHeight="1" x14ac:dyDescent="0.25">
      <c r="B1085" s="283"/>
      <c r="C1085" s="234"/>
      <c r="D1085" s="234"/>
      <c r="E1085" s="235"/>
      <c r="F1085" s="232" t="s">
        <v>958</v>
      </c>
      <c r="G1085" s="231"/>
      <c r="H1085" s="242"/>
      <c r="I1085" s="146" t="s">
        <v>850</v>
      </c>
    </row>
    <row r="1086" spans="2:9" ht="15.75" customHeight="1" x14ac:dyDescent="0.25">
      <c r="B1086" s="302" t="s">
        <v>888</v>
      </c>
      <c r="C1086" s="234"/>
      <c r="D1086" s="234"/>
      <c r="E1086" s="235"/>
      <c r="F1086" s="232" t="s">
        <v>959</v>
      </c>
      <c r="G1086" s="231"/>
      <c r="H1086" s="242"/>
      <c r="I1086" s="58" t="s">
        <v>844</v>
      </c>
    </row>
    <row r="1087" spans="2:9" ht="15.75" customHeight="1" x14ac:dyDescent="0.25">
      <c r="B1087" s="283"/>
      <c r="C1087" s="234"/>
      <c r="D1087" s="234"/>
      <c r="E1087" s="235"/>
      <c r="F1087" s="232" t="s">
        <v>960</v>
      </c>
      <c r="G1087" s="231"/>
      <c r="H1087" s="242"/>
      <c r="I1087" s="58" t="s">
        <v>850</v>
      </c>
    </row>
    <row r="1088" spans="2:9" x14ac:dyDescent="0.25">
      <c r="B1088" s="151"/>
      <c r="C1088" s="234"/>
      <c r="D1088" s="234"/>
      <c r="E1088" s="235">
        <v>194</v>
      </c>
      <c r="F1088" s="232"/>
      <c r="G1088" s="231"/>
      <c r="H1088" s="242"/>
      <c r="I1088" s="152"/>
    </row>
    <row r="1089" spans="2:9" ht="15.75" customHeight="1" x14ac:dyDescent="0.25">
      <c r="B1089" s="133" t="s">
        <v>19</v>
      </c>
      <c r="C1089" s="234"/>
      <c r="D1089" s="234"/>
      <c r="E1089" s="235">
        <v>195</v>
      </c>
      <c r="F1089" s="232"/>
      <c r="G1089" s="231"/>
      <c r="H1089" s="242"/>
      <c r="I1089" s="134"/>
    </row>
    <row r="1090" spans="2:9" ht="25.5" customHeight="1" x14ac:dyDescent="0.25">
      <c r="B1090" s="153" t="s">
        <v>961</v>
      </c>
      <c r="C1090" s="234"/>
      <c r="D1090" s="234"/>
      <c r="E1090" s="235"/>
      <c r="F1090" s="232" t="s">
        <v>962</v>
      </c>
      <c r="G1090" s="231"/>
      <c r="H1090" s="242"/>
      <c r="I1090" s="154" t="s">
        <v>850</v>
      </c>
    </row>
    <row r="1091" spans="2:9" ht="31.5" customHeight="1" x14ac:dyDescent="0.25">
      <c r="B1091" s="155" t="s">
        <v>963</v>
      </c>
      <c r="C1091" s="234"/>
      <c r="D1091" s="234"/>
      <c r="E1091" s="235"/>
      <c r="F1091" s="232" t="s">
        <v>849</v>
      </c>
      <c r="G1091" s="231"/>
      <c r="H1091" s="242"/>
      <c r="I1091" s="154" t="s">
        <v>850</v>
      </c>
    </row>
    <row r="1092" spans="2:9" ht="15.75" customHeight="1" x14ac:dyDescent="0.25">
      <c r="B1092" s="155" t="s">
        <v>964</v>
      </c>
      <c r="C1092" s="234"/>
      <c r="D1092" s="234"/>
      <c r="E1092" s="235"/>
      <c r="F1092" s="232" t="s">
        <v>868</v>
      </c>
      <c r="G1092" s="231"/>
      <c r="H1092" s="242"/>
      <c r="I1092" s="154" t="s">
        <v>850</v>
      </c>
    </row>
    <row r="1093" spans="2:9" ht="15.75" customHeight="1" x14ac:dyDescent="0.25">
      <c r="B1093" s="155" t="s">
        <v>965</v>
      </c>
      <c r="C1093" s="234"/>
      <c r="D1093" s="234"/>
      <c r="E1093" s="235"/>
      <c r="F1093" s="232" t="s">
        <v>863</v>
      </c>
      <c r="G1093" s="231"/>
      <c r="H1093" s="242"/>
      <c r="I1093" s="154" t="s">
        <v>850</v>
      </c>
    </row>
    <row r="1094" spans="2:9" ht="31.5" customHeight="1" x14ac:dyDescent="0.25">
      <c r="B1094" s="156" t="s">
        <v>966</v>
      </c>
      <c r="C1094" s="234"/>
      <c r="D1094" s="234"/>
      <c r="E1094" s="235"/>
      <c r="F1094" s="232" t="s">
        <v>852</v>
      </c>
      <c r="G1094" s="231"/>
      <c r="H1094" s="242"/>
      <c r="I1094" s="134" t="s">
        <v>844</v>
      </c>
    </row>
    <row r="1095" spans="2:9" ht="15.75" customHeight="1" x14ac:dyDescent="0.25">
      <c r="B1095" s="133" t="s">
        <v>296</v>
      </c>
      <c r="C1095" s="234"/>
      <c r="D1095" s="234"/>
      <c r="E1095" s="235">
        <v>196</v>
      </c>
      <c r="F1095" s="232"/>
      <c r="G1095" s="231"/>
      <c r="H1095" s="242"/>
      <c r="I1095" s="134"/>
    </row>
    <row r="1096" spans="2:9" ht="31.5" customHeight="1" x14ac:dyDescent="0.25">
      <c r="B1096" s="153" t="s">
        <v>967</v>
      </c>
      <c r="C1096" s="234"/>
      <c r="D1096" s="234"/>
      <c r="E1096" s="235">
        <v>197</v>
      </c>
      <c r="F1096" s="232"/>
      <c r="G1096" s="231"/>
      <c r="H1096" s="242"/>
      <c r="I1096" s="134"/>
    </row>
    <row r="1097" spans="2:9" ht="15.75" customHeight="1" x14ac:dyDescent="0.25">
      <c r="B1097" s="156" t="s">
        <v>968</v>
      </c>
      <c r="C1097" s="234"/>
      <c r="D1097" s="234"/>
      <c r="E1097" s="235"/>
      <c r="F1097" s="232" t="s">
        <v>881</v>
      </c>
      <c r="G1097" s="231"/>
      <c r="H1097" s="242"/>
      <c r="I1097" s="134" t="s">
        <v>844</v>
      </c>
    </row>
    <row r="1098" spans="2:9" ht="31.5" customHeight="1" x14ac:dyDescent="0.25">
      <c r="B1098" s="157" t="s">
        <v>969</v>
      </c>
      <c r="C1098" s="234"/>
      <c r="D1098" s="234"/>
      <c r="E1098" s="235"/>
      <c r="F1098" s="232" t="s">
        <v>885</v>
      </c>
      <c r="G1098" s="231"/>
      <c r="H1098" s="242"/>
      <c r="I1098" s="134" t="s">
        <v>844</v>
      </c>
    </row>
    <row r="1099" spans="2:9" ht="15.75" customHeight="1" x14ac:dyDescent="0.25">
      <c r="B1099" s="157" t="s">
        <v>538</v>
      </c>
      <c r="C1099" s="234"/>
      <c r="D1099" s="234"/>
      <c r="E1099" s="235"/>
      <c r="F1099" s="232" t="s">
        <v>970</v>
      </c>
      <c r="G1099" s="231"/>
      <c r="H1099" s="242"/>
      <c r="I1099" s="134" t="s">
        <v>844</v>
      </c>
    </row>
    <row r="1100" spans="2:9" ht="15.75" customHeight="1" x14ac:dyDescent="0.25">
      <c r="B1100" s="158" t="s">
        <v>971</v>
      </c>
      <c r="C1100" s="234"/>
      <c r="D1100" s="234"/>
      <c r="E1100" s="235">
        <v>198</v>
      </c>
      <c r="F1100" s="232"/>
      <c r="G1100" s="231"/>
      <c r="H1100" s="242"/>
      <c r="I1100" s="134" t="s">
        <v>844</v>
      </c>
    </row>
    <row r="1101" spans="2:9" ht="15.75" customHeight="1" x14ac:dyDescent="0.25">
      <c r="B1101" s="158" t="s">
        <v>972</v>
      </c>
      <c r="C1101" s="234"/>
      <c r="D1101" s="234"/>
      <c r="E1101" s="235"/>
      <c r="F1101" s="232" t="s">
        <v>889</v>
      </c>
      <c r="G1101" s="231"/>
      <c r="H1101" s="242"/>
      <c r="I1101" s="134" t="s">
        <v>844</v>
      </c>
    </row>
    <row r="1102" spans="2:9" ht="15.75" customHeight="1" x14ac:dyDescent="0.25">
      <c r="B1102" s="158" t="s">
        <v>973</v>
      </c>
      <c r="C1102" s="234"/>
      <c r="D1102" s="234"/>
      <c r="E1102" s="235"/>
      <c r="F1102" s="232" t="s">
        <v>887</v>
      </c>
      <c r="G1102" s="231"/>
      <c r="H1102" s="242"/>
      <c r="I1102" s="134" t="s">
        <v>844</v>
      </c>
    </row>
    <row r="1103" spans="2:9" ht="15.75" customHeight="1" x14ac:dyDescent="0.25">
      <c r="B1103" s="156" t="s">
        <v>974</v>
      </c>
      <c r="C1103" s="234"/>
      <c r="D1103" s="234"/>
      <c r="E1103" s="235"/>
      <c r="F1103" s="232" t="s">
        <v>891</v>
      </c>
      <c r="G1103" s="231"/>
      <c r="H1103" s="242"/>
      <c r="I1103" s="134" t="s">
        <v>844</v>
      </c>
    </row>
    <row r="1104" spans="2:9" ht="25.5" customHeight="1" x14ac:dyDescent="0.25">
      <c r="B1104" s="159" t="s">
        <v>975</v>
      </c>
      <c r="C1104" s="234"/>
      <c r="D1104" s="234"/>
      <c r="E1104" s="235"/>
      <c r="F1104" s="232" t="s">
        <v>976</v>
      </c>
      <c r="G1104" s="231"/>
      <c r="H1104" s="242"/>
      <c r="I1104" s="134" t="s">
        <v>844</v>
      </c>
    </row>
    <row r="1105" spans="2:9" ht="15.75" customHeight="1" x14ac:dyDescent="0.25">
      <c r="B1105" s="159" t="s">
        <v>972</v>
      </c>
      <c r="C1105" s="234"/>
      <c r="D1105" s="234"/>
      <c r="E1105" s="235"/>
      <c r="F1105" s="232" t="s">
        <v>895</v>
      </c>
      <c r="G1105" s="231"/>
      <c r="H1105" s="242"/>
      <c r="I1105" s="134" t="s">
        <v>844</v>
      </c>
    </row>
    <row r="1106" spans="2:9" ht="15.75" customHeight="1" x14ac:dyDescent="0.25">
      <c r="B1106" s="159" t="s">
        <v>973</v>
      </c>
      <c r="C1106" s="234"/>
      <c r="D1106" s="234"/>
      <c r="E1106" s="235"/>
      <c r="F1106" s="232" t="s">
        <v>894</v>
      </c>
      <c r="G1106" s="231"/>
      <c r="H1106" s="242"/>
      <c r="I1106" s="134" t="s">
        <v>844</v>
      </c>
    </row>
    <row r="1107" spans="2:9" ht="31.5" customHeight="1" x14ac:dyDescent="0.25">
      <c r="B1107" s="153" t="s">
        <v>977</v>
      </c>
      <c r="C1107" s="234"/>
      <c r="D1107" s="234"/>
      <c r="E1107" s="235"/>
      <c r="F1107" s="232" t="s">
        <v>897</v>
      </c>
      <c r="G1107" s="231"/>
      <c r="H1107" s="242"/>
      <c r="I1107" s="134" t="s">
        <v>844</v>
      </c>
    </row>
    <row r="1108" spans="2:9" ht="25.5" customHeight="1" x14ac:dyDescent="0.25">
      <c r="B1108" s="157" t="s">
        <v>978</v>
      </c>
      <c r="C1108" s="234"/>
      <c r="D1108" s="234"/>
      <c r="E1108" s="235"/>
      <c r="F1108" s="232" t="s">
        <v>979</v>
      </c>
      <c r="G1108" s="231"/>
      <c r="H1108" s="242"/>
      <c r="I1108" s="134" t="s">
        <v>844</v>
      </c>
    </row>
    <row r="1109" spans="2:9" ht="15.75" customHeight="1" x14ac:dyDescent="0.25">
      <c r="B1109" s="157" t="s">
        <v>980</v>
      </c>
      <c r="C1109" s="234"/>
      <c r="D1109" s="234"/>
      <c r="E1109" s="235"/>
      <c r="F1109" s="232" t="s">
        <v>908</v>
      </c>
      <c r="G1109" s="231"/>
      <c r="H1109" s="242"/>
      <c r="I1109" s="134" t="s">
        <v>844</v>
      </c>
    </row>
    <row r="1110" spans="2:9" ht="15.75" customHeight="1" x14ac:dyDescent="0.25">
      <c r="B1110" s="157" t="s">
        <v>981</v>
      </c>
      <c r="C1110" s="234"/>
      <c r="D1110" s="234"/>
      <c r="E1110" s="235"/>
      <c r="F1110" s="232" t="s">
        <v>906</v>
      </c>
      <c r="G1110" s="231"/>
      <c r="H1110" s="242"/>
      <c r="I1110" s="134" t="s">
        <v>844</v>
      </c>
    </row>
    <row r="1111" spans="2:9" ht="15.75" customHeight="1" x14ac:dyDescent="0.25">
      <c r="B1111" s="301" t="s">
        <v>982</v>
      </c>
      <c r="C1111" s="234"/>
      <c r="D1111" s="234"/>
      <c r="E1111" s="235"/>
      <c r="F1111" s="232" t="s">
        <v>911</v>
      </c>
      <c r="G1111" s="231"/>
      <c r="H1111" s="242"/>
      <c r="I1111" s="134" t="s">
        <v>844</v>
      </c>
    </row>
    <row r="1112" spans="2:9" ht="15.75" customHeight="1" x14ac:dyDescent="0.25">
      <c r="B1112" s="283"/>
      <c r="C1112" s="234"/>
      <c r="D1112" s="234"/>
      <c r="E1112" s="235"/>
      <c r="F1112" s="232" t="s">
        <v>912</v>
      </c>
      <c r="G1112" s="231"/>
      <c r="H1112" s="242"/>
      <c r="I1112" s="154" t="s">
        <v>850</v>
      </c>
    </row>
    <row r="1113" spans="2:9" ht="25.5" customHeight="1" x14ac:dyDescent="0.25">
      <c r="B1113" s="284" t="s">
        <v>978</v>
      </c>
      <c r="C1113" s="234"/>
      <c r="D1113" s="234"/>
      <c r="E1113" s="235"/>
      <c r="F1113" s="232" t="s">
        <v>983</v>
      </c>
      <c r="G1113" s="231"/>
      <c r="H1113" s="242"/>
      <c r="I1113" s="160" t="s">
        <v>984</v>
      </c>
    </row>
    <row r="1114" spans="2:9" ht="25.5" customHeight="1" x14ac:dyDescent="0.25">
      <c r="B1114" s="283"/>
      <c r="C1114" s="234"/>
      <c r="D1114" s="234"/>
      <c r="E1114" s="235"/>
      <c r="F1114" s="232" t="s">
        <v>985</v>
      </c>
      <c r="G1114" s="231"/>
      <c r="H1114" s="242"/>
      <c r="I1114" s="134" t="s">
        <v>826</v>
      </c>
    </row>
    <row r="1115" spans="2:9" ht="15.75" customHeight="1" x14ac:dyDescent="0.25">
      <c r="B1115" s="284" t="s">
        <v>980</v>
      </c>
      <c r="C1115" s="234"/>
      <c r="D1115" s="234"/>
      <c r="E1115" s="235"/>
      <c r="F1115" s="232" t="s">
        <v>917</v>
      </c>
      <c r="G1115" s="231"/>
      <c r="H1115" s="242"/>
      <c r="I1115" s="160" t="s">
        <v>844</v>
      </c>
    </row>
    <row r="1116" spans="2:9" ht="15.75" customHeight="1" x14ac:dyDescent="0.25">
      <c r="B1116" s="283"/>
      <c r="C1116" s="234"/>
      <c r="D1116" s="234"/>
      <c r="E1116" s="235"/>
      <c r="F1116" s="232" t="s">
        <v>918</v>
      </c>
      <c r="G1116" s="231"/>
      <c r="H1116" s="242"/>
      <c r="I1116" s="154" t="s">
        <v>850</v>
      </c>
    </row>
    <row r="1117" spans="2:9" ht="15.75" customHeight="1" x14ac:dyDescent="0.25">
      <c r="B1117" s="284" t="s">
        <v>981</v>
      </c>
      <c r="C1117" s="234"/>
      <c r="D1117" s="234"/>
      <c r="E1117" s="235"/>
      <c r="F1117" s="232" t="s">
        <v>919</v>
      </c>
      <c r="G1117" s="231"/>
      <c r="H1117" s="242"/>
      <c r="I1117" s="160" t="s">
        <v>844</v>
      </c>
    </row>
    <row r="1118" spans="2:9" ht="15.75" customHeight="1" x14ac:dyDescent="0.25">
      <c r="B1118" s="283"/>
      <c r="C1118" s="234"/>
      <c r="D1118" s="234"/>
      <c r="E1118" s="235"/>
      <c r="F1118" s="232" t="s">
        <v>920</v>
      </c>
      <c r="G1118" s="231"/>
      <c r="H1118" s="242"/>
      <c r="I1118" s="154" t="s">
        <v>850</v>
      </c>
    </row>
    <row r="1119" spans="2:9" ht="31.5" customHeight="1" x14ac:dyDescent="0.25">
      <c r="B1119" s="153" t="s">
        <v>986</v>
      </c>
      <c r="C1119" s="234"/>
      <c r="D1119" s="234"/>
      <c r="E1119" s="235"/>
      <c r="F1119" s="232" t="s">
        <v>924</v>
      </c>
      <c r="G1119" s="231"/>
      <c r="H1119" s="242"/>
      <c r="I1119" s="134" t="s">
        <v>844</v>
      </c>
    </row>
    <row r="1120" spans="2:9" ht="25.5" customHeight="1" x14ac:dyDescent="0.25">
      <c r="B1120" s="157" t="s">
        <v>987</v>
      </c>
      <c r="C1120" s="234"/>
      <c r="D1120" s="234"/>
      <c r="E1120" s="235"/>
      <c r="F1120" s="232" t="s">
        <v>988</v>
      </c>
      <c r="G1120" s="231"/>
      <c r="H1120" s="242"/>
      <c r="I1120" s="134" t="s">
        <v>844</v>
      </c>
    </row>
    <row r="1121" spans="2:9" ht="15.75" customHeight="1" x14ac:dyDescent="0.25">
      <c r="B1121" s="157" t="s">
        <v>989</v>
      </c>
      <c r="C1121" s="234"/>
      <c r="D1121" s="234"/>
      <c r="E1121" s="235"/>
      <c r="F1121" s="232" t="s">
        <v>930</v>
      </c>
      <c r="G1121" s="231"/>
      <c r="H1121" s="242"/>
      <c r="I1121" s="134" t="s">
        <v>844</v>
      </c>
    </row>
    <row r="1122" spans="2:9" ht="15.75" customHeight="1" x14ac:dyDescent="0.25">
      <c r="B1122" s="157" t="s">
        <v>990</v>
      </c>
      <c r="C1122" s="234"/>
      <c r="D1122" s="234"/>
      <c r="E1122" s="235"/>
      <c r="F1122" s="232" t="s">
        <v>929</v>
      </c>
      <c r="G1122" s="231"/>
      <c r="H1122" s="242"/>
      <c r="I1122" s="134" t="s">
        <v>844</v>
      </c>
    </row>
    <row r="1123" spans="2:9" ht="31.5" customHeight="1" x14ac:dyDescent="0.25">
      <c r="B1123" s="153" t="s">
        <v>991</v>
      </c>
      <c r="C1123" s="234"/>
      <c r="D1123" s="234"/>
      <c r="E1123" s="235"/>
      <c r="F1123" s="232" t="s">
        <v>933</v>
      </c>
      <c r="G1123" s="231"/>
      <c r="H1123" s="242"/>
      <c r="I1123" s="154" t="s">
        <v>850</v>
      </c>
    </row>
    <row r="1124" spans="2:9" ht="25.5" customHeight="1" x14ac:dyDescent="0.25">
      <c r="B1124" s="157" t="s">
        <v>992</v>
      </c>
      <c r="C1124" s="234"/>
      <c r="D1124" s="234"/>
      <c r="E1124" s="235"/>
      <c r="F1124" s="232" t="s">
        <v>993</v>
      </c>
      <c r="G1124" s="231"/>
      <c r="H1124" s="242"/>
      <c r="I1124" s="154" t="s">
        <v>850</v>
      </c>
    </row>
    <row r="1125" spans="2:9" ht="15.75" customHeight="1" x14ac:dyDescent="0.25">
      <c r="B1125" s="157" t="s">
        <v>994</v>
      </c>
      <c r="C1125" s="234"/>
      <c r="D1125" s="234"/>
      <c r="E1125" s="235"/>
      <c r="F1125" s="232" t="s">
        <v>947</v>
      </c>
      <c r="G1125" s="231"/>
      <c r="H1125" s="242"/>
      <c r="I1125" s="154" t="s">
        <v>850</v>
      </c>
    </row>
    <row r="1126" spans="2:9" ht="15.75" customHeight="1" x14ac:dyDescent="0.25">
      <c r="B1126" s="157" t="s">
        <v>995</v>
      </c>
      <c r="C1126" s="234"/>
      <c r="D1126" s="234"/>
      <c r="E1126" s="235"/>
      <c r="F1126" s="232" t="s">
        <v>942</v>
      </c>
      <c r="G1126" s="231"/>
      <c r="H1126" s="242"/>
      <c r="I1126" s="154" t="s">
        <v>850</v>
      </c>
    </row>
    <row r="1127" spans="2:9" ht="15.75" customHeight="1" x14ac:dyDescent="0.25">
      <c r="B1127" s="153" t="s">
        <v>996</v>
      </c>
      <c r="C1127" s="234"/>
      <c r="D1127" s="234"/>
      <c r="E1127" s="235"/>
      <c r="F1127" s="232" t="s">
        <v>950</v>
      </c>
      <c r="G1127" s="231"/>
      <c r="H1127" s="242"/>
      <c r="I1127" s="154" t="s">
        <v>850</v>
      </c>
    </row>
    <row r="1128" spans="2:9" ht="47.25" customHeight="1" x14ac:dyDescent="0.25">
      <c r="B1128" s="157" t="s">
        <v>997</v>
      </c>
      <c r="C1128" s="234"/>
      <c r="D1128" s="234"/>
      <c r="E1128" s="235"/>
      <c r="F1128" s="232" t="s">
        <v>998</v>
      </c>
      <c r="G1128" s="231"/>
      <c r="H1128" s="242"/>
      <c r="I1128" s="154" t="s">
        <v>850</v>
      </c>
    </row>
    <row r="1129" spans="2:9" ht="31.5" customHeight="1" x14ac:dyDescent="0.25">
      <c r="B1129" s="157" t="s">
        <v>999</v>
      </c>
      <c r="C1129" s="234"/>
      <c r="D1129" s="234"/>
      <c r="E1129" s="235"/>
      <c r="F1129" s="232" t="s">
        <v>960</v>
      </c>
      <c r="G1129" s="231"/>
      <c r="H1129" s="242"/>
      <c r="I1129" s="154" t="s">
        <v>850</v>
      </c>
    </row>
    <row r="1130" spans="2:9" ht="31.5" customHeight="1" x14ac:dyDescent="0.25">
      <c r="B1130" s="157" t="s">
        <v>1000</v>
      </c>
      <c r="C1130" s="234"/>
      <c r="D1130" s="234"/>
      <c r="E1130" s="235"/>
      <c r="F1130" s="232" t="s">
        <v>956</v>
      </c>
      <c r="G1130" s="231"/>
      <c r="H1130" s="242"/>
      <c r="I1130" s="154" t="s">
        <v>850</v>
      </c>
    </row>
    <row r="1131" spans="2:9" ht="15.75" customHeight="1" x14ac:dyDescent="0.25">
      <c r="B1131" s="161"/>
      <c r="C1131" s="234"/>
      <c r="D1131" s="234"/>
      <c r="E1131" s="235">
        <v>199</v>
      </c>
      <c r="F1131" s="232"/>
      <c r="G1131" s="231"/>
      <c r="H1131" s="242"/>
      <c r="I1131" s="162"/>
    </row>
    <row r="1132" spans="2:9" ht="15.75" customHeight="1" x14ac:dyDescent="0.25">
      <c r="B1132" s="163" t="s">
        <v>1001</v>
      </c>
      <c r="C1132" s="234"/>
      <c r="D1132" s="234"/>
      <c r="E1132" s="235">
        <v>200</v>
      </c>
      <c r="F1132" s="232"/>
      <c r="G1132" s="231"/>
      <c r="H1132" s="242"/>
      <c r="I1132" s="164"/>
    </row>
    <row r="1133" spans="2:9" ht="15.75" customHeight="1" x14ac:dyDescent="0.25">
      <c r="B1133" s="165" t="s">
        <v>19</v>
      </c>
      <c r="C1133" s="234"/>
      <c r="D1133" s="234"/>
      <c r="E1133" s="235">
        <v>201</v>
      </c>
      <c r="F1133" s="232"/>
      <c r="G1133" s="231"/>
      <c r="H1133" s="242"/>
      <c r="I1133" s="80"/>
    </row>
    <row r="1134" spans="2:9" ht="31.5" customHeight="1" x14ac:dyDescent="0.25">
      <c r="B1134" s="166" t="s">
        <v>1002</v>
      </c>
      <c r="C1134" s="234"/>
      <c r="D1134" s="234"/>
      <c r="E1134" s="235"/>
      <c r="F1134" s="232" t="s">
        <v>1003</v>
      </c>
      <c r="G1134" s="231"/>
      <c r="H1134" s="242"/>
      <c r="I1134" s="80" t="s">
        <v>850</v>
      </c>
    </row>
    <row r="1135" spans="2:9" ht="15.75" customHeight="1" x14ac:dyDescent="0.25">
      <c r="B1135" s="165" t="s">
        <v>296</v>
      </c>
      <c r="C1135" s="234"/>
      <c r="D1135" s="234"/>
      <c r="E1135" s="235">
        <v>202</v>
      </c>
      <c r="F1135" s="232"/>
      <c r="G1135" s="231"/>
      <c r="H1135" s="242"/>
      <c r="I1135" s="80"/>
    </row>
    <row r="1136" spans="2:9" ht="15.75" customHeight="1" x14ac:dyDescent="0.25">
      <c r="B1136" s="166" t="s">
        <v>1004</v>
      </c>
      <c r="C1136" s="234"/>
      <c r="D1136" s="234"/>
      <c r="E1136" s="235"/>
      <c r="F1136" s="232" t="s">
        <v>1005</v>
      </c>
      <c r="G1136" s="231"/>
      <c r="H1136" s="242"/>
      <c r="I1136" s="171" t="s">
        <v>844</v>
      </c>
    </row>
    <row r="1137" spans="2:9" ht="15.75" customHeight="1" x14ac:dyDescent="0.25">
      <c r="B1137" s="202"/>
      <c r="C1137" s="234"/>
      <c r="D1137" s="234"/>
      <c r="E1137" s="235">
        <v>203</v>
      </c>
      <c r="F1137" s="232"/>
      <c r="G1137" s="231"/>
      <c r="H1137" s="242"/>
      <c r="I1137" s="171"/>
    </row>
    <row r="1138" spans="2:9" ht="15.75" customHeight="1" x14ac:dyDescent="0.25">
      <c r="B1138" s="202"/>
      <c r="C1138" s="234"/>
      <c r="D1138" s="234"/>
      <c r="E1138" s="235">
        <v>204</v>
      </c>
      <c r="F1138" s="232"/>
      <c r="G1138" s="231"/>
      <c r="H1138" s="242"/>
      <c r="I1138" s="171"/>
    </row>
    <row r="1139" spans="2:9" ht="15.75" customHeight="1" x14ac:dyDescent="0.25">
      <c r="B1139" s="131" t="s">
        <v>1006</v>
      </c>
      <c r="C1139" s="234"/>
      <c r="D1139" s="234"/>
      <c r="E1139" s="235">
        <v>205</v>
      </c>
      <c r="F1139" s="232"/>
      <c r="G1139" s="231"/>
      <c r="H1139" s="242"/>
      <c r="I1139" s="131"/>
    </row>
    <row r="1140" spans="2:9" ht="15.75" customHeight="1" x14ac:dyDescent="0.25">
      <c r="B1140" s="202"/>
      <c r="C1140" s="234"/>
      <c r="D1140" s="234"/>
      <c r="E1140" s="235">
        <v>206</v>
      </c>
      <c r="F1140" s="232"/>
      <c r="G1140" s="231"/>
      <c r="H1140" s="242"/>
      <c r="I1140" s="171"/>
    </row>
    <row r="1141" spans="2:9" ht="15.75" customHeight="1" x14ac:dyDescent="0.25">
      <c r="B1141" s="88" t="s">
        <v>19</v>
      </c>
      <c r="C1141" s="234"/>
      <c r="D1141" s="234"/>
      <c r="E1141" s="235">
        <v>207</v>
      </c>
      <c r="F1141" s="232"/>
      <c r="G1141" s="231"/>
      <c r="H1141" s="242"/>
      <c r="I1141" s="171"/>
    </row>
    <row r="1142" spans="2:9" ht="15.75" customHeight="1" x14ac:dyDescent="0.25">
      <c r="B1142" s="180" t="s">
        <v>1007</v>
      </c>
      <c r="C1142" s="234"/>
      <c r="D1142" s="234"/>
      <c r="E1142" s="235">
        <v>208</v>
      </c>
      <c r="F1142" s="232"/>
      <c r="G1142" s="231"/>
      <c r="H1142" s="242"/>
      <c r="I1142" s="171"/>
    </row>
    <row r="1143" spans="2:9" ht="15.75" customHeight="1" x14ac:dyDescent="0.25">
      <c r="B1143" s="167" t="s">
        <v>1008</v>
      </c>
      <c r="C1143" s="234"/>
      <c r="D1143" s="234"/>
      <c r="E1143" s="235"/>
      <c r="F1143" s="232" t="s">
        <v>1009</v>
      </c>
      <c r="G1143" s="231"/>
      <c r="H1143" s="242"/>
      <c r="I1143" s="58" t="s">
        <v>844</v>
      </c>
    </row>
    <row r="1144" spans="2:9" ht="15.75" customHeight="1" x14ac:dyDescent="0.25">
      <c r="B1144" s="167" t="s">
        <v>1010</v>
      </c>
      <c r="C1144" s="234"/>
      <c r="D1144" s="234"/>
      <c r="E1144" s="235"/>
      <c r="F1144" s="232" t="s">
        <v>1011</v>
      </c>
      <c r="G1144" s="231"/>
      <c r="H1144" s="242"/>
      <c r="I1144" s="58" t="s">
        <v>844</v>
      </c>
    </row>
    <row r="1145" spans="2:9" ht="15.75" customHeight="1" x14ac:dyDescent="0.25">
      <c r="B1145" s="167" t="s">
        <v>1012</v>
      </c>
      <c r="C1145" s="234"/>
      <c r="D1145" s="234"/>
      <c r="E1145" s="235"/>
      <c r="F1145" s="232" t="s">
        <v>1013</v>
      </c>
      <c r="G1145" s="231"/>
      <c r="H1145" s="242"/>
      <c r="I1145" s="58" t="s">
        <v>844</v>
      </c>
    </row>
    <row r="1146" spans="2:9" ht="15.75" customHeight="1" x14ac:dyDescent="0.25">
      <c r="B1146" s="180" t="s">
        <v>1014</v>
      </c>
      <c r="C1146" s="234"/>
      <c r="D1146" s="234"/>
      <c r="E1146" s="235">
        <v>209</v>
      </c>
      <c r="F1146" s="232"/>
      <c r="G1146" s="231"/>
      <c r="H1146" s="242"/>
      <c r="I1146" s="171"/>
    </row>
    <row r="1147" spans="2:9" ht="15.75" customHeight="1" x14ac:dyDescent="0.25">
      <c r="B1147" s="167" t="s">
        <v>1015</v>
      </c>
      <c r="C1147" s="234"/>
      <c r="D1147" s="234"/>
      <c r="E1147" s="235"/>
      <c r="F1147" s="232" t="s">
        <v>1016</v>
      </c>
      <c r="G1147" s="231"/>
      <c r="H1147" s="242"/>
      <c r="I1147" s="58" t="s">
        <v>850</v>
      </c>
    </row>
    <row r="1148" spans="2:9" ht="15.75" customHeight="1" x14ac:dyDescent="0.25">
      <c r="B1148" s="167"/>
      <c r="C1148" s="234"/>
      <c r="D1148" s="234"/>
      <c r="E1148" s="235">
        <v>210</v>
      </c>
      <c r="F1148" s="232"/>
      <c r="G1148" s="231"/>
      <c r="H1148" s="242"/>
      <c r="I1148" s="171"/>
    </row>
    <row r="1149" spans="2:9" ht="15.75" customHeight="1" x14ac:dyDescent="0.25">
      <c r="B1149" s="168" t="s">
        <v>296</v>
      </c>
      <c r="C1149" s="234"/>
      <c r="D1149" s="234"/>
      <c r="E1149" s="235">
        <v>211</v>
      </c>
      <c r="F1149" s="232"/>
      <c r="G1149" s="231"/>
      <c r="H1149" s="242"/>
      <c r="I1149" s="171"/>
    </row>
    <row r="1150" spans="2:9" ht="15.75" customHeight="1" x14ac:dyDescent="0.25">
      <c r="B1150" s="167" t="s">
        <v>1008</v>
      </c>
      <c r="C1150" s="234"/>
      <c r="D1150" s="234"/>
      <c r="E1150" s="235"/>
      <c r="F1150" s="232" t="s">
        <v>1017</v>
      </c>
      <c r="G1150" s="231"/>
      <c r="H1150" s="242"/>
      <c r="I1150" s="58" t="s">
        <v>844</v>
      </c>
    </row>
    <row r="1151" spans="2:9" ht="15.75" customHeight="1" x14ac:dyDescent="0.25">
      <c r="B1151" s="167" t="s">
        <v>1010</v>
      </c>
      <c r="C1151" s="234"/>
      <c r="D1151" s="234"/>
      <c r="E1151" s="235"/>
      <c r="F1151" s="232" t="s">
        <v>1018</v>
      </c>
      <c r="G1151" s="231"/>
      <c r="H1151" s="242"/>
      <c r="I1151" s="58" t="s">
        <v>844</v>
      </c>
    </row>
    <row r="1152" spans="2:9" ht="15.75" customHeight="1" x14ac:dyDescent="0.25">
      <c r="B1152" s="167" t="s">
        <v>1012</v>
      </c>
      <c r="C1152" s="234"/>
      <c r="D1152" s="234"/>
      <c r="E1152" s="235"/>
      <c r="F1152" s="232" t="s">
        <v>1019</v>
      </c>
      <c r="G1152" s="231"/>
      <c r="H1152" s="242"/>
      <c r="I1152" s="58" t="s">
        <v>844</v>
      </c>
    </row>
    <row r="1153" spans="2:9" ht="15.75" customHeight="1" x14ac:dyDescent="0.25">
      <c r="B1153" s="169" t="s">
        <v>1020</v>
      </c>
      <c r="C1153" s="234"/>
      <c r="D1153" s="234"/>
      <c r="E1153" s="235">
        <v>212</v>
      </c>
      <c r="F1153" s="232"/>
      <c r="G1153" s="231"/>
      <c r="H1153" s="242"/>
      <c r="I1153" s="58"/>
    </row>
    <row r="1154" spans="2:9" ht="15.75" customHeight="1" x14ac:dyDescent="0.25">
      <c r="B1154" s="167" t="s">
        <v>1015</v>
      </c>
      <c r="C1154" s="234"/>
      <c r="D1154" s="234"/>
      <c r="E1154" s="235"/>
      <c r="F1154" s="232" t="s">
        <v>1021</v>
      </c>
      <c r="G1154" s="231"/>
      <c r="H1154" s="242"/>
      <c r="I1154" s="58" t="s">
        <v>850</v>
      </c>
    </row>
    <row r="1155" spans="2:9" ht="15.75" customHeight="1" x14ac:dyDescent="0.25">
      <c r="B1155" s="169" t="s">
        <v>1022</v>
      </c>
      <c r="C1155" s="234"/>
      <c r="D1155" s="234"/>
      <c r="E1155" s="235">
        <v>213</v>
      </c>
      <c r="F1155" s="232"/>
      <c r="G1155" s="231"/>
      <c r="H1155" s="242"/>
      <c r="I1155" s="171"/>
    </row>
    <row r="1156" spans="2:9" ht="15.75" customHeight="1" x14ac:dyDescent="0.25">
      <c r="B1156" s="167" t="s">
        <v>1015</v>
      </c>
      <c r="C1156" s="234"/>
      <c r="D1156" s="234"/>
      <c r="E1156" s="235"/>
      <c r="F1156" s="232" t="s">
        <v>1023</v>
      </c>
      <c r="G1156" s="231"/>
      <c r="H1156" s="242"/>
      <c r="I1156" s="58" t="s">
        <v>844</v>
      </c>
    </row>
    <row r="1157" spans="2:9" ht="15.75" customHeight="1" x14ac:dyDescent="0.25">
      <c r="B1157" s="169" t="s">
        <v>1024</v>
      </c>
      <c r="C1157" s="234"/>
      <c r="D1157" s="234"/>
      <c r="E1157" s="235">
        <v>214</v>
      </c>
      <c r="F1157" s="232"/>
      <c r="G1157" s="231"/>
      <c r="H1157" s="242"/>
      <c r="I1157" s="171"/>
    </row>
    <row r="1158" spans="2:9" ht="15.75" customHeight="1" x14ac:dyDescent="0.25">
      <c r="B1158" s="167" t="s">
        <v>1008</v>
      </c>
      <c r="C1158" s="234"/>
      <c r="D1158" s="234"/>
      <c r="E1158" s="235"/>
      <c r="F1158" s="232" t="s">
        <v>1025</v>
      </c>
      <c r="G1158" s="231"/>
      <c r="H1158" s="242"/>
      <c r="I1158" s="58" t="s">
        <v>844</v>
      </c>
    </row>
    <row r="1159" spans="2:9" ht="15.75" customHeight="1" x14ac:dyDescent="0.25">
      <c r="B1159" s="167" t="s">
        <v>1010</v>
      </c>
      <c r="C1159" s="234"/>
      <c r="D1159" s="234"/>
      <c r="E1159" s="235"/>
      <c r="F1159" s="232" t="s">
        <v>1026</v>
      </c>
      <c r="G1159" s="231"/>
      <c r="H1159" s="242"/>
      <c r="I1159" s="58" t="s">
        <v>844</v>
      </c>
    </row>
    <row r="1160" spans="2:9" ht="15.75" customHeight="1" x14ac:dyDescent="0.25">
      <c r="B1160" s="167" t="s">
        <v>1012</v>
      </c>
      <c r="C1160" s="234"/>
      <c r="D1160" s="234"/>
      <c r="E1160" s="235"/>
      <c r="F1160" s="232" t="s">
        <v>1027</v>
      </c>
      <c r="G1160" s="231"/>
      <c r="H1160" s="242"/>
      <c r="I1160" s="58" t="s">
        <v>844</v>
      </c>
    </row>
    <row r="1161" spans="2:9" ht="15.75" customHeight="1" x14ac:dyDescent="0.25">
      <c r="B1161" s="169" t="s">
        <v>1028</v>
      </c>
      <c r="C1161" s="234"/>
      <c r="D1161" s="234"/>
      <c r="E1161" s="235">
        <v>215</v>
      </c>
      <c r="F1161" s="232"/>
      <c r="G1161" s="231"/>
      <c r="H1161" s="242"/>
      <c r="I1161" s="171"/>
    </row>
    <row r="1162" spans="2:9" ht="15.75" customHeight="1" x14ac:dyDescent="0.25">
      <c r="B1162" s="167" t="s">
        <v>1008</v>
      </c>
      <c r="C1162" s="234"/>
      <c r="D1162" s="234"/>
      <c r="E1162" s="235"/>
      <c r="F1162" s="232" t="s">
        <v>1029</v>
      </c>
      <c r="G1162" s="231"/>
      <c r="H1162" s="242"/>
      <c r="I1162" s="58" t="s">
        <v>844</v>
      </c>
    </row>
    <row r="1163" spans="2:9" ht="15.75" customHeight="1" x14ac:dyDescent="0.25">
      <c r="B1163" s="167" t="s">
        <v>1010</v>
      </c>
      <c r="C1163" s="234"/>
      <c r="D1163" s="234"/>
      <c r="E1163" s="235"/>
      <c r="F1163" s="232" t="s">
        <v>1030</v>
      </c>
      <c r="G1163" s="231"/>
      <c r="H1163" s="242"/>
      <c r="I1163" s="58" t="s">
        <v>844</v>
      </c>
    </row>
    <row r="1164" spans="2:9" ht="15.75" customHeight="1" x14ac:dyDescent="0.25">
      <c r="B1164" s="167" t="s">
        <v>1012</v>
      </c>
      <c r="C1164" s="234"/>
      <c r="D1164" s="234"/>
      <c r="E1164" s="235"/>
      <c r="F1164" s="232" t="s">
        <v>1031</v>
      </c>
      <c r="G1164" s="231"/>
      <c r="H1164" s="242"/>
      <c r="I1164" s="58" t="s">
        <v>844</v>
      </c>
    </row>
    <row r="1165" spans="2:9" ht="15.75" customHeight="1" x14ac:dyDescent="0.25">
      <c r="B1165" s="169" t="s">
        <v>1032</v>
      </c>
      <c r="C1165" s="234"/>
      <c r="D1165" s="234"/>
      <c r="E1165" s="235">
        <v>216</v>
      </c>
      <c r="F1165" s="232"/>
      <c r="G1165" s="231"/>
      <c r="H1165" s="242"/>
      <c r="I1165" s="171"/>
    </row>
    <row r="1166" spans="2:9" ht="15.75" customHeight="1" x14ac:dyDescent="0.25">
      <c r="B1166" s="167" t="s">
        <v>1008</v>
      </c>
      <c r="C1166" s="234"/>
      <c r="D1166" s="234"/>
      <c r="E1166" s="235"/>
      <c r="F1166" s="232" t="s">
        <v>1033</v>
      </c>
      <c r="G1166" s="231"/>
      <c r="H1166" s="242"/>
      <c r="I1166" s="58" t="s">
        <v>844</v>
      </c>
    </row>
    <row r="1167" spans="2:9" ht="15.75" customHeight="1" x14ac:dyDescent="0.25">
      <c r="B1167" s="167" t="s">
        <v>1010</v>
      </c>
      <c r="C1167" s="234"/>
      <c r="D1167" s="234"/>
      <c r="E1167" s="235"/>
      <c r="F1167" s="232" t="s">
        <v>1034</v>
      </c>
      <c r="G1167" s="231"/>
      <c r="H1167" s="242"/>
      <c r="I1167" s="58" t="s">
        <v>844</v>
      </c>
    </row>
    <row r="1168" spans="2:9" ht="15.75" customHeight="1" x14ac:dyDescent="0.25">
      <c r="B1168" s="167" t="s">
        <v>1012</v>
      </c>
      <c r="C1168" s="234"/>
      <c r="D1168" s="234"/>
      <c r="E1168" s="235"/>
      <c r="F1168" s="232" t="s">
        <v>1035</v>
      </c>
      <c r="G1168" s="231"/>
      <c r="H1168" s="242"/>
      <c r="I1168" s="58" t="s">
        <v>844</v>
      </c>
    </row>
    <row r="1169" spans="2:9" ht="15.75" customHeight="1" x14ac:dyDescent="0.25">
      <c r="B1169" s="169" t="s">
        <v>1036</v>
      </c>
      <c r="C1169" s="234"/>
      <c r="D1169" s="234"/>
      <c r="E1169" s="235">
        <v>217</v>
      </c>
      <c r="F1169" s="232"/>
      <c r="G1169" s="231"/>
      <c r="H1169" s="242"/>
      <c r="I1169" s="171"/>
    </row>
    <row r="1170" spans="2:9" ht="15.75" customHeight="1" x14ac:dyDescent="0.25">
      <c r="B1170" s="167" t="s">
        <v>1008</v>
      </c>
      <c r="C1170" s="234"/>
      <c r="D1170" s="234"/>
      <c r="E1170" s="235"/>
      <c r="F1170" s="232" t="s">
        <v>1037</v>
      </c>
      <c r="G1170" s="231"/>
      <c r="H1170" s="242"/>
      <c r="I1170" s="58" t="s">
        <v>844</v>
      </c>
    </row>
    <row r="1171" spans="2:9" ht="15.75" customHeight="1" x14ac:dyDescent="0.25">
      <c r="B1171" s="167" t="s">
        <v>1010</v>
      </c>
      <c r="C1171" s="234"/>
      <c r="D1171" s="234"/>
      <c r="E1171" s="235"/>
      <c r="F1171" s="232" t="s">
        <v>1038</v>
      </c>
      <c r="G1171" s="231"/>
      <c r="H1171" s="242"/>
      <c r="I1171" s="58" t="s">
        <v>844</v>
      </c>
    </row>
    <row r="1172" spans="2:9" ht="15.75" customHeight="1" x14ac:dyDescent="0.25">
      <c r="B1172" s="167" t="s">
        <v>1012</v>
      </c>
      <c r="C1172" s="234"/>
      <c r="D1172" s="234"/>
      <c r="E1172" s="235"/>
      <c r="F1172" s="232" t="s">
        <v>1039</v>
      </c>
      <c r="G1172" s="231"/>
      <c r="H1172" s="242"/>
      <c r="I1172" s="58" t="s">
        <v>844</v>
      </c>
    </row>
    <row r="1173" spans="2:9" ht="15.75" customHeight="1" x14ac:dyDescent="0.25">
      <c r="B1173" s="169" t="s">
        <v>1040</v>
      </c>
      <c r="C1173" s="234"/>
      <c r="D1173" s="234"/>
      <c r="E1173" s="235">
        <v>218</v>
      </c>
      <c r="F1173" s="232"/>
      <c r="G1173" s="231"/>
      <c r="H1173" s="242"/>
      <c r="I1173" s="171"/>
    </row>
    <row r="1174" spans="2:9" ht="15.75" customHeight="1" x14ac:dyDescent="0.25">
      <c r="B1174" s="167" t="s">
        <v>1008</v>
      </c>
      <c r="C1174" s="234"/>
      <c r="D1174" s="234"/>
      <c r="E1174" s="235"/>
      <c r="F1174" s="232" t="s">
        <v>1041</v>
      </c>
      <c r="G1174" s="231"/>
      <c r="H1174" s="242"/>
      <c r="I1174" s="58" t="s">
        <v>844</v>
      </c>
    </row>
    <row r="1175" spans="2:9" ht="15.75" customHeight="1" x14ac:dyDescent="0.25">
      <c r="B1175" s="167" t="s">
        <v>1010</v>
      </c>
      <c r="C1175" s="234"/>
      <c r="D1175" s="234"/>
      <c r="E1175" s="235"/>
      <c r="F1175" s="232" t="s">
        <v>1042</v>
      </c>
      <c r="G1175" s="231"/>
      <c r="H1175" s="242"/>
      <c r="I1175" s="58" t="s">
        <v>844</v>
      </c>
    </row>
    <row r="1176" spans="2:9" ht="15.75" customHeight="1" x14ac:dyDescent="0.25">
      <c r="B1176" s="167" t="s">
        <v>1012</v>
      </c>
      <c r="C1176" s="234"/>
      <c r="D1176" s="234"/>
      <c r="E1176" s="235"/>
      <c r="F1176" s="232" t="s">
        <v>1043</v>
      </c>
      <c r="G1176" s="231"/>
      <c r="H1176" s="242"/>
      <c r="I1176" s="58" t="s">
        <v>844</v>
      </c>
    </row>
    <row r="1177" spans="2:9" ht="15.75" customHeight="1" x14ac:dyDescent="0.25">
      <c r="B1177" s="169" t="s">
        <v>1044</v>
      </c>
      <c r="C1177" s="234"/>
      <c r="D1177" s="234"/>
      <c r="E1177" s="235">
        <v>219</v>
      </c>
      <c r="F1177" s="232"/>
      <c r="G1177" s="231"/>
      <c r="H1177" s="242"/>
      <c r="I1177" s="171"/>
    </row>
    <row r="1178" spans="2:9" ht="15.75" customHeight="1" x14ac:dyDescent="0.25">
      <c r="B1178" s="167" t="s">
        <v>1008</v>
      </c>
      <c r="C1178" s="234"/>
      <c r="D1178" s="234"/>
      <c r="E1178" s="235"/>
      <c r="F1178" s="232" t="s">
        <v>1045</v>
      </c>
      <c r="G1178" s="231"/>
      <c r="H1178" s="242"/>
      <c r="I1178" s="58" t="s">
        <v>844</v>
      </c>
    </row>
    <row r="1179" spans="2:9" ht="15.75" customHeight="1" x14ac:dyDescent="0.25">
      <c r="B1179" s="167" t="s">
        <v>1010</v>
      </c>
      <c r="C1179" s="234"/>
      <c r="D1179" s="234"/>
      <c r="E1179" s="235"/>
      <c r="F1179" s="232" t="s">
        <v>1046</v>
      </c>
      <c r="G1179" s="231"/>
      <c r="H1179" s="242"/>
      <c r="I1179" s="58" t="s">
        <v>844</v>
      </c>
    </row>
    <row r="1180" spans="2:9" ht="15.75" customHeight="1" x14ac:dyDescent="0.25">
      <c r="B1180" s="167" t="s">
        <v>1012</v>
      </c>
      <c r="C1180" s="234"/>
      <c r="D1180" s="234"/>
      <c r="E1180" s="235"/>
      <c r="F1180" s="232" t="s">
        <v>1047</v>
      </c>
      <c r="G1180" s="231"/>
      <c r="H1180" s="242"/>
      <c r="I1180" s="58" t="s">
        <v>844</v>
      </c>
    </row>
    <row r="1181" spans="2:9" ht="15.75" customHeight="1" x14ac:dyDescent="0.25">
      <c r="B1181" s="169" t="s">
        <v>1048</v>
      </c>
      <c r="C1181" s="234"/>
      <c r="D1181" s="234"/>
      <c r="E1181" s="235">
        <v>220</v>
      </c>
      <c r="F1181" s="232"/>
      <c r="G1181" s="231"/>
      <c r="H1181" s="242"/>
      <c r="I1181" s="171"/>
    </row>
    <row r="1182" spans="2:9" ht="15.75" customHeight="1" x14ac:dyDescent="0.25">
      <c r="B1182" s="167" t="s">
        <v>1008</v>
      </c>
      <c r="C1182" s="234"/>
      <c r="D1182" s="234"/>
      <c r="E1182" s="235"/>
      <c r="F1182" s="232" t="s">
        <v>1049</v>
      </c>
      <c r="G1182" s="231"/>
      <c r="H1182" s="242"/>
      <c r="I1182" s="58" t="s">
        <v>844</v>
      </c>
    </row>
    <row r="1183" spans="2:9" ht="15.75" customHeight="1" x14ac:dyDescent="0.25">
      <c r="B1183" s="167" t="s">
        <v>1012</v>
      </c>
      <c r="C1183" s="234"/>
      <c r="D1183" s="234"/>
      <c r="E1183" s="235"/>
      <c r="F1183" s="232" t="s">
        <v>1050</v>
      </c>
      <c r="G1183" s="231"/>
      <c r="H1183" s="242"/>
      <c r="I1183" s="58" t="s">
        <v>844</v>
      </c>
    </row>
    <row r="1184" spans="2:9" ht="15.75" customHeight="1" x14ac:dyDescent="0.25">
      <c r="B1184" s="169" t="s">
        <v>1051</v>
      </c>
      <c r="C1184" s="234"/>
      <c r="D1184" s="234"/>
      <c r="E1184" s="235">
        <v>221</v>
      </c>
      <c r="F1184" s="232"/>
      <c r="G1184" s="231"/>
      <c r="H1184" s="242"/>
      <c r="I1184" s="171"/>
    </row>
    <row r="1185" spans="2:9" ht="15.75" customHeight="1" x14ac:dyDescent="0.25">
      <c r="B1185" s="167" t="s">
        <v>1008</v>
      </c>
      <c r="C1185" s="234"/>
      <c r="D1185" s="234"/>
      <c r="E1185" s="235"/>
      <c r="F1185" s="232" t="s">
        <v>1052</v>
      </c>
      <c r="G1185" s="231"/>
      <c r="H1185" s="242"/>
      <c r="I1185" s="58" t="s">
        <v>844</v>
      </c>
    </row>
    <row r="1186" spans="2:9" ht="15.75" customHeight="1" x14ac:dyDescent="0.25">
      <c r="B1186" s="167" t="s">
        <v>1010</v>
      </c>
      <c r="C1186" s="234"/>
      <c r="D1186" s="234"/>
      <c r="E1186" s="235"/>
      <c r="F1186" s="232" t="s">
        <v>1053</v>
      </c>
      <c r="G1186" s="231"/>
      <c r="H1186" s="242"/>
      <c r="I1186" s="58" t="s">
        <v>844</v>
      </c>
    </row>
    <row r="1187" spans="2:9" ht="15.75" customHeight="1" x14ac:dyDescent="0.25">
      <c r="B1187" s="167" t="s">
        <v>1012</v>
      </c>
      <c r="C1187" s="234"/>
      <c r="D1187" s="234"/>
      <c r="E1187" s="235"/>
      <c r="F1187" s="232" t="s">
        <v>1054</v>
      </c>
      <c r="G1187" s="231"/>
      <c r="H1187" s="242"/>
      <c r="I1187" s="58" t="s">
        <v>844</v>
      </c>
    </row>
    <row r="1188" spans="2:9" ht="15.75" customHeight="1" x14ac:dyDescent="0.25">
      <c r="B1188" s="169" t="s">
        <v>1055</v>
      </c>
      <c r="C1188" s="234"/>
      <c r="D1188" s="234"/>
      <c r="E1188" s="235">
        <v>222</v>
      </c>
      <c r="F1188" s="232"/>
      <c r="G1188" s="231"/>
      <c r="H1188" s="242"/>
      <c r="I1188" s="171"/>
    </row>
    <row r="1189" spans="2:9" ht="15.75" customHeight="1" x14ac:dyDescent="0.25">
      <c r="B1189" s="167" t="s">
        <v>1008</v>
      </c>
      <c r="C1189" s="234"/>
      <c r="D1189" s="234"/>
      <c r="E1189" s="235"/>
      <c r="F1189" s="232" t="s">
        <v>1056</v>
      </c>
      <c r="G1189" s="231"/>
      <c r="H1189" s="242"/>
      <c r="I1189" s="58" t="s">
        <v>844</v>
      </c>
    </row>
    <row r="1190" spans="2:9" ht="15.75" customHeight="1" x14ac:dyDescent="0.25">
      <c r="B1190" s="167" t="s">
        <v>1010</v>
      </c>
      <c r="C1190" s="234"/>
      <c r="D1190" s="234"/>
      <c r="E1190" s="235"/>
      <c r="F1190" s="232" t="s">
        <v>1057</v>
      </c>
      <c r="G1190" s="231"/>
      <c r="H1190" s="242"/>
      <c r="I1190" s="58" t="s">
        <v>844</v>
      </c>
    </row>
    <row r="1191" spans="2:9" ht="15.75" customHeight="1" x14ac:dyDescent="0.25">
      <c r="B1191" s="167" t="s">
        <v>1012</v>
      </c>
      <c r="C1191" s="234"/>
      <c r="D1191" s="234"/>
      <c r="E1191" s="235"/>
      <c r="F1191" s="232" t="s">
        <v>1058</v>
      </c>
      <c r="G1191" s="231"/>
      <c r="H1191" s="242"/>
      <c r="I1191" s="58" t="s">
        <v>844</v>
      </c>
    </row>
    <row r="1192" spans="2:9" ht="15.75" customHeight="1" x14ac:dyDescent="0.25">
      <c r="B1192" s="169" t="s">
        <v>1059</v>
      </c>
      <c r="C1192" s="234"/>
      <c r="D1192" s="234"/>
      <c r="E1192" s="235">
        <v>223</v>
      </c>
      <c r="F1192" s="232"/>
      <c r="G1192" s="231"/>
      <c r="H1192" s="242"/>
      <c r="I1192" s="171"/>
    </row>
    <row r="1193" spans="2:9" ht="15.75" customHeight="1" x14ac:dyDescent="0.25">
      <c r="B1193" s="167" t="s">
        <v>1008</v>
      </c>
      <c r="C1193" s="234"/>
      <c r="D1193" s="234"/>
      <c r="E1193" s="235"/>
      <c r="F1193" s="232" t="s">
        <v>1060</v>
      </c>
      <c r="G1193" s="231"/>
      <c r="H1193" s="242"/>
      <c r="I1193" s="58" t="s">
        <v>844</v>
      </c>
    </row>
    <row r="1194" spans="2:9" ht="15.75" customHeight="1" x14ac:dyDescent="0.25">
      <c r="B1194" s="167" t="s">
        <v>1010</v>
      </c>
      <c r="C1194" s="234"/>
      <c r="D1194" s="234"/>
      <c r="E1194" s="235"/>
      <c r="F1194" s="232" t="s">
        <v>1061</v>
      </c>
      <c r="G1194" s="231"/>
      <c r="H1194" s="242"/>
      <c r="I1194" s="58" t="s">
        <v>844</v>
      </c>
    </row>
    <row r="1195" spans="2:9" ht="15.75" customHeight="1" x14ac:dyDescent="0.25">
      <c r="B1195" s="167" t="s">
        <v>1012</v>
      </c>
      <c r="C1195" s="234"/>
      <c r="D1195" s="234"/>
      <c r="E1195" s="235"/>
      <c r="F1195" s="232" t="s">
        <v>1062</v>
      </c>
      <c r="G1195" s="231"/>
      <c r="H1195" s="242"/>
      <c r="I1195" s="58" t="s">
        <v>844</v>
      </c>
    </row>
    <row r="1196" spans="2:9" ht="15.75" customHeight="1" x14ac:dyDescent="0.25">
      <c r="B1196" s="169" t="s">
        <v>1063</v>
      </c>
      <c r="C1196" s="234"/>
      <c r="D1196" s="234"/>
      <c r="E1196" s="235">
        <v>224</v>
      </c>
      <c r="F1196" s="232"/>
      <c r="G1196" s="231"/>
      <c r="H1196" s="242"/>
      <c r="I1196" s="171"/>
    </row>
    <row r="1197" spans="2:9" ht="15.75" customHeight="1" x14ac:dyDescent="0.25">
      <c r="B1197" s="167" t="s">
        <v>1008</v>
      </c>
      <c r="C1197" s="234"/>
      <c r="D1197" s="234"/>
      <c r="E1197" s="235"/>
      <c r="F1197" s="232" t="s">
        <v>1064</v>
      </c>
      <c r="G1197" s="231"/>
      <c r="H1197" s="242"/>
      <c r="I1197" s="58" t="s">
        <v>844</v>
      </c>
    </row>
    <row r="1198" spans="2:9" ht="15.75" customHeight="1" x14ac:dyDescent="0.25">
      <c r="B1198" s="167" t="s">
        <v>1010</v>
      </c>
      <c r="C1198" s="234"/>
      <c r="D1198" s="234"/>
      <c r="E1198" s="235"/>
      <c r="F1198" s="232" t="s">
        <v>1065</v>
      </c>
      <c r="G1198" s="231"/>
      <c r="H1198" s="242"/>
      <c r="I1198" s="58" t="s">
        <v>844</v>
      </c>
    </row>
    <row r="1199" spans="2:9" ht="15.75" customHeight="1" x14ac:dyDescent="0.25">
      <c r="B1199" s="167" t="s">
        <v>1012</v>
      </c>
      <c r="C1199" s="234"/>
      <c r="D1199" s="234"/>
      <c r="E1199" s="235"/>
      <c r="F1199" s="232" t="s">
        <v>1066</v>
      </c>
      <c r="G1199" s="231"/>
      <c r="H1199" s="242"/>
      <c r="I1199" s="58" t="s">
        <v>844</v>
      </c>
    </row>
    <row r="1200" spans="2:9" ht="15.75" customHeight="1" x14ac:dyDescent="0.25">
      <c r="B1200" s="202"/>
      <c r="C1200" s="234"/>
      <c r="D1200" s="234"/>
      <c r="E1200" s="235">
        <v>225</v>
      </c>
      <c r="F1200" s="232"/>
      <c r="G1200" s="231"/>
      <c r="H1200" s="242"/>
      <c r="I1200" s="171"/>
    </row>
    <row r="1201" spans="2:9" ht="18.75" customHeight="1" x14ac:dyDescent="0.3">
      <c r="B1201" s="170" t="s">
        <v>1067</v>
      </c>
      <c r="C1201" s="234"/>
      <c r="D1201" s="234"/>
      <c r="E1201" s="235">
        <v>226</v>
      </c>
      <c r="F1201" s="232"/>
      <c r="G1201" s="231"/>
      <c r="H1201" s="242"/>
      <c r="I1201" s="171"/>
    </row>
    <row r="1202" spans="2:9" ht="15.75" customHeight="1" x14ac:dyDescent="0.25">
      <c r="B1202" s="172" t="s">
        <v>1068</v>
      </c>
      <c r="C1202" s="234"/>
      <c r="D1202" s="234"/>
      <c r="E1202" s="235">
        <v>227</v>
      </c>
      <c r="F1202" s="232"/>
      <c r="G1202" s="231"/>
      <c r="H1202" s="242"/>
      <c r="I1202" s="173"/>
    </row>
    <row r="1203" spans="2:9" ht="15.75" customHeight="1" x14ac:dyDescent="0.25">
      <c r="B1203" s="174"/>
      <c r="C1203" s="234"/>
      <c r="D1203" s="234"/>
      <c r="E1203" s="235">
        <v>228</v>
      </c>
      <c r="F1203" s="232"/>
      <c r="G1203" s="231"/>
      <c r="H1203" s="242"/>
      <c r="I1203" s="173"/>
    </row>
    <row r="1204" spans="2:9" ht="31.5" customHeight="1" x14ac:dyDescent="0.25">
      <c r="B1204" s="147" t="s">
        <v>1069</v>
      </c>
      <c r="C1204" s="234"/>
      <c r="D1204" s="234"/>
      <c r="E1204" s="235"/>
      <c r="F1204" s="232" t="s">
        <v>1070</v>
      </c>
      <c r="G1204" s="231"/>
      <c r="H1204" s="242"/>
      <c r="I1204" s="256" t="s">
        <v>844</v>
      </c>
    </row>
    <row r="1205" spans="2:9" ht="15.75" customHeight="1" x14ac:dyDescent="0.25">
      <c r="B1205" s="175" t="s">
        <v>1071</v>
      </c>
      <c r="C1205" s="234"/>
      <c r="D1205" s="234"/>
      <c r="E1205" s="235"/>
      <c r="F1205" s="232" t="s">
        <v>1072</v>
      </c>
      <c r="G1205" s="231"/>
      <c r="H1205" s="242"/>
      <c r="I1205" s="256" t="s">
        <v>844</v>
      </c>
    </row>
    <row r="1206" spans="2:9" ht="15.75" customHeight="1" x14ac:dyDescent="0.25">
      <c r="B1206" s="176" t="s">
        <v>1073</v>
      </c>
      <c r="C1206" s="234"/>
      <c r="D1206" s="234"/>
      <c r="E1206" s="235"/>
      <c r="F1206" s="232" t="s">
        <v>1074</v>
      </c>
      <c r="G1206" s="231"/>
      <c r="H1206" s="242"/>
      <c r="I1206" s="256" t="s">
        <v>844</v>
      </c>
    </row>
    <row r="1207" spans="2:9" ht="15.75" customHeight="1" x14ac:dyDescent="0.25">
      <c r="B1207" s="177" t="s">
        <v>26</v>
      </c>
      <c r="C1207" s="234"/>
      <c r="D1207" s="234"/>
      <c r="E1207" s="235"/>
      <c r="F1207" s="232" t="s">
        <v>1075</v>
      </c>
      <c r="G1207" s="231"/>
      <c r="H1207" s="242"/>
      <c r="I1207" s="58" t="s">
        <v>844</v>
      </c>
    </row>
    <row r="1208" spans="2:9" ht="15.75" customHeight="1" x14ac:dyDescent="0.25">
      <c r="B1208" s="177" t="s">
        <v>498</v>
      </c>
      <c r="C1208" s="234"/>
      <c r="D1208" s="234"/>
      <c r="E1208" s="235"/>
      <c r="F1208" s="232" t="s">
        <v>1076</v>
      </c>
      <c r="G1208" s="231"/>
      <c r="H1208" s="242"/>
      <c r="I1208" s="58" t="s">
        <v>844</v>
      </c>
    </row>
    <row r="1209" spans="2:9" ht="15.75" customHeight="1" x14ac:dyDescent="0.25">
      <c r="B1209" s="177" t="s">
        <v>30</v>
      </c>
      <c r="C1209" s="234"/>
      <c r="D1209" s="234"/>
      <c r="E1209" s="235"/>
      <c r="F1209" s="232" t="s">
        <v>1077</v>
      </c>
      <c r="G1209" s="231"/>
      <c r="H1209" s="242"/>
      <c r="I1209" s="58" t="s">
        <v>844</v>
      </c>
    </row>
    <row r="1210" spans="2:9" ht="15.75" customHeight="1" x14ac:dyDescent="0.25">
      <c r="B1210" s="177" t="s">
        <v>1078</v>
      </c>
      <c r="C1210" s="234"/>
      <c r="D1210" s="234"/>
      <c r="E1210" s="235"/>
      <c r="F1210" s="232" t="s">
        <v>1079</v>
      </c>
      <c r="G1210" s="231"/>
      <c r="H1210" s="242"/>
      <c r="I1210" s="58" t="s">
        <v>844</v>
      </c>
    </row>
    <row r="1211" spans="2:9" ht="15.75" customHeight="1" x14ac:dyDescent="0.25">
      <c r="B1211" s="176" t="s">
        <v>1080</v>
      </c>
      <c r="C1211" s="234"/>
      <c r="D1211" s="234"/>
      <c r="E1211" s="235"/>
      <c r="F1211" s="232" t="s">
        <v>1081</v>
      </c>
      <c r="G1211" s="231"/>
      <c r="H1211" s="242"/>
      <c r="I1211" s="256" t="s">
        <v>844</v>
      </c>
    </row>
    <row r="1212" spans="2:9" ht="15.75" customHeight="1" x14ac:dyDescent="0.25">
      <c r="B1212" s="176" t="s">
        <v>1082</v>
      </c>
      <c r="C1212" s="234"/>
      <c r="D1212" s="234"/>
      <c r="E1212" s="235"/>
      <c r="F1212" s="232" t="s">
        <v>1083</v>
      </c>
      <c r="G1212" s="231"/>
      <c r="H1212" s="242"/>
      <c r="I1212" s="256" t="s">
        <v>844</v>
      </c>
    </row>
    <row r="1213" spans="2:9" ht="15.75" customHeight="1" x14ac:dyDescent="0.25">
      <c r="B1213" s="175" t="s">
        <v>840</v>
      </c>
      <c r="C1213" s="234"/>
      <c r="D1213" s="234"/>
      <c r="E1213" s="235"/>
      <c r="F1213" s="232" t="s">
        <v>1084</v>
      </c>
      <c r="G1213" s="231"/>
      <c r="H1213" s="242"/>
      <c r="I1213" s="256" t="s">
        <v>844</v>
      </c>
    </row>
    <row r="1214" spans="2:9" ht="15.75" customHeight="1" x14ac:dyDescent="0.25">
      <c r="B1214" s="178" t="s">
        <v>1085</v>
      </c>
      <c r="C1214" s="234"/>
      <c r="D1214" s="234"/>
      <c r="E1214" s="235"/>
      <c r="F1214" s="232" t="s">
        <v>1086</v>
      </c>
      <c r="G1214" s="231"/>
      <c r="H1214" s="242"/>
      <c r="I1214" s="58" t="s">
        <v>844</v>
      </c>
    </row>
    <row r="1215" spans="2:9" ht="15.75" customHeight="1" x14ac:dyDescent="0.25">
      <c r="B1215" s="178" t="s">
        <v>1087</v>
      </c>
      <c r="C1215" s="234"/>
      <c r="D1215" s="234"/>
      <c r="E1215" s="235"/>
      <c r="F1215" s="232" t="s">
        <v>1088</v>
      </c>
      <c r="G1215" s="231"/>
      <c r="H1215" s="242"/>
      <c r="I1215" s="58" t="s">
        <v>844</v>
      </c>
    </row>
    <row r="1216" spans="2:9" ht="15.75" customHeight="1" x14ac:dyDescent="0.25">
      <c r="B1216" s="178" t="s">
        <v>1089</v>
      </c>
      <c r="C1216" s="234"/>
      <c r="D1216" s="234"/>
      <c r="E1216" s="235"/>
      <c r="F1216" s="232" t="s">
        <v>1090</v>
      </c>
      <c r="G1216" s="231"/>
      <c r="H1216" s="242"/>
      <c r="I1216" s="58" t="s">
        <v>844</v>
      </c>
    </row>
    <row r="1217" spans="2:9" ht="15.75" customHeight="1" x14ac:dyDescent="0.25">
      <c r="B1217" s="178" t="s">
        <v>1091</v>
      </c>
      <c r="C1217" s="234"/>
      <c r="D1217" s="234"/>
      <c r="E1217" s="235"/>
      <c r="F1217" s="232" t="s">
        <v>1092</v>
      </c>
      <c r="G1217" s="231"/>
      <c r="H1217" s="242"/>
      <c r="I1217" s="58" t="s">
        <v>844</v>
      </c>
    </row>
    <row r="1218" spans="2:9" ht="15.75" customHeight="1" x14ac:dyDescent="0.25">
      <c r="B1218" s="178" t="s">
        <v>1093</v>
      </c>
      <c r="C1218" s="234"/>
      <c r="D1218" s="234"/>
      <c r="E1218" s="235"/>
      <c r="F1218" s="232" t="s">
        <v>1094</v>
      </c>
      <c r="G1218" s="231"/>
      <c r="H1218" s="242"/>
      <c r="I1218" s="58" t="s">
        <v>844</v>
      </c>
    </row>
    <row r="1219" spans="2:9" ht="15.75" customHeight="1" x14ac:dyDescent="0.25">
      <c r="B1219" s="178" t="s">
        <v>1095</v>
      </c>
      <c r="C1219" s="234"/>
      <c r="D1219" s="234"/>
      <c r="E1219" s="235"/>
      <c r="F1219" s="232" t="s">
        <v>1096</v>
      </c>
      <c r="G1219" s="231"/>
      <c r="H1219" s="242"/>
      <c r="I1219" s="58" t="s">
        <v>844</v>
      </c>
    </row>
    <row r="1220" spans="2:9" ht="15.75" customHeight="1" x14ac:dyDescent="0.25">
      <c r="B1220" s="178" t="s">
        <v>1097</v>
      </c>
      <c r="C1220" s="234"/>
      <c r="D1220" s="234"/>
      <c r="E1220" s="235"/>
      <c r="F1220" s="232" t="s">
        <v>1098</v>
      </c>
      <c r="G1220" s="231"/>
      <c r="H1220" s="242"/>
      <c r="I1220" s="58" t="s">
        <v>844</v>
      </c>
    </row>
    <row r="1221" spans="2:9" ht="15.75" customHeight="1" x14ac:dyDescent="0.25">
      <c r="B1221" s="178" t="s">
        <v>1082</v>
      </c>
      <c r="C1221" s="234"/>
      <c r="D1221" s="234"/>
      <c r="E1221" s="235"/>
      <c r="F1221" s="232" t="s">
        <v>1099</v>
      </c>
      <c r="G1221" s="231"/>
      <c r="H1221" s="242"/>
      <c r="I1221" s="58" t="s">
        <v>844</v>
      </c>
    </row>
    <row r="1222" spans="2:9" ht="15.75" customHeight="1" x14ac:dyDescent="0.25">
      <c r="B1222" s="175" t="s">
        <v>1100</v>
      </c>
      <c r="C1222" s="234"/>
      <c r="D1222" s="234"/>
      <c r="E1222" s="235"/>
      <c r="F1222" s="232" t="s">
        <v>1101</v>
      </c>
      <c r="G1222" s="231"/>
      <c r="H1222" s="242"/>
      <c r="I1222" s="256" t="s">
        <v>844</v>
      </c>
    </row>
    <row r="1223" spans="2:9" ht="15.75" customHeight="1" x14ac:dyDescent="0.25">
      <c r="B1223" s="179" t="s">
        <v>1102</v>
      </c>
      <c r="C1223" s="234"/>
      <c r="D1223" s="234"/>
      <c r="E1223" s="235"/>
      <c r="F1223" s="232" t="s">
        <v>1103</v>
      </c>
      <c r="G1223" s="231"/>
      <c r="H1223" s="242"/>
      <c r="I1223" s="58" t="s">
        <v>844</v>
      </c>
    </row>
    <row r="1224" spans="2:9" ht="15.75" customHeight="1" x14ac:dyDescent="0.25">
      <c r="B1224" s="177" t="s">
        <v>26</v>
      </c>
      <c r="C1224" s="234"/>
      <c r="D1224" s="234"/>
      <c r="E1224" s="235"/>
      <c r="F1224" s="232" t="s">
        <v>1104</v>
      </c>
      <c r="G1224" s="231"/>
      <c r="H1224" s="242"/>
      <c r="I1224" s="58" t="s">
        <v>844</v>
      </c>
    </row>
    <row r="1225" spans="2:9" ht="15.75" customHeight="1" x14ac:dyDescent="0.25">
      <c r="B1225" s="180" t="s">
        <v>1105</v>
      </c>
      <c r="C1225" s="234"/>
      <c r="D1225" s="234"/>
      <c r="E1225" s="235"/>
      <c r="F1225" s="232" t="s">
        <v>1106</v>
      </c>
      <c r="G1225" s="231"/>
      <c r="H1225" s="242"/>
      <c r="I1225" s="256" t="s">
        <v>844</v>
      </c>
    </row>
    <row r="1226" spans="2:9" ht="15.75" customHeight="1" x14ac:dyDescent="0.25">
      <c r="B1226" s="147" t="s">
        <v>842</v>
      </c>
      <c r="C1226" s="234"/>
      <c r="D1226" s="234"/>
      <c r="E1226" s="235"/>
      <c r="F1226" s="232" t="s">
        <v>1107</v>
      </c>
      <c r="G1226" s="231"/>
      <c r="H1226" s="242"/>
      <c r="I1226" s="256" t="s">
        <v>844</v>
      </c>
    </row>
    <row r="1227" spans="2:9" ht="15.75" customHeight="1" x14ac:dyDescent="0.25">
      <c r="B1227" s="175" t="s">
        <v>1108</v>
      </c>
      <c r="C1227" s="234"/>
      <c r="D1227" s="234"/>
      <c r="E1227" s="235"/>
      <c r="F1227" s="232" t="s">
        <v>1109</v>
      </c>
      <c r="G1227" s="231"/>
      <c r="H1227" s="242"/>
      <c r="I1227" s="256" t="s">
        <v>844</v>
      </c>
    </row>
    <row r="1228" spans="2:9" ht="15.75" customHeight="1" x14ac:dyDescent="0.25">
      <c r="B1228" s="178" t="s">
        <v>1073</v>
      </c>
      <c r="C1228" s="234"/>
      <c r="D1228" s="234"/>
      <c r="E1228" s="235"/>
      <c r="F1228" s="232" t="s">
        <v>1110</v>
      </c>
      <c r="G1228" s="231"/>
      <c r="H1228" s="242"/>
      <c r="I1228" s="58" t="s">
        <v>844</v>
      </c>
    </row>
    <row r="1229" spans="2:9" ht="15.75" customHeight="1" x14ac:dyDescent="0.25">
      <c r="B1229" s="177" t="s">
        <v>1111</v>
      </c>
      <c r="C1229" s="234"/>
      <c r="D1229" s="234"/>
      <c r="E1229" s="235"/>
      <c r="F1229" s="232" t="s">
        <v>1112</v>
      </c>
      <c r="G1229" s="231"/>
      <c r="H1229" s="242"/>
      <c r="I1229" s="58" t="s">
        <v>844</v>
      </c>
    </row>
    <row r="1230" spans="2:9" ht="15.75" customHeight="1" x14ac:dyDescent="0.25">
      <c r="B1230" s="177" t="s">
        <v>778</v>
      </c>
      <c r="C1230" s="234"/>
      <c r="D1230" s="234"/>
      <c r="E1230" s="235"/>
      <c r="F1230" s="232" t="s">
        <v>1113</v>
      </c>
      <c r="G1230" s="231"/>
      <c r="H1230" s="242"/>
      <c r="I1230" s="58" t="s">
        <v>844</v>
      </c>
    </row>
    <row r="1231" spans="2:9" ht="15.75" customHeight="1" x14ac:dyDescent="0.25">
      <c r="B1231" s="177" t="s">
        <v>1114</v>
      </c>
      <c r="C1231" s="234"/>
      <c r="D1231" s="234"/>
      <c r="E1231" s="235"/>
      <c r="F1231" s="232" t="s">
        <v>1115</v>
      </c>
      <c r="G1231" s="231"/>
      <c r="H1231" s="242"/>
      <c r="I1231" s="58" t="s">
        <v>844</v>
      </c>
    </row>
    <row r="1232" spans="2:9" ht="15.75" customHeight="1" x14ac:dyDescent="0.25">
      <c r="B1232" s="177" t="s">
        <v>1116</v>
      </c>
      <c r="C1232" s="234"/>
      <c r="D1232" s="234"/>
      <c r="E1232" s="235"/>
      <c r="F1232" s="232" t="s">
        <v>1117</v>
      </c>
      <c r="G1232" s="231"/>
      <c r="H1232" s="242"/>
      <c r="I1232" s="58" t="s">
        <v>844</v>
      </c>
    </row>
    <row r="1233" spans="2:9" ht="15.75" customHeight="1" x14ac:dyDescent="0.25">
      <c r="B1233" s="178" t="s">
        <v>1080</v>
      </c>
      <c r="C1233" s="234"/>
      <c r="D1233" s="234"/>
      <c r="E1233" s="235"/>
      <c r="F1233" s="232" t="s">
        <v>1118</v>
      </c>
      <c r="G1233" s="231"/>
      <c r="H1233" s="242"/>
      <c r="I1233" s="58" t="s">
        <v>844</v>
      </c>
    </row>
    <row r="1234" spans="2:9" ht="15.75" customHeight="1" x14ac:dyDescent="0.25">
      <c r="B1234" s="178" t="s">
        <v>1082</v>
      </c>
      <c r="C1234" s="234"/>
      <c r="D1234" s="234"/>
      <c r="E1234" s="235"/>
      <c r="F1234" s="232" t="s">
        <v>1119</v>
      </c>
      <c r="G1234" s="231"/>
      <c r="H1234" s="242"/>
      <c r="I1234" s="58" t="s">
        <v>844</v>
      </c>
    </row>
    <row r="1235" spans="2:9" ht="15.75" customHeight="1" x14ac:dyDescent="0.25">
      <c r="B1235" s="175" t="s">
        <v>816</v>
      </c>
      <c r="C1235" s="234"/>
      <c r="D1235" s="234"/>
      <c r="E1235" s="235"/>
      <c r="F1235" s="232" t="s">
        <v>1120</v>
      </c>
      <c r="G1235" s="231"/>
      <c r="H1235" s="242"/>
      <c r="I1235" s="256" t="s">
        <v>844</v>
      </c>
    </row>
    <row r="1236" spans="2:9" ht="15.75" customHeight="1" x14ac:dyDescent="0.25">
      <c r="B1236" s="178" t="s">
        <v>1085</v>
      </c>
      <c r="C1236" s="234"/>
      <c r="D1236" s="234"/>
      <c r="E1236" s="235"/>
      <c r="F1236" s="232" t="s">
        <v>1121</v>
      </c>
      <c r="G1236" s="231"/>
      <c r="H1236" s="242"/>
      <c r="I1236" s="58" t="s">
        <v>844</v>
      </c>
    </row>
    <row r="1237" spans="2:9" ht="15.75" customHeight="1" x14ac:dyDescent="0.25">
      <c r="B1237" s="178" t="s">
        <v>1087</v>
      </c>
      <c r="C1237" s="234"/>
      <c r="D1237" s="234"/>
      <c r="E1237" s="235"/>
      <c r="F1237" s="232" t="s">
        <v>1122</v>
      </c>
      <c r="G1237" s="231"/>
      <c r="H1237" s="242"/>
      <c r="I1237" s="58" t="s">
        <v>844</v>
      </c>
    </row>
    <row r="1238" spans="2:9" ht="15.75" customHeight="1" x14ac:dyDescent="0.25">
      <c r="B1238" s="178" t="s">
        <v>1089</v>
      </c>
      <c r="C1238" s="234"/>
      <c r="D1238" s="234"/>
      <c r="E1238" s="235"/>
      <c r="F1238" s="232" t="s">
        <v>1123</v>
      </c>
      <c r="G1238" s="231"/>
      <c r="H1238" s="242"/>
      <c r="I1238" s="58" t="s">
        <v>844</v>
      </c>
    </row>
    <row r="1239" spans="2:9" ht="15.75" customHeight="1" x14ac:dyDescent="0.25">
      <c r="B1239" s="178" t="s">
        <v>1091</v>
      </c>
      <c r="C1239" s="234"/>
      <c r="D1239" s="234"/>
      <c r="E1239" s="235"/>
      <c r="F1239" s="232" t="s">
        <v>1124</v>
      </c>
      <c r="G1239" s="231"/>
      <c r="H1239" s="242"/>
      <c r="I1239" s="58" t="s">
        <v>844</v>
      </c>
    </row>
    <row r="1240" spans="2:9" ht="15.75" customHeight="1" x14ac:dyDescent="0.25">
      <c r="B1240" s="178" t="s">
        <v>1093</v>
      </c>
      <c r="C1240" s="234"/>
      <c r="D1240" s="234"/>
      <c r="E1240" s="235"/>
      <c r="F1240" s="232" t="s">
        <v>1125</v>
      </c>
      <c r="G1240" s="231"/>
      <c r="H1240" s="242"/>
      <c r="I1240" s="58" t="s">
        <v>844</v>
      </c>
    </row>
    <row r="1241" spans="2:9" ht="15.75" customHeight="1" x14ac:dyDescent="0.25">
      <c r="B1241" s="178" t="s">
        <v>1095</v>
      </c>
      <c r="C1241" s="234"/>
      <c r="D1241" s="234"/>
      <c r="E1241" s="235"/>
      <c r="F1241" s="232" t="s">
        <v>1126</v>
      </c>
      <c r="G1241" s="231"/>
      <c r="H1241" s="242"/>
      <c r="I1241" s="58" t="s">
        <v>844</v>
      </c>
    </row>
    <row r="1242" spans="2:9" ht="15.75" customHeight="1" x14ac:dyDescent="0.25">
      <c r="B1242" s="178" t="s">
        <v>1097</v>
      </c>
      <c r="C1242" s="234"/>
      <c r="D1242" s="234"/>
      <c r="E1242" s="235"/>
      <c r="F1242" s="232" t="s">
        <v>1127</v>
      </c>
      <c r="G1242" s="231"/>
      <c r="H1242" s="242"/>
      <c r="I1242" s="58" t="s">
        <v>844</v>
      </c>
    </row>
    <row r="1243" spans="2:9" ht="15.75" customHeight="1" x14ac:dyDescent="0.25">
      <c r="B1243" s="178" t="s">
        <v>1082</v>
      </c>
      <c r="C1243" s="234"/>
      <c r="D1243" s="234"/>
      <c r="E1243" s="235"/>
      <c r="F1243" s="232" t="s">
        <v>1128</v>
      </c>
      <c r="G1243" s="231"/>
      <c r="H1243" s="242"/>
      <c r="I1243" s="58" t="s">
        <v>844</v>
      </c>
    </row>
    <row r="1244" spans="2:9" ht="15.75" customHeight="1" x14ac:dyDescent="0.25">
      <c r="B1244" s="175" t="s">
        <v>1129</v>
      </c>
      <c r="C1244" s="234"/>
      <c r="D1244" s="234"/>
      <c r="E1244" s="235"/>
      <c r="F1244" s="232" t="s">
        <v>1130</v>
      </c>
      <c r="G1244" s="231"/>
      <c r="H1244" s="242"/>
      <c r="I1244" s="256" t="s">
        <v>844</v>
      </c>
    </row>
    <row r="1245" spans="2:9" ht="15.75" customHeight="1" x14ac:dyDescent="0.25">
      <c r="B1245" s="181" t="s">
        <v>1131</v>
      </c>
      <c r="C1245" s="234"/>
      <c r="D1245" s="234"/>
      <c r="E1245" s="235"/>
      <c r="F1245" s="232" t="s">
        <v>1132</v>
      </c>
      <c r="G1245" s="231"/>
      <c r="H1245" s="242"/>
      <c r="I1245" s="58" t="s">
        <v>844</v>
      </c>
    </row>
    <row r="1246" spans="2:9" ht="15.75" customHeight="1" x14ac:dyDescent="0.25">
      <c r="B1246" s="177" t="s">
        <v>26</v>
      </c>
      <c r="C1246" s="234"/>
      <c r="D1246" s="234"/>
      <c r="E1246" s="235"/>
      <c r="F1246" s="232" t="s">
        <v>1133</v>
      </c>
      <c r="G1246" s="231"/>
      <c r="H1246" s="242"/>
      <c r="I1246" s="58" t="s">
        <v>844</v>
      </c>
    </row>
    <row r="1247" spans="2:9" ht="15.75" customHeight="1" x14ac:dyDescent="0.25">
      <c r="B1247" s="180" t="s">
        <v>1134</v>
      </c>
      <c r="C1247" s="234"/>
      <c r="D1247" s="234"/>
      <c r="E1247" s="235"/>
      <c r="F1247" s="232" t="s">
        <v>1135</v>
      </c>
      <c r="G1247" s="231"/>
      <c r="H1247" s="242"/>
      <c r="I1247" s="256" t="s">
        <v>844</v>
      </c>
    </row>
    <row r="1248" spans="2:9" ht="15.75" customHeight="1" x14ac:dyDescent="0.25">
      <c r="B1248" s="182" t="s">
        <v>1136</v>
      </c>
      <c r="C1248" s="234"/>
      <c r="D1248" s="234"/>
      <c r="E1248" s="235"/>
      <c r="F1248" s="232" t="s">
        <v>1137</v>
      </c>
      <c r="G1248" s="231"/>
      <c r="H1248" s="242"/>
      <c r="I1248" s="256" t="s">
        <v>844</v>
      </c>
    </row>
    <row r="1249" spans="2:9" ht="15.75" customHeight="1" x14ac:dyDescent="0.25">
      <c r="B1249" s="180" t="s">
        <v>1138</v>
      </c>
      <c r="C1249" s="234"/>
      <c r="D1249" s="234"/>
      <c r="E1249" s="235"/>
      <c r="F1249" s="232" t="s">
        <v>1139</v>
      </c>
      <c r="G1249" s="231"/>
      <c r="H1249" s="242"/>
      <c r="I1249" s="256" t="s">
        <v>844</v>
      </c>
    </row>
    <row r="1250" spans="2:9" ht="15.75" customHeight="1" x14ac:dyDescent="0.25">
      <c r="B1250" s="183" t="s">
        <v>1140</v>
      </c>
      <c r="C1250" s="234"/>
      <c r="D1250" s="234"/>
      <c r="E1250" s="235"/>
      <c r="F1250" s="232" t="s">
        <v>1141</v>
      </c>
      <c r="G1250" s="231"/>
      <c r="H1250" s="242"/>
      <c r="I1250" s="58" t="s">
        <v>844</v>
      </c>
    </row>
    <row r="1251" spans="2:9" ht="15.75" customHeight="1" x14ac:dyDescent="0.25">
      <c r="B1251" s="180" t="s">
        <v>1142</v>
      </c>
      <c r="C1251" s="234"/>
      <c r="D1251" s="234"/>
      <c r="E1251" s="235"/>
      <c r="F1251" s="232" t="s">
        <v>1143</v>
      </c>
      <c r="G1251" s="231"/>
      <c r="H1251" s="242"/>
      <c r="I1251" s="256" t="s">
        <v>844</v>
      </c>
    </row>
    <row r="1252" spans="2:9" ht="15.75" customHeight="1" x14ac:dyDescent="0.25">
      <c r="B1252" s="175" t="s">
        <v>1144</v>
      </c>
      <c r="C1252" s="234"/>
      <c r="D1252" s="234"/>
      <c r="E1252" s="235"/>
      <c r="F1252" s="232" t="s">
        <v>1145</v>
      </c>
      <c r="G1252" s="231"/>
      <c r="H1252" s="242"/>
      <c r="I1252" s="256" t="s">
        <v>844</v>
      </c>
    </row>
    <row r="1253" spans="2:9" ht="15.75" customHeight="1" x14ac:dyDescent="0.25">
      <c r="B1253" s="184" t="s">
        <v>878</v>
      </c>
      <c r="C1253" s="234"/>
      <c r="D1253" s="234"/>
      <c r="E1253" s="235">
        <v>229</v>
      </c>
      <c r="F1253" s="232"/>
      <c r="G1253" s="231"/>
      <c r="H1253" s="242"/>
      <c r="I1253" s="256"/>
    </row>
    <row r="1254" spans="2:9" ht="15.75" customHeight="1" x14ac:dyDescent="0.25">
      <c r="B1254" s="255" t="s">
        <v>1146</v>
      </c>
      <c r="C1254" s="234"/>
      <c r="D1254" s="234"/>
      <c r="E1254" s="235"/>
      <c r="F1254" s="232" t="s">
        <v>1147</v>
      </c>
      <c r="G1254" s="231"/>
      <c r="H1254" s="242"/>
      <c r="I1254" s="256" t="s">
        <v>844</v>
      </c>
    </row>
    <row r="1255" spans="2:9" ht="15.75" customHeight="1" x14ac:dyDescent="0.25">
      <c r="B1255" s="259" t="s">
        <v>1148</v>
      </c>
      <c r="C1255" s="234"/>
      <c r="D1255" s="234"/>
      <c r="E1255" s="235"/>
      <c r="F1255" s="232" t="s">
        <v>1149</v>
      </c>
      <c r="G1255" s="231"/>
      <c r="H1255" s="242"/>
      <c r="I1255" s="58" t="s">
        <v>844</v>
      </c>
    </row>
    <row r="1256" spans="2:9" ht="15.75" customHeight="1" x14ac:dyDescent="0.25">
      <c r="B1256" s="259" t="s">
        <v>1150</v>
      </c>
      <c r="C1256" s="234"/>
      <c r="D1256" s="234"/>
      <c r="E1256" s="235"/>
      <c r="F1256" s="232" t="s">
        <v>1151</v>
      </c>
      <c r="G1256" s="231"/>
      <c r="H1256" s="242"/>
      <c r="I1256" s="58" t="s">
        <v>844</v>
      </c>
    </row>
    <row r="1257" spans="2:9" ht="15.75" customHeight="1" x14ac:dyDescent="0.25">
      <c r="B1257" s="255" t="s">
        <v>1152</v>
      </c>
      <c r="C1257" s="234"/>
      <c r="D1257" s="234"/>
      <c r="E1257" s="235"/>
      <c r="F1257" s="232" t="s">
        <v>1153</v>
      </c>
      <c r="G1257" s="231"/>
      <c r="H1257" s="242"/>
      <c r="I1257" s="256" t="s">
        <v>844</v>
      </c>
    </row>
    <row r="1258" spans="2:9" ht="15.75" customHeight="1" x14ac:dyDescent="0.25">
      <c r="B1258" s="255" t="s">
        <v>1154</v>
      </c>
      <c r="C1258" s="234"/>
      <c r="D1258" s="234"/>
      <c r="E1258" s="235"/>
      <c r="F1258" s="232" t="s">
        <v>1155</v>
      </c>
      <c r="G1258" s="231"/>
      <c r="H1258" s="242"/>
      <c r="I1258" s="256" t="s">
        <v>844</v>
      </c>
    </row>
    <row r="1259" spans="2:9" ht="15.75" customHeight="1" x14ac:dyDescent="0.25">
      <c r="B1259" s="259" t="s">
        <v>1156</v>
      </c>
      <c r="C1259" s="234"/>
      <c r="D1259" s="234"/>
      <c r="E1259" s="235"/>
      <c r="F1259" s="232" t="s">
        <v>1157</v>
      </c>
      <c r="G1259" s="231"/>
      <c r="H1259" s="242"/>
      <c r="I1259" s="58" t="s">
        <v>844</v>
      </c>
    </row>
    <row r="1260" spans="2:9" ht="15.75" customHeight="1" x14ac:dyDescent="0.25">
      <c r="B1260" s="259" t="s">
        <v>1158</v>
      </c>
      <c r="C1260" s="234"/>
      <c r="D1260" s="234"/>
      <c r="E1260" s="235"/>
      <c r="F1260" s="232" t="s">
        <v>1159</v>
      </c>
      <c r="G1260" s="231"/>
      <c r="H1260" s="242"/>
      <c r="I1260" s="58" t="s">
        <v>844</v>
      </c>
    </row>
    <row r="1261" spans="2:9" ht="15.75" customHeight="1" x14ac:dyDescent="0.25">
      <c r="B1261" s="255" t="s">
        <v>1160</v>
      </c>
      <c r="C1261" s="234"/>
      <c r="D1261" s="234"/>
      <c r="E1261" s="235"/>
      <c r="F1261" s="232" t="s">
        <v>1161</v>
      </c>
      <c r="G1261" s="231"/>
      <c r="H1261" s="242"/>
      <c r="I1261" s="256" t="s">
        <v>844</v>
      </c>
    </row>
    <row r="1262" spans="2:9" ht="15.75" customHeight="1" x14ac:dyDescent="0.25">
      <c r="B1262" s="255" t="s">
        <v>1162</v>
      </c>
      <c r="C1262" s="234"/>
      <c r="D1262" s="234"/>
      <c r="E1262" s="235"/>
      <c r="F1262" s="232" t="s">
        <v>1163</v>
      </c>
      <c r="G1262" s="231"/>
      <c r="H1262" s="242"/>
      <c r="I1262" s="256" t="s">
        <v>844</v>
      </c>
    </row>
    <row r="1263" spans="2:9" ht="15.75" customHeight="1" x14ac:dyDescent="0.25">
      <c r="B1263" s="185" t="s">
        <v>1164</v>
      </c>
      <c r="C1263" s="234"/>
      <c r="D1263" s="234"/>
      <c r="E1263" s="235"/>
      <c r="F1263" s="232" t="s">
        <v>1165</v>
      </c>
      <c r="G1263" s="231"/>
      <c r="H1263" s="242"/>
      <c r="I1263" s="58" t="s">
        <v>844</v>
      </c>
    </row>
    <row r="1264" spans="2:9" ht="15.75" customHeight="1" x14ac:dyDescent="0.25">
      <c r="B1264" s="259" t="s">
        <v>1166</v>
      </c>
      <c r="C1264" s="234"/>
      <c r="D1264" s="234"/>
      <c r="E1264" s="235"/>
      <c r="F1264" s="232" t="s">
        <v>1167</v>
      </c>
      <c r="G1264" s="231"/>
      <c r="H1264" s="242"/>
      <c r="I1264" s="58" t="s">
        <v>844</v>
      </c>
    </row>
    <row r="1265" spans="2:9" ht="15.75" customHeight="1" x14ac:dyDescent="0.25">
      <c r="B1265" s="255" t="s">
        <v>1168</v>
      </c>
      <c r="C1265" s="234"/>
      <c r="D1265" s="234"/>
      <c r="E1265" s="235"/>
      <c r="F1265" s="232" t="s">
        <v>1169</v>
      </c>
      <c r="G1265" s="231"/>
      <c r="H1265" s="242"/>
      <c r="I1265" s="256" t="s">
        <v>844</v>
      </c>
    </row>
    <row r="1266" spans="2:9" ht="15.75" customHeight="1" x14ac:dyDescent="0.25">
      <c r="B1266" s="255" t="s">
        <v>1170</v>
      </c>
      <c r="C1266" s="234"/>
      <c r="D1266" s="234"/>
      <c r="E1266" s="235"/>
      <c r="F1266" s="232" t="s">
        <v>1171</v>
      </c>
      <c r="G1266" s="231"/>
      <c r="H1266" s="242"/>
      <c r="I1266" s="256" t="s">
        <v>844</v>
      </c>
    </row>
    <row r="1267" spans="2:9" ht="15.75" customHeight="1" x14ac:dyDescent="0.25">
      <c r="B1267" s="259" t="s">
        <v>1172</v>
      </c>
      <c r="C1267" s="234"/>
      <c r="D1267" s="234"/>
      <c r="E1267" s="235"/>
      <c r="F1267" s="232" t="s">
        <v>1173</v>
      </c>
      <c r="G1267" s="231"/>
      <c r="H1267" s="242"/>
      <c r="I1267" s="58" t="s">
        <v>844</v>
      </c>
    </row>
    <row r="1268" spans="2:9" ht="15.75" customHeight="1" x14ac:dyDescent="0.25">
      <c r="B1268" s="259" t="s">
        <v>1174</v>
      </c>
      <c r="C1268" s="234"/>
      <c r="D1268" s="234"/>
      <c r="E1268" s="235"/>
      <c r="F1268" s="232" t="s">
        <v>1175</v>
      </c>
      <c r="G1268" s="231"/>
      <c r="H1268" s="242"/>
      <c r="I1268" s="58" t="s">
        <v>844</v>
      </c>
    </row>
    <row r="1269" spans="2:9" ht="15.75" customHeight="1" x14ac:dyDescent="0.25">
      <c r="B1269" s="259" t="s">
        <v>1176</v>
      </c>
      <c r="C1269" s="234"/>
      <c r="D1269" s="234"/>
      <c r="E1269" s="235"/>
      <c r="F1269" s="232" t="s">
        <v>1177</v>
      </c>
      <c r="G1269" s="231"/>
      <c r="H1269" s="242"/>
      <c r="I1269" s="58" t="s">
        <v>844</v>
      </c>
    </row>
    <row r="1270" spans="2:9" ht="15.75" customHeight="1" x14ac:dyDescent="0.25">
      <c r="B1270" s="255" t="s">
        <v>1178</v>
      </c>
      <c r="C1270" s="234"/>
      <c r="D1270" s="234"/>
      <c r="E1270" s="235"/>
      <c r="F1270" s="232" t="s">
        <v>1179</v>
      </c>
      <c r="G1270" s="231"/>
      <c r="H1270" s="242"/>
      <c r="I1270" s="256" t="s">
        <v>844</v>
      </c>
    </row>
    <row r="1271" spans="2:9" ht="15.75" customHeight="1" x14ac:dyDescent="0.25">
      <c r="B1271" s="185" t="s">
        <v>1164</v>
      </c>
      <c r="C1271" s="234"/>
      <c r="D1271" s="234"/>
      <c r="E1271" s="235"/>
      <c r="F1271" s="232" t="s">
        <v>1180</v>
      </c>
      <c r="G1271" s="231"/>
      <c r="H1271" s="242"/>
      <c r="I1271" s="58" t="s">
        <v>844</v>
      </c>
    </row>
    <row r="1272" spans="2:9" ht="15.75" customHeight="1" x14ac:dyDescent="0.25">
      <c r="B1272" s="259" t="s">
        <v>1166</v>
      </c>
      <c r="C1272" s="234"/>
      <c r="D1272" s="234"/>
      <c r="E1272" s="235"/>
      <c r="F1272" s="232" t="s">
        <v>1181</v>
      </c>
      <c r="G1272" s="231"/>
      <c r="H1272" s="242"/>
      <c r="I1272" s="58" t="s">
        <v>844</v>
      </c>
    </row>
    <row r="1273" spans="2:9" ht="15.75" customHeight="1" x14ac:dyDescent="0.25">
      <c r="B1273" s="255" t="s">
        <v>1182</v>
      </c>
      <c r="C1273" s="234"/>
      <c r="D1273" s="234"/>
      <c r="E1273" s="235"/>
      <c r="F1273" s="232" t="s">
        <v>1183</v>
      </c>
      <c r="G1273" s="231"/>
      <c r="H1273" s="242"/>
      <c r="I1273" s="256" t="s">
        <v>844</v>
      </c>
    </row>
    <row r="1274" spans="2:9" ht="15.75" customHeight="1" x14ac:dyDescent="0.25">
      <c r="B1274" s="185" t="s">
        <v>1184</v>
      </c>
      <c r="C1274" s="234"/>
      <c r="D1274" s="234"/>
      <c r="E1274" s="235"/>
      <c r="F1274" s="232" t="s">
        <v>1185</v>
      </c>
      <c r="G1274" s="231"/>
      <c r="H1274" s="242"/>
      <c r="I1274" s="58" t="s">
        <v>844</v>
      </c>
    </row>
    <row r="1275" spans="2:9" ht="15.75" customHeight="1" x14ac:dyDescent="0.25">
      <c r="B1275" s="259" t="s">
        <v>1166</v>
      </c>
      <c r="C1275" s="234"/>
      <c r="D1275" s="234"/>
      <c r="E1275" s="235"/>
      <c r="F1275" s="232" t="s">
        <v>1186</v>
      </c>
      <c r="G1275" s="231"/>
      <c r="H1275" s="242"/>
      <c r="I1275" s="58" t="s">
        <v>844</v>
      </c>
    </row>
    <row r="1276" spans="2:9" ht="15.75" customHeight="1" x14ac:dyDescent="0.25">
      <c r="B1276" s="255" t="s">
        <v>1187</v>
      </c>
      <c r="C1276" s="234"/>
      <c r="D1276" s="234"/>
      <c r="E1276" s="235"/>
      <c r="F1276" s="232" t="s">
        <v>1188</v>
      </c>
      <c r="G1276" s="231"/>
      <c r="H1276" s="242"/>
      <c r="I1276" s="256" t="s">
        <v>844</v>
      </c>
    </row>
    <row r="1277" spans="2:9" ht="15.75" customHeight="1" x14ac:dyDescent="0.25">
      <c r="B1277" s="255" t="s">
        <v>1189</v>
      </c>
      <c r="C1277" s="234"/>
      <c r="D1277" s="234"/>
      <c r="E1277" s="235"/>
      <c r="F1277" s="232" t="s">
        <v>1190</v>
      </c>
      <c r="G1277" s="231"/>
      <c r="H1277" s="242"/>
      <c r="I1277" s="256" t="s">
        <v>844</v>
      </c>
    </row>
    <row r="1278" spans="2:9" ht="15.75" customHeight="1" x14ac:dyDescent="0.25">
      <c r="B1278" s="255" t="s">
        <v>1191</v>
      </c>
      <c r="C1278" s="234"/>
      <c r="D1278" s="234"/>
      <c r="E1278" s="235"/>
      <c r="F1278" s="232" t="s">
        <v>1192</v>
      </c>
      <c r="G1278" s="231"/>
      <c r="H1278" s="242"/>
      <c r="I1278" s="256" t="s">
        <v>844</v>
      </c>
    </row>
    <row r="1279" spans="2:9" ht="15.75" customHeight="1" x14ac:dyDescent="0.25">
      <c r="B1279" s="255" t="s">
        <v>1193</v>
      </c>
      <c r="C1279" s="234"/>
      <c r="D1279" s="234"/>
      <c r="E1279" s="235"/>
      <c r="F1279" s="232" t="s">
        <v>1194</v>
      </c>
      <c r="G1279" s="231"/>
      <c r="H1279" s="242"/>
      <c r="I1279" s="256" t="s">
        <v>844</v>
      </c>
    </row>
    <row r="1280" spans="2:9" ht="15.75" customHeight="1" x14ac:dyDescent="0.25">
      <c r="B1280" s="185" t="s">
        <v>1184</v>
      </c>
      <c r="C1280" s="234"/>
      <c r="D1280" s="234"/>
      <c r="E1280" s="235"/>
      <c r="F1280" s="232" t="s">
        <v>1195</v>
      </c>
      <c r="G1280" s="231"/>
      <c r="H1280" s="242"/>
      <c r="I1280" s="58" t="s">
        <v>844</v>
      </c>
    </row>
    <row r="1281" spans="2:9" ht="15.75" customHeight="1" x14ac:dyDescent="0.25">
      <c r="B1281" s="259" t="s">
        <v>1166</v>
      </c>
      <c r="C1281" s="234"/>
      <c r="D1281" s="234"/>
      <c r="E1281" s="235"/>
      <c r="F1281" s="232" t="s">
        <v>1196</v>
      </c>
      <c r="G1281" s="231"/>
      <c r="H1281" s="242"/>
      <c r="I1281" s="58" t="s">
        <v>844</v>
      </c>
    </row>
    <row r="1282" spans="2:9" ht="15.75" customHeight="1" x14ac:dyDescent="0.25">
      <c r="B1282" s="259" t="s">
        <v>1197</v>
      </c>
      <c r="C1282" s="234"/>
      <c r="D1282" s="234"/>
      <c r="E1282" s="235"/>
      <c r="F1282" s="232" t="s">
        <v>1198</v>
      </c>
      <c r="G1282" s="231"/>
      <c r="H1282" s="242"/>
      <c r="I1282" s="58" t="s">
        <v>844</v>
      </c>
    </row>
    <row r="1283" spans="2:9" ht="15.75" customHeight="1" x14ac:dyDescent="0.25">
      <c r="B1283" s="255" t="s">
        <v>1199</v>
      </c>
      <c r="C1283" s="234"/>
      <c r="D1283" s="234"/>
      <c r="E1283" s="235"/>
      <c r="F1283" s="232" t="s">
        <v>1200</v>
      </c>
      <c r="G1283" s="231"/>
      <c r="H1283" s="242"/>
      <c r="I1283" s="256" t="s">
        <v>844</v>
      </c>
    </row>
    <row r="1284" spans="2:9" ht="15.75" customHeight="1" x14ac:dyDescent="0.25">
      <c r="B1284" s="259" t="s">
        <v>1166</v>
      </c>
      <c r="C1284" s="234"/>
      <c r="D1284" s="234"/>
      <c r="E1284" s="235"/>
      <c r="F1284" s="232" t="s">
        <v>1201</v>
      </c>
      <c r="G1284" s="231"/>
      <c r="H1284" s="242"/>
      <c r="I1284" s="58" t="s">
        <v>844</v>
      </c>
    </row>
    <row r="1285" spans="2:9" ht="15.75" customHeight="1" x14ac:dyDescent="0.25">
      <c r="B1285" s="255" t="s">
        <v>1202</v>
      </c>
      <c r="C1285" s="234"/>
      <c r="D1285" s="234"/>
      <c r="E1285" s="235"/>
      <c r="F1285" s="232" t="s">
        <v>1203</v>
      </c>
      <c r="G1285" s="231"/>
      <c r="H1285" s="242"/>
      <c r="I1285" s="256" t="s">
        <v>844</v>
      </c>
    </row>
    <row r="1286" spans="2:9" ht="15.75" customHeight="1" x14ac:dyDescent="0.25">
      <c r="B1286" s="259" t="s">
        <v>1166</v>
      </c>
      <c r="C1286" s="234"/>
      <c r="D1286" s="234"/>
      <c r="E1286" s="235"/>
      <c r="F1286" s="232" t="s">
        <v>1204</v>
      </c>
      <c r="G1286" s="231"/>
      <c r="H1286" s="242"/>
      <c r="I1286" s="58" t="s">
        <v>844</v>
      </c>
    </row>
    <row r="1287" spans="2:9" ht="15.75" customHeight="1" x14ac:dyDescent="0.25">
      <c r="B1287" s="255" t="s">
        <v>1205</v>
      </c>
      <c r="C1287" s="234"/>
      <c r="D1287" s="234"/>
      <c r="E1287" s="235"/>
      <c r="F1287" s="232" t="s">
        <v>1206</v>
      </c>
      <c r="G1287" s="231"/>
      <c r="H1287" s="242"/>
      <c r="I1287" s="256" t="s">
        <v>844</v>
      </c>
    </row>
    <row r="1288" spans="2:9" ht="15.75" customHeight="1" x14ac:dyDescent="0.25">
      <c r="B1288" s="185" t="s">
        <v>1184</v>
      </c>
      <c r="C1288" s="234"/>
      <c r="D1288" s="234"/>
      <c r="E1288" s="235"/>
      <c r="F1288" s="232" t="s">
        <v>1207</v>
      </c>
      <c r="G1288" s="231"/>
      <c r="H1288" s="242"/>
      <c r="I1288" s="58" t="s">
        <v>844</v>
      </c>
    </row>
    <row r="1289" spans="2:9" ht="15.75" customHeight="1" x14ac:dyDescent="0.25">
      <c r="B1289" s="259" t="s">
        <v>1208</v>
      </c>
      <c r="C1289" s="234"/>
      <c r="D1289" s="234"/>
      <c r="E1289" s="235"/>
      <c r="F1289" s="232" t="s">
        <v>1209</v>
      </c>
      <c r="G1289" s="231"/>
      <c r="H1289" s="242"/>
      <c r="I1289" s="58" t="s">
        <v>844</v>
      </c>
    </row>
    <row r="1290" spans="2:9" ht="15.75" customHeight="1" x14ac:dyDescent="0.25">
      <c r="B1290" s="259" t="s">
        <v>1210</v>
      </c>
      <c r="C1290" s="234"/>
      <c r="D1290" s="234"/>
      <c r="E1290" s="235"/>
      <c r="F1290" s="232" t="s">
        <v>1211</v>
      </c>
      <c r="G1290" s="231"/>
      <c r="H1290" s="242"/>
      <c r="I1290" s="58" t="s">
        <v>844</v>
      </c>
    </row>
    <row r="1291" spans="2:9" ht="15.75" customHeight="1" x14ac:dyDescent="0.25">
      <c r="B1291" s="255" t="s">
        <v>1212</v>
      </c>
      <c r="C1291" s="234"/>
      <c r="D1291" s="234"/>
      <c r="E1291" s="235"/>
      <c r="F1291" s="232" t="s">
        <v>1213</v>
      </c>
      <c r="G1291" s="231"/>
      <c r="H1291" s="242"/>
      <c r="I1291" s="256" t="s">
        <v>844</v>
      </c>
    </row>
    <row r="1292" spans="2:9" ht="15.75" customHeight="1" x14ac:dyDescent="0.25">
      <c r="B1292" s="185" t="s">
        <v>1184</v>
      </c>
      <c r="C1292" s="234"/>
      <c r="D1292" s="234"/>
      <c r="E1292" s="235"/>
      <c r="F1292" s="232" t="s">
        <v>1214</v>
      </c>
      <c r="G1292" s="231"/>
      <c r="H1292" s="242"/>
      <c r="I1292" s="58" t="s">
        <v>844</v>
      </c>
    </row>
    <row r="1293" spans="2:9" ht="15.75" customHeight="1" x14ac:dyDescent="0.25">
      <c r="B1293" s="259" t="s">
        <v>1215</v>
      </c>
      <c r="C1293" s="234"/>
      <c r="D1293" s="234"/>
      <c r="E1293" s="235"/>
      <c r="F1293" s="232" t="s">
        <v>1216</v>
      </c>
      <c r="G1293" s="231"/>
      <c r="H1293" s="242"/>
      <c r="I1293" s="58" t="s">
        <v>844</v>
      </c>
    </row>
    <row r="1294" spans="2:9" ht="15.75" customHeight="1" x14ac:dyDescent="0.25">
      <c r="B1294" s="258" t="s">
        <v>1217</v>
      </c>
      <c r="C1294" s="234"/>
      <c r="D1294" s="234"/>
      <c r="E1294" s="235"/>
      <c r="F1294" s="232" t="s">
        <v>1218</v>
      </c>
      <c r="G1294" s="231"/>
      <c r="H1294" s="242"/>
      <c r="I1294" s="256" t="s">
        <v>844</v>
      </c>
    </row>
    <row r="1295" spans="2:9" ht="15.75" customHeight="1" x14ac:dyDescent="0.25">
      <c r="B1295" s="260" t="s">
        <v>1219</v>
      </c>
      <c r="C1295" s="234"/>
      <c r="D1295" s="234"/>
      <c r="E1295" s="235"/>
      <c r="F1295" s="232" t="s">
        <v>1220</v>
      </c>
      <c r="G1295" s="231"/>
      <c r="H1295" s="242"/>
      <c r="I1295" s="58" t="s">
        <v>844</v>
      </c>
    </row>
    <row r="1296" spans="2:9" ht="15.75" customHeight="1" x14ac:dyDescent="0.25">
      <c r="B1296" s="255" t="s">
        <v>1221</v>
      </c>
      <c r="C1296" s="234"/>
      <c r="D1296" s="234"/>
      <c r="E1296" s="235"/>
      <c r="F1296" s="232" t="s">
        <v>1222</v>
      </c>
      <c r="G1296" s="231"/>
      <c r="H1296" s="242"/>
      <c r="I1296" s="256" t="s">
        <v>844</v>
      </c>
    </row>
    <row r="1297" spans="2:9" ht="15.75" customHeight="1" x14ac:dyDescent="0.25">
      <c r="B1297" s="185" t="s">
        <v>1184</v>
      </c>
      <c r="C1297" s="234"/>
      <c r="D1297" s="234"/>
      <c r="E1297" s="235"/>
      <c r="F1297" s="232" t="s">
        <v>1223</v>
      </c>
      <c r="G1297" s="231"/>
      <c r="H1297" s="242"/>
      <c r="I1297" s="58" t="s">
        <v>844</v>
      </c>
    </row>
    <row r="1298" spans="2:9" ht="15.75" customHeight="1" x14ac:dyDescent="0.25">
      <c r="B1298" s="255" t="s">
        <v>1224</v>
      </c>
      <c r="C1298" s="234"/>
      <c r="D1298" s="234"/>
      <c r="E1298" s="235"/>
      <c r="F1298" s="232" t="s">
        <v>1225</v>
      </c>
      <c r="G1298" s="231"/>
      <c r="H1298" s="242"/>
      <c r="I1298" s="256" t="s">
        <v>844</v>
      </c>
    </row>
    <row r="1299" spans="2:9" ht="15.75" customHeight="1" x14ac:dyDescent="0.25">
      <c r="B1299" s="173" t="s">
        <v>1226</v>
      </c>
      <c r="C1299" s="234"/>
      <c r="D1299" s="234"/>
      <c r="E1299" s="235"/>
      <c r="F1299" s="232" t="s">
        <v>1227</v>
      </c>
      <c r="G1299" s="231"/>
      <c r="H1299" s="242"/>
      <c r="I1299" s="256" t="s">
        <v>844</v>
      </c>
    </row>
    <row r="1300" spans="2:9" ht="15.75" customHeight="1" x14ac:dyDescent="0.25">
      <c r="B1300" s="186" t="s">
        <v>1228</v>
      </c>
      <c r="C1300" s="234"/>
      <c r="D1300" s="234"/>
      <c r="E1300" s="235"/>
      <c r="F1300" s="232" t="s">
        <v>1229</v>
      </c>
      <c r="G1300" s="231"/>
      <c r="H1300" s="242"/>
      <c r="I1300" s="256" t="s">
        <v>844</v>
      </c>
    </row>
    <row r="1301" spans="2:9" ht="15.75" customHeight="1" x14ac:dyDescent="0.25">
      <c r="B1301" s="187" t="s">
        <v>1230</v>
      </c>
      <c r="C1301" s="234"/>
      <c r="D1301" s="234"/>
      <c r="E1301" s="235"/>
      <c r="F1301" s="232" t="s">
        <v>1231</v>
      </c>
      <c r="G1301" s="231"/>
      <c r="H1301" s="242"/>
      <c r="I1301" s="171" t="s">
        <v>844</v>
      </c>
    </row>
    <row r="1302" spans="2:9" ht="15.75" customHeight="1" x14ac:dyDescent="0.25">
      <c r="B1302" s="187"/>
      <c r="C1302" s="234"/>
      <c r="D1302" s="234"/>
      <c r="E1302" s="235">
        <v>230</v>
      </c>
      <c r="F1302" s="232"/>
      <c r="G1302" s="231"/>
      <c r="H1302" s="242"/>
      <c r="I1302" s="171"/>
    </row>
    <row r="1303" spans="2:9" ht="15.75" customHeight="1" x14ac:dyDescent="0.25">
      <c r="B1303" s="172" t="s">
        <v>1232</v>
      </c>
      <c r="C1303" s="234"/>
      <c r="D1303" s="234"/>
      <c r="E1303" s="235">
        <v>231</v>
      </c>
      <c r="F1303" s="232"/>
      <c r="G1303" s="231"/>
      <c r="H1303" s="242"/>
      <c r="I1303" s="173"/>
    </row>
    <row r="1304" spans="2:9" ht="15.75" customHeight="1" x14ac:dyDescent="0.25">
      <c r="B1304" s="174"/>
      <c r="C1304" s="234"/>
      <c r="D1304" s="234"/>
      <c r="E1304" s="235">
        <v>232</v>
      </c>
      <c r="F1304" s="232"/>
      <c r="G1304" s="231"/>
      <c r="H1304" s="242"/>
      <c r="I1304" s="173"/>
    </row>
    <row r="1305" spans="2:9" ht="31.5" customHeight="1" x14ac:dyDescent="0.25">
      <c r="B1305" s="147" t="s">
        <v>1069</v>
      </c>
      <c r="C1305" s="234"/>
      <c r="D1305" s="234"/>
      <c r="E1305" s="235"/>
      <c r="F1305" s="232" t="s">
        <v>1233</v>
      </c>
      <c r="G1305" s="231"/>
      <c r="H1305" s="242"/>
      <c r="I1305" s="256" t="s">
        <v>844</v>
      </c>
    </row>
    <row r="1306" spans="2:9" ht="15.75" customHeight="1" x14ac:dyDescent="0.25">
      <c r="B1306" s="188" t="s">
        <v>1234</v>
      </c>
      <c r="C1306" s="234"/>
      <c r="D1306" s="234"/>
      <c r="E1306" s="235"/>
      <c r="F1306" s="232" t="s">
        <v>1235</v>
      </c>
      <c r="G1306" s="231"/>
      <c r="H1306" s="242"/>
      <c r="I1306" s="256" t="s">
        <v>844</v>
      </c>
    </row>
    <row r="1307" spans="2:9" ht="15.75" customHeight="1" x14ac:dyDescent="0.25">
      <c r="B1307" s="177" t="s">
        <v>1236</v>
      </c>
      <c r="C1307" s="234"/>
      <c r="D1307" s="234"/>
      <c r="E1307" s="235"/>
      <c r="F1307" s="232" t="s">
        <v>1237</v>
      </c>
      <c r="G1307" s="231"/>
      <c r="H1307" s="242"/>
      <c r="I1307" s="58" t="s">
        <v>844</v>
      </c>
    </row>
    <row r="1308" spans="2:9" ht="15.75" customHeight="1" x14ac:dyDescent="0.25">
      <c r="B1308" s="188" t="s">
        <v>1238</v>
      </c>
      <c r="C1308" s="234"/>
      <c r="D1308" s="234"/>
      <c r="E1308" s="235"/>
      <c r="F1308" s="232" t="s">
        <v>1239</v>
      </c>
      <c r="G1308" s="231"/>
      <c r="H1308" s="242"/>
      <c r="I1308" s="256" t="s">
        <v>844</v>
      </c>
    </row>
    <row r="1309" spans="2:9" ht="15.75" customHeight="1" x14ac:dyDescent="0.25">
      <c r="B1309" s="179" t="s">
        <v>1240</v>
      </c>
      <c r="C1309" s="234"/>
      <c r="D1309" s="234"/>
      <c r="E1309" s="235"/>
      <c r="F1309" s="232" t="s">
        <v>1241</v>
      </c>
      <c r="G1309" s="231"/>
      <c r="H1309" s="242"/>
      <c r="I1309" s="58" t="s">
        <v>844</v>
      </c>
    </row>
    <row r="1310" spans="2:9" ht="15.75" customHeight="1" x14ac:dyDescent="0.25">
      <c r="B1310" s="177" t="s">
        <v>26</v>
      </c>
      <c r="C1310" s="234"/>
      <c r="D1310" s="234"/>
      <c r="E1310" s="235"/>
      <c r="F1310" s="232" t="s">
        <v>1242</v>
      </c>
      <c r="G1310" s="231"/>
      <c r="H1310" s="242"/>
      <c r="I1310" s="58" t="s">
        <v>844</v>
      </c>
    </row>
    <row r="1311" spans="2:9" ht="15.75" customHeight="1" x14ac:dyDescent="0.25">
      <c r="B1311" s="177" t="s">
        <v>1243</v>
      </c>
      <c r="C1311" s="234"/>
      <c r="D1311" s="234"/>
      <c r="E1311" s="235"/>
      <c r="F1311" s="232" t="s">
        <v>1244</v>
      </c>
      <c r="G1311" s="231"/>
      <c r="H1311" s="242"/>
      <c r="I1311" s="58" t="s">
        <v>844</v>
      </c>
    </row>
    <row r="1312" spans="2:9" ht="15.75" customHeight="1" x14ac:dyDescent="0.25">
      <c r="B1312" s="177" t="s">
        <v>1236</v>
      </c>
      <c r="C1312" s="234"/>
      <c r="D1312" s="234"/>
      <c r="E1312" s="235"/>
      <c r="F1312" s="232" t="s">
        <v>1245</v>
      </c>
      <c r="G1312" s="231"/>
      <c r="H1312" s="242"/>
      <c r="I1312" s="58" t="s">
        <v>844</v>
      </c>
    </row>
    <row r="1313" spans="2:9" ht="15.75" customHeight="1" x14ac:dyDescent="0.25">
      <c r="B1313" s="173" t="s">
        <v>1246</v>
      </c>
      <c r="C1313" s="234"/>
      <c r="D1313" s="234"/>
      <c r="E1313" s="235"/>
      <c r="F1313" s="232" t="s">
        <v>1247</v>
      </c>
      <c r="G1313" s="231"/>
      <c r="H1313" s="242"/>
      <c r="I1313" s="256" t="s">
        <v>844</v>
      </c>
    </row>
    <row r="1314" spans="2:9" ht="15.75" customHeight="1" x14ac:dyDescent="0.25">
      <c r="B1314" s="177" t="s">
        <v>498</v>
      </c>
      <c r="C1314" s="234"/>
      <c r="D1314" s="234"/>
      <c r="E1314" s="235"/>
      <c r="F1314" s="232" t="s">
        <v>1248</v>
      </c>
      <c r="G1314" s="231"/>
      <c r="H1314" s="242"/>
      <c r="I1314" s="58" t="s">
        <v>844</v>
      </c>
    </row>
    <row r="1315" spans="2:9" ht="15.75" customHeight="1" x14ac:dyDescent="0.25">
      <c r="B1315" s="188" t="s">
        <v>1249</v>
      </c>
      <c r="C1315" s="234"/>
      <c r="D1315" s="234"/>
      <c r="E1315" s="235"/>
      <c r="F1315" s="232" t="s">
        <v>1250</v>
      </c>
      <c r="G1315" s="231"/>
      <c r="H1315" s="242"/>
      <c r="I1315" s="256" t="s">
        <v>844</v>
      </c>
    </row>
    <row r="1316" spans="2:9" ht="15.75" customHeight="1" x14ac:dyDescent="0.25">
      <c r="B1316" s="189" t="s">
        <v>1240</v>
      </c>
      <c r="C1316" s="234"/>
      <c r="D1316" s="234"/>
      <c r="E1316" s="235"/>
      <c r="F1316" s="232" t="s">
        <v>1251</v>
      </c>
      <c r="G1316" s="231"/>
      <c r="H1316" s="242"/>
      <c r="I1316" s="58" t="s">
        <v>844</v>
      </c>
    </row>
    <row r="1317" spans="2:9" ht="15.75" customHeight="1" x14ac:dyDescent="0.25">
      <c r="B1317" s="177" t="s">
        <v>79</v>
      </c>
      <c r="C1317" s="234"/>
      <c r="D1317" s="234"/>
      <c r="E1317" s="235"/>
      <c r="F1317" s="232" t="s">
        <v>1252</v>
      </c>
      <c r="G1317" s="231"/>
      <c r="H1317" s="242"/>
      <c r="I1317" s="58" t="s">
        <v>844</v>
      </c>
    </row>
    <row r="1318" spans="2:9" ht="31.5" customHeight="1" x14ac:dyDescent="0.25">
      <c r="B1318" s="190" t="s">
        <v>1253</v>
      </c>
      <c r="C1318" s="234"/>
      <c r="D1318" s="234"/>
      <c r="E1318" s="235"/>
      <c r="F1318" s="232" t="s">
        <v>1254</v>
      </c>
      <c r="G1318" s="231"/>
      <c r="H1318" s="242"/>
      <c r="I1318" s="256" t="s">
        <v>844</v>
      </c>
    </row>
    <row r="1319" spans="2:9" ht="15.75" customHeight="1" x14ac:dyDescent="0.25">
      <c r="B1319" s="188" t="s">
        <v>1255</v>
      </c>
      <c r="C1319" s="234"/>
      <c r="D1319" s="234"/>
      <c r="E1319" s="235"/>
      <c r="F1319" s="232" t="s">
        <v>1256</v>
      </c>
      <c r="G1319" s="231"/>
      <c r="H1319" s="242"/>
      <c r="I1319" s="256" t="s">
        <v>844</v>
      </c>
    </row>
    <row r="1320" spans="2:9" ht="15.75" customHeight="1" x14ac:dyDescent="0.25">
      <c r="B1320" s="177" t="s">
        <v>1257</v>
      </c>
      <c r="C1320" s="234"/>
      <c r="D1320" s="234"/>
      <c r="E1320" s="235"/>
      <c r="F1320" s="232" t="s">
        <v>1258</v>
      </c>
      <c r="G1320" s="231"/>
      <c r="H1320" s="242"/>
      <c r="I1320" s="58" t="s">
        <v>844</v>
      </c>
    </row>
    <row r="1321" spans="2:9" ht="15.75" customHeight="1" x14ac:dyDescent="0.25">
      <c r="B1321" s="179" t="s">
        <v>1259</v>
      </c>
      <c r="C1321" s="234"/>
      <c r="D1321" s="234"/>
      <c r="E1321" s="235"/>
      <c r="F1321" s="232" t="s">
        <v>1260</v>
      </c>
      <c r="G1321" s="231"/>
      <c r="H1321" s="242"/>
      <c r="I1321" s="58" t="s">
        <v>844</v>
      </c>
    </row>
    <row r="1322" spans="2:9" ht="15.75" customHeight="1" x14ac:dyDescent="0.25">
      <c r="B1322" s="191" t="s">
        <v>1261</v>
      </c>
      <c r="C1322" s="234"/>
      <c r="D1322" s="234"/>
      <c r="E1322" s="235"/>
      <c r="F1322" s="232" t="s">
        <v>1262</v>
      </c>
      <c r="G1322" s="231"/>
      <c r="H1322" s="242"/>
      <c r="I1322" s="58" t="s">
        <v>844</v>
      </c>
    </row>
    <row r="1323" spans="2:9" ht="15.75" customHeight="1" x14ac:dyDescent="0.25">
      <c r="B1323" s="173" t="s">
        <v>1263</v>
      </c>
      <c r="C1323" s="234"/>
      <c r="D1323" s="234"/>
      <c r="E1323" s="235"/>
      <c r="F1323" s="232" t="s">
        <v>1264</v>
      </c>
      <c r="G1323" s="231"/>
      <c r="H1323" s="242"/>
      <c r="I1323" s="256" t="s">
        <v>844</v>
      </c>
    </row>
    <row r="1324" spans="2:9" ht="15.75" customHeight="1" x14ac:dyDescent="0.25">
      <c r="B1324" s="184" t="s">
        <v>842</v>
      </c>
      <c r="C1324" s="234"/>
      <c r="D1324" s="234"/>
      <c r="E1324" s="235"/>
      <c r="F1324" s="232" t="s">
        <v>1265</v>
      </c>
      <c r="G1324" s="231"/>
      <c r="H1324" s="242"/>
      <c r="I1324" s="256" t="s">
        <v>844</v>
      </c>
    </row>
    <row r="1325" spans="2:9" ht="15.75" customHeight="1" x14ac:dyDescent="0.25">
      <c r="B1325" s="192" t="s">
        <v>1266</v>
      </c>
      <c r="C1325" s="234"/>
      <c r="D1325" s="234"/>
      <c r="E1325" s="235"/>
      <c r="F1325" s="232" t="s">
        <v>1267</v>
      </c>
      <c r="G1325" s="231"/>
      <c r="H1325" s="242"/>
      <c r="I1325" s="256" t="s">
        <v>844</v>
      </c>
    </row>
    <row r="1326" spans="2:9" ht="15.75" customHeight="1" x14ac:dyDescent="0.25">
      <c r="B1326" s="177" t="s">
        <v>1236</v>
      </c>
      <c r="C1326" s="234"/>
      <c r="D1326" s="234"/>
      <c r="E1326" s="235"/>
      <c r="F1326" s="232" t="s">
        <v>1268</v>
      </c>
      <c r="G1326" s="231"/>
      <c r="H1326" s="242"/>
      <c r="I1326" s="58" t="s">
        <v>844</v>
      </c>
    </row>
    <row r="1327" spans="2:9" ht="15.75" customHeight="1" x14ac:dyDescent="0.25">
      <c r="B1327" s="192" t="s">
        <v>1162</v>
      </c>
      <c r="C1327" s="234"/>
      <c r="D1327" s="234"/>
      <c r="E1327" s="235"/>
      <c r="F1327" s="232" t="s">
        <v>1269</v>
      </c>
      <c r="G1327" s="231"/>
      <c r="H1327" s="242"/>
      <c r="I1327" s="256" t="s">
        <v>844</v>
      </c>
    </row>
    <row r="1328" spans="2:9" ht="15.75" customHeight="1" x14ac:dyDescent="0.25">
      <c r="B1328" s="193" t="s">
        <v>1270</v>
      </c>
      <c r="C1328" s="234"/>
      <c r="D1328" s="234"/>
      <c r="E1328" s="235"/>
      <c r="F1328" s="232" t="s">
        <v>1271</v>
      </c>
      <c r="G1328" s="231"/>
      <c r="H1328" s="242"/>
      <c r="I1328" s="58" t="s">
        <v>844</v>
      </c>
    </row>
    <row r="1329" spans="2:9" ht="15.75" customHeight="1" x14ac:dyDescent="0.25">
      <c r="B1329" s="177" t="s">
        <v>26</v>
      </c>
      <c r="C1329" s="234"/>
      <c r="D1329" s="234"/>
      <c r="E1329" s="235"/>
      <c r="F1329" s="232" t="s">
        <v>1272</v>
      </c>
      <c r="G1329" s="231"/>
      <c r="H1329" s="242"/>
      <c r="I1329" s="58" t="s">
        <v>844</v>
      </c>
    </row>
    <row r="1330" spans="2:9" ht="15.75" customHeight="1" x14ac:dyDescent="0.25">
      <c r="B1330" s="177" t="s">
        <v>1243</v>
      </c>
      <c r="C1330" s="234"/>
      <c r="D1330" s="234"/>
      <c r="E1330" s="235"/>
      <c r="F1330" s="232" t="s">
        <v>1273</v>
      </c>
      <c r="G1330" s="231"/>
      <c r="H1330" s="242"/>
      <c r="I1330" s="58" t="s">
        <v>844</v>
      </c>
    </row>
    <row r="1331" spans="2:9" ht="15.75" customHeight="1" x14ac:dyDescent="0.25">
      <c r="B1331" s="191" t="s">
        <v>1274</v>
      </c>
      <c r="C1331" s="234"/>
      <c r="D1331" s="234"/>
      <c r="E1331" s="235"/>
      <c r="F1331" s="232" t="s">
        <v>1275</v>
      </c>
      <c r="G1331" s="231"/>
      <c r="H1331" s="242"/>
      <c r="I1331" s="256" t="s">
        <v>844</v>
      </c>
    </row>
    <row r="1332" spans="2:9" ht="15.75" customHeight="1" x14ac:dyDescent="0.25">
      <c r="B1332" s="192" t="s">
        <v>1276</v>
      </c>
      <c r="C1332" s="234"/>
      <c r="D1332" s="234"/>
      <c r="E1332" s="235"/>
      <c r="F1332" s="232" t="s">
        <v>1277</v>
      </c>
      <c r="G1332" s="231"/>
      <c r="H1332" s="242"/>
      <c r="I1332" s="256" t="s">
        <v>844</v>
      </c>
    </row>
    <row r="1333" spans="2:9" ht="15.75" customHeight="1" x14ac:dyDescent="0.25">
      <c r="B1333" s="177" t="s">
        <v>498</v>
      </c>
      <c r="C1333" s="234"/>
      <c r="D1333" s="234"/>
      <c r="E1333" s="235"/>
      <c r="F1333" s="232" t="s">
        <v>1278</v>
      </c>
      <c r="G1333" s="231"/>
      <c r="H1333" s="242"/>
      <c r="I1333" s="58" t="s">
        <v>844</v>
      </c>
    </row>
    <row r="1334" spans="2:9" ht="15.75" customHeight="1" x14ac:dyDescent="0.25">
      <c r="B1334" s="192" t="s">
        <v>1279</v>
      </c>
      <c r="C1334" s="234"/>
      <c r="D1334" s="234"/>
      <c r="E1334" s="235"/>
      <c r="F1334" s="232" t="s">
        <v>1280</v>
      </c>
      <c r="G1334" s="231"/>
      <c r="H1334" s="242"/>
      <c r="I1334" s="256" t="s">
        <v>844</v>
      </c>
    </row>
    <row r="1335" spans="2:9" ht="15.75" customHeight="1" x14ac:dyDescent="0.25">
      <c r="B1335" s="193" t="s">
        <v>1270</v>
      </c>
      <c r="C1335" s="234"/>
      <c r="D1335" s="234"/>
      <c r="E1335" s="235"/>
      <c r="F1335" s="232" t="s">
        <v>1281</v>
      </c>
      <c r="G1335" s="231"/>
      <c r="H1335" s="242"/>
      <c r="I1335" s="58" t="s">
        <v>844</v>
      </c>
    </row>
    <row r="1336" spans="2:9" ht="15.75" customHeight="1" x14ac:dyDescent="0.25">
      <c r="B1336" s="177" t="s">
        <v>79</v>
      </c>
      <c r="C1336" s="234"/>
      <c r="D1336" s="234"/>
      <c r="E1336" s="235"/>
      <c r="F1336" s="232" t="s">
        <v>1282</v>
      </c>
      <c r="G1336" s="231"/>
      <c r="H1336" s="242"/>
      <c r="I1336" s="58" t="s">
        <v>844</v>
      </c>
    </row>
    <row r="1337" spans="2:9" ht="31.5" customHeight="1" x14ac:dyDescent="0.25">
      <c r="B1337" s="194" t="s">
        <v>1283</v>
      </c>
      <c r="C1337" s="234"/>
      <c r="D1337" s="234"/>
      <c r="E1337" s="235"/>
      <c r="F1337" s="232" t="s">
        <v>1284</v>
      </c>
      <c r="G1337" s="231"/>
      <c r="H1337" s="242"/>
      <c r="I1337" s="256" t="s">
        <v>844</v>
      </c>
    </row>
    <row r="1338" spans="2:9" ht="15.75" customHeight="1" x14ac:dyDescent="0.25">
      <c r="B1338" s="192" t="s">
        <v>1285</v>
      </c>
      <c r="C1338" s="234"/>
      <c r="D1338" s="234"/>
      <c r="E1338" s="235"/>
      <c r="F1338" s="232" t="s">
        <v>1286</v>
      </c>
      <c r="G1338" s="231"/>
      <c r="H1338" s="242"/>
      <c r="I1338" s="256" t="s">
        <v>844</v>
      </c>
    </row>
    <row r="1339" spans="2:9" ht="15.75" customHeight="1" x14ac:dyDescent="0.25">
      <c r="B1339" s="177" t="s">
        <v>1257</v>
      </c>
      <c r="C1339" s="234"/>
      <c r="D1339" s="234"/>
      <c r="E1339" s="235"/>
      <c r="F1339" s="232" t="s">
        <v>1287</v>
      </c>
      <c r="G1339" s="231"/>
      <c r="H1339" s="242"/>
      <c r="I1339" s="58" t="s">
        <v>844</v>
      </c>
    </row>
    <row r="1340" spans="2:9" ht="15.75" customHeight="1" x14ac:dyDescent="0.25">
      <c r="B1340" s="179" t="s">
        <v>1259</v>
      </c>
      <c r="C1340" s="234"/>
      <c r="D1340" s="234"/>
      <c r="E1340" s="235"/>
      <c r="F1340" s="232" t="s">
        <v>1288</v>
      </c>
      <c r="G1340" s="231"/>
      <c r="H1340" s="242"/>
      <c r="I1340" s="58" t="s">
        <v>844</v>
      </c>
    </row>
    <row r="1341" spans="2:9" ht="15.75" customHeight="1" x14ac:dyDescent="0.25">
      <c r="B1341" s="191" t="s">
        <v>1261</v>
      </c>
      <c r="C1341" s="234"/>
      <c r="D1341" s="234"/>
      <c r="E1341" s="235"/>
      <c r="F1341" s="232" t="s">
        <v>1289</v>
      </c>
      <c r="G1341" s="231"/>
      <c r="H1341" s="242"/>
      <c r="I1341" s="58" t="s">
        <v>844</v>
      </c>
    </row>
    <row r="1342" spans="2:9" ht="15.75" customHeight="1" x14ac:dyDescent="0.25">
      <c r="B1342" s="192" t="s">
        <v>1290</v>
      </c>
      <c r="C1342" s="234"/>
      <c r="D1342" s="234"/>
      <c r="E1342" s="235"/>
      <c r="F1342" s="232" t="s">
        <v>1291</v>
      </c>
      <c r="G1342" s="231"/>
      <c r="H1342" s="242"/>
      <c r="I1342" s="256" t="s">
        <v>844</v>
      </c>
    </row>
    <row r="1343" spans="2:9" ht="18.75" customHeight="1" x14ac:dyDescent="0.25">
      <c r="B1343" s="192" t="s">
        <v>1292</v>
      </c>
      <c r="C1343" s="234"/>
      <c r="D1343" s="234"/>
      <c r="E1343" s="235"/>
      <c r="F1343" s="232" t="s">
        <v>1293</v>
      </c>
      <c r="G1343" s="231"/>
      <c r="H1343" s="242"/>
      <c r="I1343" s="256" t="s">
        <v>1294</v>
      </c>
    </row>
    <row r="1344" spans="2:9" ht="18.75" customHeight="1" x14ac:dyDescent="0.25">
      <c r="B1344" s="195"/>
      <c r="C1344" s="234"/>
      <c r="D1344" s="234"/>
      <c r="E1344" s="235">
        <v>233</v>
      </c>
      <c r="F1344" s="232"/>
      <c r="G1344" s="231"/>
      <c r="H1344" s="242"/>
      <c r="I1344" s="196"/>
    </row>
    <row r="1345" spans="2:9" ht="15.75" customHeight="1" x14ac:dyDescent="0.25">
      <c r="B1345" s="184" t="s">
        <v>878</v>
      </c>
      <c r="C1345" s="234"/>
      <c r="D1345" s="234"/>
      <c r="E1345" s="235">
        <v>234</v>
      </c>
      <c r="F1345" s="232"/>
      <c r="G1345" s="231"/>
      <c r="H1345" s="242"/>
      <c r="I1345" s="256"/>
    </row>
    <row r="1346" spans="2:9" ht="15.75" customHeight="1" x14ac:dyDescent="0.25">
      <c r="B1346" s="192" t="s">
        <v>1295</v>
      </c>
      <c r="C1346" s="234"/>
      <c r="D1346" s="234"/>
      <c r="E1346" s="235"/>
      <c r="F1346" s="232" t="s">
        <v>1296</v>
      </c>
      <c r="G1346" s="231"/>
      <c r="H1346" s="242"/>
      <c r="I1346" s="256" t="s">
        <v>844</v>
      </c>
    </row>
    <row r="1347" spans="2:9" ht="15.75" customHeight="1" x14ac:dyDescent="0.25">
      <c r="B1347" s="197" t="s">
        <v>1184</v>
      </c>
      <c r="C1347" s="234"/>
      <c r="D1347" s="234"/>
      <c r="E1347" s="235"/>
      <c r="F1347" s="232" t="s">
        <v>1297</v>
      </c>
      <c r="G1347" s="231"/>
      <c r="H1347" s="242"/>
      <c r="I1347" s="58" t="s">
        <v>844</v>
      </c>
    </row>
    <row r="1348" spans="2:9" ht="15.75" customHeight="1" x14ac:dyDescent="0.25">
      <c r="B1348" s="192" t="s">
        <v>1298</v>
      </c>
      <c r="C1348" s="234"/>
      <c r="D1348" s="234"/>
      <c r="E1348" s="235"/>
      <c r="F1348" s="232" t="s">
        <v>1299</v>
      </c>
      <c r="G1348" s="231"/>
      <c r="H1348" s="242"/>
      <c r="I1348" s="256" t="s">
        <v>844</v>
      </c>
    </row>
    <row r="1349" spans="2:9" ht="15.75" customHeight="1" x14ac:dyDescent="0.25">
      <c r="B1349" s="197" t="s">
        <v>1184</v>
      </c>
      <c r="C1349" s="234"/>
      <c r="D1349" s="234"/>
      <c r="E1349" s="235"/>
      <c r="F1349" s="232" t="s">
        <v>1300</v>
      </c>
      <c r="G1349" s="231"/>
      <c r="H1349" s="242"/>
      <c r="I1349" s="58" t="s">
        <v>844</v>
      </c>
    </row>
    <row r="1350" spans="2:9" ht="15.75" customHeight="1" x14ac:dyDescent="0.25">
      <c r="B1350" s="259" t="s">
        <v>1197</v>
      </c>
      <c r="C1350" s="234"/>
      <c r="D1350" s="234"/>
      <c r="E1350" s="235"/>
      <c r="F1350" s="232" t="s">
        <v>1301</v>
      </c>
      <c r="G1350" s="231"/>
      <c r="H1350" s="242"/>
      <c r="I1350" s="58" t="s">
        <v>844</v>
      </c>
    </row>
    <row r="1351" spans="2:9" ht="15.75" customHeight="1" x14ac:dyDescent="0.25">
      <c r="B1351" s="192" t="s">
        <v>1302</v>
      </c>
      <c r="C1351" s="234"/>
      <c r="D1351" s="234"/>
      <c r="E1351" s="235"/>
      <c r="F1351" s="232" t="s">
        <v>1303</v>
      </c>
      <c r="G1351" s="231"/>
      <c r="H1351" s="242"/>
      <c r="I1351" s="256" t="s">
        <v>844</v>
      </c>
    </row>
    <row r="1352" spans="2:9" ht="15.75" customHeight="1" x14ac:dyDescent="0.25">
      <c r="B1352" s="197" t="s">
        <v>1184</v>
      </c>
      <c r="C1352" s="234"/>
      <c r="D1352" s="234"/>
      <c r="E1352" s="235"/>
      <c r="F1352" s="232" t="s">
        <v>1304</v>
      </c>
      <c r="G1352" s="231"/>
      <c r="H1352" s="242"/>
      <c r="I1352" s="58" t="s">
        <v>844</v>
      </c>
    </row>
    <row r="1353" spans="2:9" ht="15.75" customHeight="1" x14ac:dyDescent="0.25">
      <c r="B1353" s="192" t="s">
        <v>1305</v>
      </c>
      <c r="C1353" s="234"/>
      <c r="D1353" s="234"/>
      <c r="E1353" s="235"/>
      <c r="F1353" s="232" t="s">
        <v>1306</v>
      </c>
      <c r="G1353" s="231"/>
      <c r="H1353" s="242"/>
      <c r="I1353" s="256" t="s">
        <v>844</v>
      </c>
    </row>
    <row r="1354" spans="2:9" ht="15.75" customHeight="1" x14ac:dyDescent="0.25">
      <c r="B1354" s="197" t="s">
        <v>1184</v>
      </c>
      <c r="C1354" s="234"/>
      <c r="D1354" s="234"/>
      <c r="E1354" s="235"/>
      <c r="F1354" s="232" t="s">
        <v>1307</v>
      </c>
      <c r="G1354" s="231"/>
      <c r="H1354" s="242"/>
      <c r="I1354" s="58" t="s">
        <v>844</v>
      </c>
    </row>
    <row r="1355" spans="2:9" ht="15.75" customHeight="1" x14ac:dyDescent="0.25">
      <c r="B1355" s="192" t="s">
        <v>1308</v>
      </c>
      <c r="C1355" s="234"/>
      <c r="D1355" s="234"/>
      <c r="E1355" s="235"/>
      <c r="F1355" s="232" t="s">
        <v>1309</v>
      </c>
      <c r="G1355" s="231"/>
      <c r="H1355" s="242"/>
      <c r="I1355" s="256" t="s">
        <v>844</v>
      </c>
    </row>
    <row r="1356" spans="2:9" ht="15.75" customHeight="1" x14ac:dyDescent="0.25">
      <c r="B1356" s="197" t="s">
        <v>1184</v>
      </c>
      <c r="C1356" s="234"/>
      <c r="D1356" s="234"/>
      <c r="E1356" s="235"/>
      <c r="F1356" s="232" t="s">
        <v>1310</v>
      </c>
      <c r="G1356" s="231"/>
      <c r="H1356" s="242"/>
      <c r="I1356" s="58" t="s">
        <v>844</v>
      </c>
    </row>
    <row r="1357" spans="2:9" ht="15.75" customHeight="1" x14ac:dyDescent="0.25">
      <c r="B1357" s="192" t="s">
        <v>1311</v>
      </c>
      <c r="C1357" s="234"/>
      <c r="D1357" s="234"/>
      <c r="E1357" s="235"/>
      <c r="F1357" s="232" t="s">
        <v>1312</v>
      </c>
      <c r="G1357" s="231"/>
      <c r="H1357" s="242"/>
      <c r="I1357" s="256" t="s">
        <v>844</v>
      </c>
    </row>
    <row r="1358" spans="2:9" ht="15.75" customHeight="1" x14ac:dyDescent="0.25">
      <c r="B1358" s="197" t="s">
        <v>1184</v>
      </c>
      <c r="C1358" s="234"/>
      <c r="D1358" s="234"/>
      <c r="E1358" s="235"/>
      <c r="F1358" s="232" t="s">
        <v>1313</v>
      </c>
      <c r="G1358" s="231"/>
      <c r="H1358" s="242"/>
      <c r="I1358" s="58" t="s">
        <v>844</v>
      </c>
    </row>
    <row r="1359" spans="2:9" ht="15.75" customHeight="1" x14ac:dyDescent="0.25">
      <c r="B1359" s="192" t="s">
        <v>1314</v>
      </c>
      <c r="C1359" s="234"/>
      <c r="D1359" s="234"/>
      <c r="E1359" s="235"/>
      <c r="F1359" s="232" t="s">
        <v>1315</v>
      </c>
      <c r="G1359" s="231"/>
      <c r="H1359" s="242"/>
      <c r="I1359" s="256" t="s">
        <v>844</v>
      </c>
    </row>
    <row r="1360" spans="2:9" ht="15.75" customHeight="1" x14ac:dyDescent="0.25">
      <c r="B1360" s="197" t="s">
        <v>1184</v>
      </c>
      <c r="C1360" s="234"/>
      <c r="D1360" s="234"/>
      <c r="E1360" s="235"/>
      <c r="F1360" s="232" t="s">
        <v>1316</v>
      </c>
      <c r="G1360" s="231"/>
      <c r="H1360" s="242"/>
      <c r="I1360" s="58" t="s">
        <v>844</v>
      </c>
    </row>
    <row r="1361" spans="2:9" ht="15.75" customHeight="1" x14ac:dyDescent="0.25">
      <c r="B1361" s="192" t="s">
        <v>1317</v>
      </c>
      <c r="C1361" s="234"/>
      <c r="D1361" s="234"/>
      <c r="E1361" s="235"/>
      <c r="F1361" s="232" t="s">
        <v>1318</v>
      </c>
      <c r="G1361" s="231"/>
      <c r="H1361" s="242"/>
      <c r="I1361" s="256" t="s">
        <v>844</v>
      </c>
    </row>
    <row r="1362" spans="2:9" ht="15.75" customHeight="1" x14ac:dyDescent="0.25">
      <c r="B1362" s="197" t="s">
        <v>1184</v>
      </c>
      <c r="C1362" s="234"/>
      <c r="D1362" s="234"/>
      <c r="E1362" s="235"/>
      <c r="F1362" s="232" t="s">
        <v>1319</v>
      </c>
      <c r="G1362" s="231"/>
      <c r="H1362" s="242"/>
      <c r="I1362" s="58" t="s">
        <v>844</v>
      </c>
    </row>
    <row r="1363" spans="2:9" ht="15.75" customHeight="1" x14ac:dyDescent="0.25">
      <c r="B1363" s="192" t="s">
        <v>1320</v>
      </c>
      <c r="C1363" s="234"/>
      <c r="D1363" s="234"/>
      <c r="E1363" s="235"/>
      <c r="F1363" s="232" t="s">
        <v>1321</v>
      </c>
      <c r="G1363" s="231"/>
      <c r="H1363" s="242"/>
      <c r="I1363" s="256" t="s">
        <v>844</v>
      </c>
    </row>
    <row r="1364" spans="2:9" ht="15.75" customHeight="1" x14ac:dyDescent="0.25">
      <c r="B1364" s="197" t="s">
        <v>1184</v>
      </c>
      <c r="C1364" s="234"/>
      <c r="D1364" s="234"/>
      <c r="E1364" s="235"/>
      <c r="F1364" s="232" t="s">
        <v>1322</v>
      </c>
      <c r="G1364" s="231"/>
      <c r="H1364" s="242"/>
      <c r="I1364" s="58" t="s">
        <v>844</v>
      </c>
    </row>
    <row r="1365" spans="2:9" ht="15.75" customHeight="1" x14ac:dyDescent="0.25">
      <c r="B1365" s="192" t="s">
        <v>1323</v>
      </c>
      <c r="C1365" s="234"/>
      <c r="D1365" s="234"/>
      <c r="E1365" s="235"/>
      <c r="F1365" s="232" t="s">
        <v>1324</v>
      </c>
      <c r="G1365" s="231"/>
      <c r="H1365" s="242"/>
      <c r="I1365" s="256" t="s">
        <v>844</v>
      </c>
    </row>
    <row r="1366" spans="2:9" ht="15.75" customHeight="1" x14ac:dyDescent="0.25">
      <c r="B1366" s="197" t="s">
        <v>1184</v>
      </c>
      <c r="C1366" s="234"/>
      <c r="D1366" s="234"/>
      <c r="E1366" s="235"/>
      <c r="F1366" s="232" t="s">
        <v>1325</v>
      </c>
      <c r="G1366" s="231"/>
      <c r="H1366" s="242"/>
      <c r="I1366" s="58" t="s">
        <v>844</v>
      </c>
    </row>
    <row r="1367" spans="2:9" ht="15.75" customHeight="1" x14ac:dyDescent="0.25">
      <c r="B1367" s="192" t="s">
        <v>1326</v>
      </c>
      <c r="C1367" s="234"/>
      <c r="D1367" s="234"/>
      <c r="E1367" s="235"/>
      <c r="F1367" s="232" t="s">
        <v>1327</v>
      </c>
      <c r="G1367" s="231"/>
      <c r="H1367" s="242"/>
      <c r="I1367" s="256" t="s">
        <v>844</v>
      </c>
    </row>
    <row r="1368" spans="2:9" ht="15.75" customHeight="1" x14ac:dyDescent="0.25">
      <c r="B1368" s="197" t="s">
        <v>1184</v>
      </c>
      <c r="C1368" s="234"/>
      <c r="D1368" s="234"/>
      <c r="E1368" s="235"/>
      <c r="F1368" s="232" t="s">
        <v>1328</v>
      </c>
      <c r="G1368" s="231"/>
      <c r="H1368" s="242"/>
      <c r="I1368" s="58" t="s">
        <v>844</v>
      </c>
    </row>
    <row r="1369" spans="2:9" ht="15.75" customHeight="1" x14ac:dyDescent="0.25">
      <c r="B1369" s="192" t="s">
        <v>1329</v>
      </c>
      <c r="C1369" s="234"/>
      <c r="D1369" s="234"/>
      <c r="E1369" s="235"/>
      <c r="F1369" s="232" t="s">
        <v>1330</v>
      </c>
      <c r="G1369" s="231"/>
      <c r="H1369" s="242"/>
      <c r="I1369" s="256" t="s">
        <v>844</v>
      </c>
    </row>
    <row r="1370" spans="2:9" ht="15.75" customHeight="1" x14ac:dyDescent="0.25">
      <c r="B1370" s="197" t="s">
        <v>1184</v>
      </c>
      <c r="C1370" s="234"/>
      <c r="D1370" s="234"/>
      <c r="E1370" s="235"/>
      <c r="F1370" s="232" t="s">
        <v>1331</v>
      </c>
      <c r="G1370" s="231"/>
      <c r="H1370" s="242"/>
      <c r="I1370" s="58" t="s">
        <v>844</v>
      </c>
    </row>
    <row r="1371" spans="2:9" ht="15.75" customHeight="1" x14ac:dyDescent="0.25">
      <c r="B1371" s="192" t="s">
        <v>1332</v>
      </c>
      <c r="C1371" s="234"/>
      <c r="D1371" s="234"/>
      <c r="E1371" s="235"/>
      <c r="F1371" s="232" t="s">
        <v>1333</v>
      </c>
      <c r="G1371" s="231"/>
      <c r="H1371" s="242"/>
      <c r="I1371" s="256" t="s">
        <v>844</v>
      </c>
    </row>
    <row r="1372" spans="2:9" ht="15.75" customHeight="1" x14ac:dyDescent="0.25">
      <c r="B1372" s="197" t="s">
        <v>1184</v>
      </c>
      <c r="C1372" s="234"/>
      <c r="D1372" s="234"/>
      <c r="E1372" s="235"/>
      <c r="F1372" s="232" t="s">
        <v>1334</v>
      </c>
      <c r="G1372" s="231"/>
      <c r="H1372" s="242"/>
      <c r="I1372" s="58" t="s">
        <v>844</v>
      </c>
    </row>
    <row r="1373" spans="2:9" ht="15.75" customHeight="1" x14ac:dyDescent="0.25">
      <c r="B1373" s="192" t="s">
        <v>1335</v>
      </c>
      <c r="C1373" s="234"/>
      <c r="D1373" s="234"/>
      <c r="E1373" s="235"/>
      <c r="F1373" s="232" t="s">
        <v>1336</v>
      </c>
      <c r="G1373" s="231"/>
      <c r="H1373" s="242"/>
      <c r="I1373" s="256" t="s">
        <v>844</v>
      </c>
    </row>
    <row r="1374" spans="2:9" ht="15.75" customHeight="1" x14ac:dyDescent="0.25">
      <c r="B1374" s="197" t="s">
        <v>1184</v>
      </c>
      <c r="C1374" s="234"/>
      <c r="D1374" s="234"/>
      <c r="E1374" s="235"/>
      <c r="F1374" s="232" t="s">
        <v>1337</v>
      </c>
      <c r="G1374" s="231"/>
      <c r="H1374" s="242"/>
      <c r="I1374" s="58" t="s">
        <v>844</v>
      </c>
    </row>
    <row r="1375" spans="2:9" ht="15.75" customHeight="1" x14ac:dyDescent="0.25">
      <c r="B1375" s="259" t="s">
        <v>1197</v>
      </c>
      <c r="C1375" s="234"/>
      <c r="D1375" s="234"/>
      <c r="E1375" s="235"/>
      <c r="F1375" s="232" t="s">
        <v>1338</v>
      </c>
      <c r="G1375" s="231"/>
      <c r="H1375" s="242"/>
      <c r="I1375" s="58" t="s">
        <v>844</v>
      </c>
    </row>
    <row r="1376" spans="2:9" ht="15.75" customHeight="1" x14ac:dyDescent="0.25">
      <c r="B1376" s="259" t="s">
        <v>1339</v>
      </c>
      <c r="C1376" s="234"/>
      <c r="D1376" s="234"/>
      <c r="E1376" s="235"/>
      <c r="F1376" s="232" t="s">
        <v>1340</v>
      </c>
      <c r="G1376" s="231"/>
      <c r="H1376" s="242"/>
      <c r="I1376" s="58" t="s">
        <v>844</v>
      </c>
    </row>
    <row r="1377" spans="2:9" ht="15.75" customHeight="1" x14ac:dyDescent="0.25">
      <c r="B1377" s="192" t="s">
        <v>1341</v>
      </c>
      <c r="C1377" s="234"/>
      <c r="D1377" s="234"/>
      <c r="E1377" s="235"/>
      <c r="F1377" s="232" t="s">
        <v>1342</v>
      </c>
      <c r="G1377" s="231"/>
      <c r="H1377" s="242"/>
      <c r="I1377" s="256" t="s">
        <v>844</v>
      </c>
    </row>
    <row r="1378" spans="2:9" ht="15.75" customHeight="1" x14ac:dyDescent="0.25">
      <c r="B1378" s="197" t="s">
        <v>1184</v>
      </c>
      <c r="C1378" s="234"/>
      <c r="D1378" s="234"/>
      <c r="E1378" s="235"/>
      <c r="F1378" s="232" t="s">
        <v>1343</v>
      </c>
      <c r="G1378" s="231"/>
      <c r="H1378" s="242"/>
      <c r="I1378" s="58" t="s">
        <v>844</v>
      </c>
    </row>
    <row r="1379" spans="2:9" ht="15.75" customHeight="1" x14ac:dyDescent="0.25">
      <c r="B1379" s="259" t="s">
        <v>1344</v>
      </c>
      <c r="C1379" s="234"/>
      <c r="D1379" s="234"/>
      <c r="E1379" s="235"/>
      <c r="F1379" s="232" t="s">
        <v>1345</v>
      </c>
      <c r="G1379" s="231"/>
      <c r="H1379" s="242"/>
      <c r="I1379" s="256" t="s">
        <v>844</v>
      </c>
    </row>
    <row r="1380" spans="2:9" ht="31.5" customHeight="1" x14ac:dyDescent="0.25">
      <c r="B1380" s="194" t="s">
        <v>1346</v>
      </c>
      <c r="C1380" s="234"/>
      <c r="D1380" s="234"/>
      <c r="E1380" s="235"/>
      <c r="F1380" s="232" t="s">
        <v>1347</v>
      </c>
      <c r="G1380" s="231"/>
      <c r="H1380" s="242"/>
      <c r="I1380" s="256" t="s">
        <v>844</v>
      </c>
    </row>
    <row r="1381" spans="2:9" ht="15.75" customHeight="1" x14ac:dyDescent="0.25">
      <c r="B1381" s="197" t="s">
        <v>1184</v>
      </c>
      <c r="C1381" s="234"/>
      <c r="D1381" s="234"/>
      <c r="E1381" s="235"/>
      <c r="F1381" s="232" t="s">
        <v>1348</v>
      </c>
      <c r="G1381" s="231"/>
      <c r="H1381" s="242"/>
      <c r="I1381" s="58" t="s">
        <v>844</v>
      </c>
    </row>
    <row r="1382" spans="2:9" ht="15.75" customHeight="1" x14ac:dyDescent="0.25">
      <c r="B1382" s="259" t="s">
        <v>1344</v>
      </c>
      <c r="C1382" s="234"/>
      <c r="D1382" s="234"/>
      <c r="E1382" s="235"/>
      <c r="F1382" s="232" t="s">
        <v>1349</v>
      </c>
      <c r="G1382" s="231"/>
      <c r="H1382" s="242"/>
      <c r="I1382" s="58" t="s">
        <v>844</v>
      </c>
    </row>
    <row r="1383" spans="2:9" ht="15.75" customHeight="1" x14ac:dyDescent="0.25">
      <c r="B1383" s="192" t="s">
        <v>1350</v>
      </c>
      <c r="C1383" s="234"/>
      <c r="D1383" s="234"/>
      <c r="E1383" s="235"/>
      <c r="F1383" s="232" t="s">
        <v>1351</v>
      </c>
      <c r="G1383" s="231"/>
      <c r="H1383" s="242"/>
      <c r="I1383" s="256" t="s">
        <v>844</v>
      </c>
    </row>
    <row r="1384" spans="2:9" ht="15.75" customHeight="1" x14ac:dyDescent="0.25">
      <c r="B1384" s="197" t="s">
        <v>1184</v>
      </c>
      <c r="C1384" s="234"/>
      <c r="D1384" s="234"/>
      <c r="E1384" s="235"/>
      <c r="F1384" s="232" t="s">
        <v>1352</v>
      </c>
      <c r="G1384" s="231"/>
      <c r="H1384" s="242"/>
      <c r="I1384" s="58" t="s">
        <v>844</v>
      </c>
    </row>
    <row r="1385" spans="2:9" ht="15.75" customHeight="1" x14ac:dyDescent="0.25">
      <c r="B1385" s="192" t="s">
        <v>1353</v>
      </c>
      <c r="C1385" s="234"/>
      <c r="D1385" s="234"/>
      <c r="E1385" s="235"/>
      <c r="F1385" s="232" t="s">
        <v>1354</v>
      </c>
      <c r="G1385" s="231"/>
      <c r="H1385" s="242"/>
      <c r="I1385" s="256" t="s">
        <v>844</v>
      </c>
    </row>
    <row r="1386" spans="2:9" ht="15.75" customHeight="1" x14ac:dyDescent="0.25">
      <c r="B1386" s="197" t="s">
        <v>1184</v>
      </c>
      <c r="C1386" s="234"/>
      <c r="D1386" s="234"/>
      <c r="E1386" s="235"/>
      <c r="F1386" s="232" t="s">
        <v>1355</v>
      </c>
      <c r="G1386" s="231"/>
      <c r="H1386" s="242"/>
      <c r="I1386" s="58" t="s">
        <v>844</v>
      </c>
    </row>
    <row r="1387" spans="2:9" ht="15.75" customHeight="1" x14ac:dyDescent="0.25">
      <c r="B1387" s="259" t="s">
        <v>1344</v>
      </c>
      <c r="C1387" s="234"/>
      <c r="D1387" s="234"/>
      <c r="E1387" s="235"/>
      <c r="F1387" s="232" t="s">
        <v>1356</v>
      </c>
      <c r="G1387" s="231"/>
      <c r="H1387" s="242"/>
      <c r="I1387" s="58" t="s">
        <v>844</v>
      </c>
    </row>
    <row r="1388" spans="2:9" ht="15.75" customHeight="1" x14ac:dyDescent="0.25">
      <c r="B1388" s="192" t="s">
        <v>1357</v>
      </c>
      <c r="C1388" s="234"/>
      <c r="D1388" s="234"/>
      <c r="E1388" s="235"/>
      <c r="F1388" s="232" t="s">
        <v>1358</v>
      </c>
      <c r="G1388" s="231"/>
      <c r="H1388" s="242"/>
      <c r="I1388" s="256" t="s">
        <v>844</v>
      </c>
    </row>
    <row r="1389" spans="2:9" ht="15.75" customHeight="1" x14ac:dyDescent="0.25">
      <c r="B1389" s="197" t="s">
        <v>1184</v>
      </c>
      <c r="C1389" s="234"/>
      <c r="D1389" s="234"/>
      <c r="E1389" s="235"/>
      <c r="F1389" s="232" t="s">
        <v>1359</v>
      </c>
      <c r="G1389" s="231"/>
      <c r="H1389" s="242"/>
      <c r="I1389" s="58" t="s">
        <v>844</v>
      </c>
    </row>
    <row r="1390" spans="2:9" ht="15.75" customHeight="1" x14ac:dyDescent="0.25">
      <c r="B1390" s="192" t="s">
        <v>1360</v>
      </c>
      <c r="C1390" s="234"/>
      <c r="D1390" s="234"/>
      <c r="E1390" s="235"/>
      <c r="F1390" s="232" t="s">
        <v>1361</v>
      </c>
      <c r="G1390" s="231"/>
      <c r="H1390" s="242"/>
      <c r="I1390" s="256" t="s">
        <v>844</v>
      </c>
    </row>
    <row r="1391" spans="2:9" ht="15.75" customHeight="1" x14ac:dyDescent="0.25">
      <c r="B1391" s="197" t="s">
        <v>1184</v>
      </c>
      <c r="C1391" s="234"/>
      <c r="D1391" s="234"/>
      <c r="E1391" s="235"/>
      <c r="F1391" s="232" t="s">
        <v>1362</v>
      </c>
      <c r="G1391" s="231"/>
      <c r="H1391" s="242"/>
      <c r="I1391" s="58" t="s">
        <v>844</v>
      </c>
    </row>
    <row r="1392" spans="2:9" ht="31.5" customHeight="1" x14ac:dyDescent="0.25">
      <c r="B1392" s="194" t="s">
        <v>1363</v>
      </c>
      <c r="C1392" s="234"/>
      <c r="D1392" s="234"/>
      <c r="E1392" s="235"/>
      <c r="F1392" s="232" t="s">
        <v>1364</v>
      </c>
      <c r="G1392" s="231"/>
      <c r="H1392" s="242"/>
      <c r="I1392" s="256" t="s">
        <v>844</v>
      </c>
    </row>
    <row r="1393" spans="2:9" ht="15.75" customHeight="1" x14ac:dyDescent="0.25">
      <c r="B1393" s="197" t="s">
        <v>1184</v>
      </c>
      <c r="C1393" s="234"/>
      <c r="D1393" s="234"/>
      <c r="E1393" s="235"/>
      <c r="F1393" s="232" t="s">
        <v>1365</v>
      </c>
      <c r="G1393" s="231"/>
      <c r="H1393" s="242"/>
      <c r="I1393" s="58" t="s">
        <v>844</v>
      </c>
    </row>
    <row r="1394" spans="2:9" ht="15.75" customHeight="1" x14ac:dyDescent="0.25">
      <c r="B1394" s="197"/>
      <c r="C1394" s="234"/>
      <c r="D1394" s="234"/>
      <c r="E1394" s="235">
        <v>235</v>
      </c>
      <c r="F1394" s="232"/>
      <c r="G1394" s="231"/>
      <c r="H1394" s="242"/>
      <c r="I1394" s="256"/>
    </row>
    <row r="1395" spans="2:9" ht="15.75" customHeight="1" x14ac:dyDescent="0.25">
      <c r="B1395" s="172" t="s">
        <v>1366</v>
      </c>
      <c r="C1395" s="234"/>
      <c r="D1395" s="234"/>
      <c r="E1395" s="235">
        <v>236</v>
      </c>
      <c r="F1395" s="232"/>
      <c r="G1395" s="231"/>
      <c r="H1395" s="242"/>
      <c r="I1395" s="256"/>
    </row>
    <row r="1396" spans="2:9" ht="15.75" customHeight="1" x14ac:dyDescent="0.25">
      <c r="B1396" s="174"/>
      <c r="C1396" s="234"/>
      <c r="D1396" s="234"/>
      <c r="E1396" s="235">
        <v>237</v>
      </c>
      <c r="F1396" s="232"/>
      <c r="G1396" s="231"/>
      <c r="H1396" s="242"/>
      <c r="I1396" s="256"/>
    </row>
    <row r="1397" spans="2:9" ht="15.75" customHeight="1" x14ac:dyDescent="0.25">
      <c r="B1397" s="184" t="s">
        <v>842</v>
      </c>
      <c r="C1397" s="234"/>
      <c r="D1397" s="234"/>
      <c r="E1397" s="235">
        <v>238</v>
      </c>
      <c r="F1397" s="232"/>
      <c r="G1397" s="231"/>
      <c r="H1397" s="242"/>
      <c r="I1397" s="256"/>
    </row>
    <row r="1398" spans="2:9" ht="18.75" customHeight="1" x14ac:dyDescent="0.25">
      <c r="B1398" s="198" t="s">
        <v>1367</v>
      </c>
      <c r="C1398" s="234"/>
      <c r="D1398" s="234"/>
      <c r="E1398" s="235"/>
      <c r="F1398" s="232" t="s">
        <v>1368</v>
      </c>
      <c r="G1398" s="231"/>
      <c r="H1398" s="242"/>
      <c r="I1398" s="256" t="s">
        <v>1294</v>
      </c>
    </row>
    <row r="1399" spans="2:9" ht="15.75" customHeight="1" x14ac:dyDescent="0.25">
      <c r="B1399" s="184" t="s">
        <v>878</v>
      </c>
      <c r="C1399" s="234"/>
      <c r="D1399" s="234"/>
      <c r="E1399" s="235">
        <v>239</v>
      </c>
      <c r="F1399" s="232"/>
      <c r="G1399" s="231"/>
      <c r="H1399" s="242"/>
      <c r="I1399" s="256"/>
    </row>
    <row r="1400" spans="2:9" ht="15.75" customHeight="1" x14ac:dyDescent="0.25">
      <c r="B1400" s="192" t="s">
        <v>1369</v>
      </c>
      <c r="C1400" s="234"/>
      <c r="D1400" s="234"/>
      <c r="E1400" s="235"/>
      <c r="F1400" s="232" t="s">
        <v>1370</v>
      </c>
      <c r="G1400" s="231"/>
      <c r="H1400" s="242"/>
      <c r="I1400" s="256" t="s">
        <v>844</v>
      </c>
    </row>
    <row r="1401" spans="2:9" ht="15.75" customHeight="1" x14ac:dyDescent="0.25">
      <c r="B1401" s="197" t="s">
        <v>1184</v>
      </c>
      <c r="C1401" s="234"/>
      <c r="D1401" s="234"/>
      <c r="E1401" s="235"/>
      <c r="F1401" s="232" t="s">
        <v>1371</v>
      </c>
      <c r="G1401" s="231"/>
      <c r="H1401" s="242"/>
      <c r="I1401" s="58" t="s">
        <v>844</v>
      </c>
    </row>
    <row r="1402" spans="2:9" ht="15.75" customHeight="1" x14ac:dyDescent="0.25">
      <c r="B1402" s="192" t="s">
        <v>1372</v>
      </c>
      <c r="C1402" s="234"/>
      <c r="D1402" s="234"/>
      <c r="E1402" s="235"/>
      <c r="F1402" s="232" t="s">
        <v>1373</v>
      </c>
      <c r="G1402" s="231"/>
      <c r="H1402" s="242"/>
      <c r="I1402" s="256" t="s">
        <v>844</v>
      </c>
    </row>
    <row r="1403" spans="2:9" ht="15.75" customHeight="1" x14ac:dyDescent="0.25">
      <c r="B1403" s="197" t="s">
        <v>1184</v>
      </c>
      <c r="C1403" s="234"/>
      <c r="D1403" s="234"/>
      <c r="E1403" s="235"/>
      <c r="F1403" s="232" t="s">
        <v>1374</v>
      </c>
      <c r="G1403" s="231"/>
      <c r="H1403" s="242"/>
      <c r="I1403" s="58" t="s">
        <v>844</v>
      </c>
    </row>
    <row r="1404" spans="2:9" ht="15.75" customHeight="1" x14ac:dyDescent="0.25">
      <c r="B1404" s="192" t="s">
        <v>1375</v>
      </c>
      <c r="C1404" s="234"/>
      <c r="D1404" s="234"/>
      <c r="E1404" s="235"/>
      <c r="F1404" s="232" t="s">
        <v>1376</v>
      </c>
      <c r="G1404" s="231"/>
      <c r="H1404" s="242"/>
      <c r="I1404" s="256" t="s">
        <v>844</v>
      </c>
    </row>
    <row r="1405" spans="2:9" ht="15.75" customHeight="1" x14ac:dyDescent="0.25">
      <c r="B1405" s="197" t="s">
        <v>1184</v>
      </c>
      <c r="C1405" s="234"/>
      <c r="D1405" s="234"/>
      <c r="E1405" s="235"/>
      <c r="F1405" s="232" t="s">
        <v>1377</v>
      </c>
      <c r="G1405" s="231"/>
      <c r="H1405" s="242"/>
      <c r="I1405" s="58" t="s">
        <v>844</v>
      </c>
    </row>
    <row r="1406" spans="2:9" ht="15.75" customHeight="1" x14ac:dyDescent="0.25">
      <c r="B1406" s="197"/>
      <c r="C1406" s="234"/>
      <c r="D1406" s="234"/>
      <c r="E1406" s="235">
        <v>240</v>
      </c>
      <c r="F1406" s="232"/>
      <c r="G1406" s="231"/>
      <c r="H1406" s="242"/>
      <c r="I1406" s="256"/>
    </row>
    <row r="1407" spans="2:9" ht="15.75" customHeight="1" x14ac:dyDescent="0.25">
      <c r="B1407" s="172" t="s">
        <v>1378</v>
      </c>
      <c r="C1407" s="234"/>
      <c r="D1407" s="234"/>
      <c r="E1407" s="235">
        <v>241</v>
      </c>
      <c r="F1407" s="232"/>
      <c r="G1407" s="231"/>
      <c r="H1407" s="242"/>
      <c r="I1407" s="256"/>
    </row>
    <row r="1408" spans="2:9" ht="15.75" customHeight="1" x14ac:dyDescent="0.25">
      <c r="B1408" s="174"/>
      <c r="C1408" s="234"/>
      <c r="D1408" s="234"/>
      <c r="E1408" s="235">
        <v>242</v>
      </c>
      <c r="F1408" s="232"/>
      <c r="G1408" s="231"/>
      <c r="H1408" s="242"/>
      <c r="I1408" s="256"/>
    </row>
    <row r="1409" spans="2:9" ht="15.75" customHeight="1" x14ac:dyDescent="0.25">
      <c r="B1409" s="184" t="s">
        <v>842</v>
      </c>
      <c r="C1409" s="234"/>
      <c r="D1409" s="234"/>
      <c r="E1409" s="235"/>
      <c r="F1409" s="232" t="s">
        <v>1379</v>
      </c>
      <c r="G1409" s="231"/>
      <c r="H1409" s="242"/>
      <c r="I1409" s="256" t="s">
        <v>844</v>
      </c>
    </row>
    <row r="1410" spans="2:9" ht="31.5" customHeight="1" x14ac:dyDescent="0.25">
      <c r="B1410" s="199" t="s">
        <v>1380</v>
      </c>
      <c r="C1410" s="234"/>
      <c r="D1410" s="234"/>
      <c r="E1410" s="235"/>
      <c r="F1410" s="232" t="s">
        <v>1381</v>
      </c>
      <c r="G1410" s="231"/>
      <c r="H1410" s="242"/>
      <c r="I1410" s="256" t="s">
        <v>844</v>
      </c>
    </row>
    <row r="1411" spans="2:9" ht="31.5" customHeight="1" x14ac:dyDescent="0.25">
      <c r="B1411" s="199" t="s">
        <v>1382</v>
      </c>
      <c r="C1411" s="234"/>
      <c r="D1411" s="234"/>
      <c r="E1411" s="235"/>
      <c r="F1411" s="232" t="s">
        <v>1383</v>
      </c>
      <c r="G1411" s="231"/>
      <c r="H1411" s="242"/>
      <c r="I1411" s="256" t="s">
        <v>844</v>
      </c>
    </row>
    <row r="1412" spans="2:9" ht="15.75" customHeight="1" x14ac:dyDescent="0.25">
      <c r="B1412" s="184" t="s">
        <v>878</v>
      </c>
      <c r="C1412" s="234"/>
      <c r="D1412" s="234"/>
      <c r="E1412" s="235">
        <v>243</v>
      </c>
      <c r="F1412" s="232"/>
      <c r="G1412" s="231"/>
      <c r="H1412" s="242"/>
      <c r="I1412" s="256"/>
    </row>
    <row r="1413" spans="2:9" ht="15.75" customHeight="1" x14ac:dyDescent="0.25">
      <c r="B1413" s="192" t="s">
        <v>1384</v>
      </c>
      <c r="C1413" s="234"/>
      <c r="D1413" s="234"/>
      <c r="E1413" s="235"/>
      <c r="F1413" s="232" t="s">
        <v>1385</v>
      </c>
      <c r="G1413" s="231"/>
      <c r="H1413" s="242"/>
      <c r="I1413" s="256" t="s">
        <v>844</v>
      </c>
    </row>
    <row r="1414" spans="2:9" ht="15.75" customHeight="1" x14ac:dyDescent="0.25">
      <c r="B1414" s="192" t="s">
        <v>1386</v>
      </c>
      <c r="C1414" s="234"/>
      <c r="D1414" s="234"/>
      <c r="E1414" s="235"/>
      <c r="F1414" s="232" t="s">
        <v>1387</v>
      </c>
      <c r="G1414" s="231"/>
      <c r="H1414" s="242"/>
      <c r="I1414" s="256" t="s">
        <v>844</v>
      </c>
    </row>
    <row r="1415" spans="2:9" ht="26.25" customHeight="1" x14ac:dyDescent="0.4">
      <c r="B1415" s="200"/>
      <c r="C1415" s="234"/>
      <c r="D1415" s="234"/>
      <c r="E1415" s="235">
        <v>244</v>
      </c>
      <c r="F1415" s="232"/>
      <c r="G1415" s="231"/>
      <c r="H1415" s="242"/>
      <c r="I1415" s="171"/>
    </row>
    <row r="1416" spans="2:9" ht="31.5" customHeight="1" x14ac:dyDescent="0.25">
      <c r="B1416" s="201" t="s">
        <v>1388</v>
      </c>
      <c r="C1416" s="234"/>
      <c r="D1416" s="234"/>
      <c r="E1416" s="235">
        <v>245</v>
      </c>
      <c r="F1416" s="232"/>
      <c r="G1416" s="231"/>
      <c r="H1416" s="242"/>
      <c r="I1416" s="201"/>
    </row>
    <row r="1417" spans="2:9" ht="31.5" customHeight="1" x14ac:dyDescent="0.25">
      <c r="B1417" s="201" t="s">
        <v>1389</v>
      </c>
      <c r="C1417" s="234"/>
      <c r="D1417" s="234"/>
      <c r="E1417" s="235">
        <v>246</v>
      </c>
      <c r="F1417" s="232"/>
      <c r="G1417" s="231"/>
      <c r="H1417" s="242"/>
      <c r="I1417" s="201"/>
    </row>
    <row r="1418" spans="2:9" ht="15.75" customHeight="1" x14ac:dyDescent="0.25">
      <c r="B1418" s="202"/>
      <c r="C1418" s="234"/>
      <c r="D1418" s="234"/>
      <c r="E1418" s="235">
        <v>247</v>
      </c>
      <c r="F1418" s="232"/>
      <c r="G1418" s="231"/>
      <c r="H1418" s="242"/>
      <c r="I1418" s="171"/>
    </row>
    <row r="1419" spans="2:9" ht="15.75" customHeight="1" x14ac:dyDescent="0.25">
      <c r="B1419" s="88" t="s">
        <v>19</v>
      </c>
      <c r="C1419" s="234"/>
      <c r="D1419" s="234"/>
      <c r="E1419" s="235">
        <v>248</v>
      </c>
      <c r="F1419" s="232"/>
      <c r="G1419" s="231"/>
      <c r="H1419" s="242"/>
      <c r="I1419" s="171"/>
    </row>
    <row r="1420" spans="2:9" ht="15.75" customHeight="1" x14ac:dyDescent="0.25">
      <c r="B1420" s="202"/>
      <c r="C1420" s="234"/>
      <c r="D1420" s="234"/>
      <c r="E1420" s="235">
        <v>249</v>
      </c>
      <c r="F1420" s="232"/>
      <c r="G1420" s="231"/>
      <c r="H1420" s="242"/>
      <c r="I1420" s="171"/>
    </row>
    <row r="1421" spans="2:9" ht="15.75" customHeight="1" x14ac:dyDescent="0.25">
      <c r="B1421" s="79" t="s">
        <v>1390</v>
      </c>
      <c r="C1421" s="234"/>
      <c r="D1421" s="234"/>
      <c r="E1421" s="235"/>
      <c r="F1421" s="232" t="s">
        <v>1391</v>
      </c>
      <c r="G1421" s="231"/>
      <c r="H1421" s="242"/>
      <c r="I1421" s="171" t="s">
        <v>826</v>
      </c>
    </row>
    <row r="1422" spans="2:9" ht="15.75" customHeight="1" x14ac:dyDescent="0.25">
      <c r="B1422" s="120" t="s">
        <v>1392</v>
      </c>
      <c r="C1422" s="234"/>
      <c r="D1422" s="234"/>
      <c r="E1422" s="235"/>
      <c r="F1422" s="232" t="s">
        <v>1391</v>
      </c>
      <c r="G1422" s="231"/>
      <c r="H1422" s="242"/>
      <c r="I1422" s="58" t="s">
        <v>826</v>
      </c>
    </row>
    <row r="1423" spans="2:9" ht="15.75" customHeight="1" x14ac:dyDescent="0.25">
      <c r="B1423" s="120" t="s">
        <v>1393</v>
      </c>
      <c r="C1423" s="234"/>
      <c r="D1423" s="234"/>
      <c r="E1423" s="235"/>
      <c r="F1423" s="232" t="s">
        <v>1394</v>
      </c>
      <c r="G1423" s="231"/>
      <c r="H1423" s="242"/>
      <c r="I1423" s="58" t="s">
        <v>826</v>
      </c>
    </row>
    <row r="1424" spans="2:9" ht="15.75" customHeight="1" x14ac:dyDescent="0.25">
      <c r="B1424" s="88" t="s">
        <v>1395</v>
      </c>
      <c r="C1424" s="234"/>
      <c r="D1424" s="234"/>
      <c r="E1424" s="235"/>
      <c r="F1424" s="232" t="s">
        <v>1396</v>
      </c>
      <c r="G1424" s="231"/>
      <c r="H1424" s="242"/>
      <c r="I1424" s="171" t="s">
        <v>826</v>
      </c>
    </row>
    <row r="1425" spans="2:9" ht="15.75" customHeight="1" x14ac:dyDescent="0.25">
      <c r="B1425" s="120" t="s">
        <v>1392</v>
      </c>
      <c r="C1425" s="234"/>
      <c r="D1425" s="234"/>
      <c r="E1425" s="235"/>
      <c r="F1425" s="232" t="s">
        <v>1396</v>
      </c>
      <c r="G1425" s="231"/>
      <c r="H1425" s="242"/>
      <c r="I1425" s="58" t="s">
        <v>826</v>
      </c>
    </row>
    <row r="1426" spans="2:9" ht="15.75" customHeight="1" x14ac:dyDescent="0.25">
      <c r="B1426" s="202"/>
      <c r="C1426" s="234"/>
      <c r="D1426" s="234"/>
      <c r="E1426" s="235">
        <v>250</v>
      </c>
      <c r="F1426" s="232"/>
      <c r="G1426" s="231"/>
      <c r="H1426" s="242"/>
      <c r="I1426" s="171"/>
    </row>
    <row r="1427" spans="2:9" ht="15.75" customHeight="1" x14ac:dyDescent="0.25">
      <c r="B1427" s="88" t="s">
        <v>296</v>
      </c>
      <c r="C1427" s="234"/>
      <c r="D1427" s="234"/>
      <c r="E1427" s="235">
        <v>251</v>
      </c>
      <c r="F1427" s="232"/>
      <c r="G1427" s="231"/>
      <c r="H1427" s="242"/>
      <c r="I1427" s="171"/>
    </row>
    <row r="1428" spans="2:9" ht="15.75" customHeight="1" x14ac:dyDescent="0.25">
      <c r="B1428" s="88" t="s">
        <v>1397</v>
      </c>
      <c r="C1428" s="234"/>
      <c r="D1428" s="234"/>
      <c r="E1428" s="235">
        <v>252</v>
      </c>
      <c r="F1428" s="232"/>
      <c r="G1428" s="231"/>
      <c r="H1428" s="242"/>
      <c r="I1428" s="171"/>
    </row>
    <row r="1429" spans="2:9" ht="15.75" customHeight="1" x14ac:dyDescent="0.25">
      <c r="B1429" s="202" t="s">
        <v>1398</v>
      </c>
      <c r="C1429" s="234"/>
      <c r="D1429" s="234"/>
      <c r="E1429" s="235"/>
      <c r="F1429" s="232" t="s">
        <v>1399</v>
      </c>
      <c r="G1429" s="231"/>
      <c r="H1429" s="242"/>
      <c r="I1429" s="171" t="s">
        <v>10</v>
      </c>
    </row>
    <row r="1430" spans="2:9" ht="15.75" customHeight="1" x14ac:dyDescent="0.25">
      <c r="B1430" s="120" t="s">
        <v>1400</v>
      </c>
      <c r="C1430" s="234"/>
      <c r="D1430" s="234"/>
      <c r="E1430" s="235"/>
      <c r="F1430" s="232" t="s">
        <v>1399</v>
      </c>
      <c r="G1430" s="231"/>
      <c r="H1430" s="242"/>
      <c r="I1430" s="58" t="s">
        <v>10</v>
      </c>
    </row>
    <row r="1431" spans="2:9" ht="15.75" customHeight="1" x14ac:dyDescent="0.25">
      <c r="B1431" s="88" t="s">
        <v>1401</v>
      </c>
      <c r="C1431" s="234"/>
      <c r="D1431" s="234"/>
      <c r="E1431" s="235">
        <v>253</v>
      </c>
      <c r="F1431" s="232"/>
      <c r="G1431" s="231"/>
      <c r="H1431" s="242"/>
      <c r="I1431" s="171"/>
    </row>
    <row r="1432" spans="2:9" ht="15.75" customHeight="1" x14ac:dyDescent="0.25">
      <c r="B1432" s="202" t="s">
        <v>1398</v>
      </c>
      <c r="C1432" s="234"/>
      <c r="D1432" s="234"/>
      <c r="E1432" s="235"/>
      <c r="F1432" s="232" t="s">
        <v>1402</v>
      </c>
      <c r="G1432" s="231"/>
      <c r="H1432" s="242"/>
      <c r="I1432" s="171" t="s">
        <v>10</v>
      </c>
    </row>
    <row r="1433" spans="2:9" ht="15.75" customHeight="1" x14ac:dyDescent="0.25">
      <c r="B1433" s="120" t="s">
        <v>1400</v>
      </c>
      <c r="C1433" s="234"/>
      <c r="D1433" s="234"/>
      <c r="E1433" s="235"/>
      <c r="F1433" s="232" t="s">
        <v>1402</v>
      </c>
      <c r="G1433" s="231"/>
      <c r="H1433" s="242"/>
      <c r="I1433" s="58" t="s">
        <v>10</v>
      </c>
    </row>
    <row r="1434" spans="2:9" ht="15.75" customHeight="1" x14ac:dyDescent="0.25">
      <c r="B1434" s="88" t="s">
        <v>1403</v>
      </c>
      <c r="C1434" s="234"/>
      <c r="D1434" s="234"/>
      <c r="E1434" s="235">
        <v>254</v>
      </c>
      <c r="F1434" s="232"/>
      <c r="G1434" s="231"/>
      <c r="H1434" s="242"/>
      <c r="I1434" s="171"/>
    </row>
    <row r="1435" spans="2:9" ht="15.75" customHeight="1" x14ac:dyDescent="0.25">
      <c r="B1435" s="202" t="s">
        <v>1398</v>
      </c>
      <c r="C1435" s="234"/>
      <c r="D1435" s="234"/>
      <c r="E1435" s="235"/>
      <c r="F1435" s="232" t="s">
        <v>1404</v>
      </c>
      <c r="G1435" s="231"/>
      <c r="H1435" s="242"/>
      <c r="I1435" s="171" t="s">
        <v>10</v>
      </c>
    </row>
    <row r="1436" spans="2:9" ht="15.75" customHeight="1" x14ac:dyDescent="0.25">
      <c r="B1436" s="120" t="s">
        <v>1400</v>
      </c>
      <c r="C1436" s="234"/>
      <c r="D1436" s="234"/>
      <c r="E1436" s="235"/>
      <c r="F1436" s="232" t="s">
        <v>1404</v>
      </c>
      <c r="G1436" s="231"/>
      <c r="H1436" s="242"/>
      <c r="I1436" s="58" t="s">
        <v>10</v>
      </c>
    </row>
    <row r="1437" spans="2:9" ht="15.75" customHeight="1" x14ac:dyDescent="0.25">
      <c r="B1437" s="88" t="s">
        <v>1405</v>
      </c>
      <c r="C1437" s="234"/>
      <c r="D1437" s="234"/>
      <c r="E1437" s="235">
        <v>255</v>
      </c>
      <c r="F1437" s="232"/>
      <c r="G1437" s="231"/>
      <c r="H1437" s="242"/>
      <c r="I1437" s="171"/>
    </row>
    <row r="1438" spans="2:9" ht="15.75" customHeight="1" x14ac:dyDescent="0.25">
      <c r="B1438" s="202" t="s">
        <v>1398</v>
      </c>
      <c r="C1438" s="234"/>
      <c r="D1438" s="234"/>
      <c r="E1438" s="235"/>
      <c r="F1438" s="232" t="s">
        <v>1406</v>
      </c>
      <c r="G1438" s="231"/>
      <c r="H1438" s="242"/>
      <c r="I1438" s="171" t="s">
        <v>10</v>
      </c>
    </row>
    <row r="1439" spans="2:9" ht="15.75" customHeight="1" x14ac:dyDescent="0.25">
      <c r="B1439" s="120" t="s">
        <v>1400</v>
      </c>
      <c r="C1439" s="234"/>
      <c r="D1439" s="234"/>
      <c r="E1439" s="235"/>
      <c r="F1439" s="232" t="s">
        <v>1406</v>
      </c>
      <c r="G1439" s="231"/>
      <c r="H1439" s="242"/>
      <c r="I1439" s="58" t="s">
        <v>10</v>
      </c>
    </row>
    <row r="1440" spans="2:9" ht="15.75" customHeight="1" x14ac:dyDescent="0.25">
      <c r="B1440" s="88" t="s">
        <v>1407</v>
      </c>
      <c r="C1440" s="234"/>
      <c r="D1440" s="234"/>
      <c r="E1440" s="235">
        <v>256</v>
      </c>
      <c r="F1440" s="232"/>
      <c r="G1440" s="231"/>
      <c r="H1440" s="242"/>
      <c r="I1440" s="171"/>
    </row>
    <row r="1441" spans="2:9" ht="15.75" customHeight="1" x14ac:dyDescent="0.25">
      <c r="B1441" s="202" t="s">
        <v>1398</v>
      </c>
      <c r="C1441" s="234"/>
      <c r="D1441" s="234"/>
      <c r="E1441" s="235"/>
      <c r="F1441" s="232" t="s">
        <v>1408</v>
      </c>
      <c r="G1441" s="231"/>
      <c r="H1441" s="242"/>
      <c r="I1441" s="171" t="s">
        <v>10</v>
      </c>
    </row>
    <row r="1442" spans="2:9" ht="15.75" customHeight="1" x14ac:dyDescent="0.25">
      <c r="B1442" s="120" t="s">
        <v>1400</v>
      </c>
      <c r="C1442" s="234"/>
      <c r="D1442" s="234"/>
      <c r="E1442" s="235"/>
      <c r="F1442" s="232" t="s">
        <v>1408</v>
      </c>
      <c r="G1442" s="231"/>
      <c r="H1442" s="242"/>
      <c r="I1442" s="58" t="s">
        <v>10</v>
      </c>
    </row>
    <row r="1443" spans="2:9" ht="15.75" customHeight="1" x14ac:dyDescent="0.25">
      <c r="B1443" s="88" t="s">
        <v>1409</v>
      </c>
      <c r="C1443" s="234"/>
      <c r="D1443" s="234"/>
      <c r="E1443" s="235">
        <v>257</v>
      </c>
      <c r="F1443" s="232"/>
      <c r="G1443" s="231"/>
      <c r="H1443" s="242"/>
      <c r="I1443" s="171"/>
    </row>
    <row r="1444" spans="2:9" ht="15.75" customHeight="1" x14ac:dyDescent="0.25">
      <c r="B1444" s="202" t="s">
        <v>1398</v>
      </c>
      <c r="C1444" s="234"/>
      <c r="D1444" s="234"/>
      <c r="E1444" s="235"/>
      <c r="F1444" s="232" t="s">
        <v>1410</v>
      </c>
      <c r="G1444" s="231"/>
      <c r="H1444" s="242"/>
      <c r="I1444" s="171" t="s">
        <v>826</v>
      </c>
    </row>
    <row r="1445" spans="2:9" ht="15.75" customHeight="1" x14ac:dyDescent="0.25">
      <c r="B1445" s="120" t="s">
        <v>1400</v>
      </c>
      <c r="C1445" s="234"/>
      <c r="D1445" s="234"/>
      <c r="E1445" s="235"/>
      <c r="F1445" s="232" t="s">
        <v>1410</v>
      </c>
      <c r="G1445" s="231"/>
      <c r="H1445" s="242"/>
      <c r="I1445" s="58" t="s">
        <v>826</v>
      </c>
    </row>
    <row r="1446" spans="2:9" ht="15.75" customHeight="1" x14ac:dyDescent="0.25">
      <c r="B1446" s="88" t="s">
        <v>1411</v>
      </c>
      <c r="C1446" s="234"/>
      <c r="D1446" s="234"/>
      <c r="E1446" s="235">
        <v>258</v>
      </c>
      <c r="F1446" s="232"/>
      <c r="G1446" s="231"/>
      <c r="H1446" s="242"/>
      <c r="I1446" s="171"/>
    </row>
    <row r="1447" spans="2:9" ht="15.75" customHeight="1" x14ac:dyDescent="0.25">
      <c r="B1447" s="202" t="s">
        <v>1398</v>
      </c>
      <c r="C1447" s="234"/>
      <c r="D1447" s="234"/>
      <c r="E1447" s="235"/>
      <c r="F1447" s="232" t="s">
        <v>1412</v>
      </c>
      <c r="G1447" s="231"/>
      <c r="H1447" s="242"/>
      <c r="I1447" s="171" t="s">
        <v>10</v>
      </c>
    </row>
    <row r="1448" spans="2:9" ht="15.75" customHeight="1" x14ac:dyDescent="0.25">
      <c r="B1448" s="120" t="s">
        <v>1400</v>
      </c>
      <c r="C1448" s="234"/>
      <c r="D1448" s="234"/>
      <c r="E1448" s="235"/>
      <c r="F1448" s="232" t="s">
        <v>1412</v>
      </c>
      <c r="G1448" s="231"/>
      <c r="H1448" s="242"/>
      <c r="I1448" s="58" t="s">
        <v>10</v>
      </c>
    </row>
    <row r="1449" spans="2:9" ht="15.75" customHeight="1" x14ac:dyDescent="0.25">
      <c r="B1449" s="88" t="s">
        <v>1413</v>
      </c>
      <c r="C1449" s="234"/>
      <c r="D1449" s="234"/>
      <c r="E1449" s="235">
        <v>259</v>
      </c>
      <c r="F1449" s="232"/>
      <c r="G1449" s="231"/>
      <c r="H1449" s="242"/>
      <c r="I1449" s="171"/>
    </row>
    <row r="1450" spans="2:9" ht="15.75" customHeight="1" x14ac:dyDescent="0.25">
      <c r="B1450" s="202" t="s">
        <v>1398</v>
      </c>
      <c r="C1450" s="234"/>
      <c r="D1450" s="234"/>
      <c r="E1450" s="235"/>
      <c r="F1450" s="232" t="s">
        <v>1414</v>
      </c>
      <c r="G1450" s="231"/>
      <c r="H1450" s="242"/>
      <c r="I1450" s="171" t="s">
        <v>826</v>
      </c>
    </row>
    <row r="1451" spans="2:9" ht="15.75" customHeight="1" x14ac:dyDescent="0.25">
      <c r="B1451" s="120" t="s">
        <v>1400</v>
      </c>
      <c r="C1451" s="234"/>
      <c r="D1451" s="234"/>
      <c r="E1451" s="235"/>
      <c r="F1451" s="232" t="s">
        <v>1414</v>
      </c>
      <c r="G1451" s="231"/>
      <c r="H1451" s="242"/>
      <c r="I1451" s="58" t="s">
        <v>826</v>
      </c>
    </row>
    <row r="1452" spans="2:9" x14ac:dyDescent="0.25">
      <c r="B1452" s="41"/>
      <c r="C1452" s="41"/>
      <c r="D1452" s="41"/>
      <c r="E1452" s="41">
        <v>260</v>
      </c>
      <c r="F1452" s="41"/>
      <c r="G1452" s="41"/>
      <c r="H1452" s="41"/>
      <c r="I1452" s="42"/>
    </row>
    <row r="1453" spans="2:9" x14ac:dyDescent="0.25">
      <c r="B1453" s="41"/>
      <c r="C1453" s="41"/>
      <c r="D1453" s="41"/>
      <c r="E1453" s="41">
        <v>261</v>
      </c>
      <c r="F1453" s="41"/>
      <c r="G1453" s="41"/>
      <c r="H1453" s="41"/>
      <c r="I1453" s="42"/>
    </row>
    <row r="1454" spans="2:9" x14ac:dyDescent="0.25">
      <c r="B1454" s="41"/>
      <c r="C1454" s="41"/>
      <c r="D1454" s="41"/>
      <c r="E1454" s="41">
        <v>262</v>
      </c>
      <c r="F1454" s="41"/>
      <c r="G1454" s="41"/>
      <c r="H1454" s="41"/>
      <c r="I1454" s="42"/>
    </row>
    <row r="1455" spans="2:9" ht="15.75" customHeight="1" x14ac:dyDescent="0.25">
      <c r="B1455" s="54" t="s">
        <v>1415</v>
      </c>
      <c r="C1455" s="54"/>
      <c r="D1455" s="54"/>
      <c r="E1455" s="54">
        <v>263</v>
      </c>
      <c r="F1455" s="54"/>
      <c r="G1455" s="54"/>
      <c r="H1455" s="54"/>
      <c r="I1455" s="42"/>
    </row>
  </sheetData>
  <mergeCells count="43">
    <mergeCell ref="B1072:B1073"/>
    <mergeCell ref="B1074:B1075"/>
    <mergeCell ref="B1117:B1118"/>
    <mergeCell ref="B1015:B1016"/>
    <mergeCell ref="B1084:B1085"/>
    <mergeCell ref="B1111:B1112"/>
    <mergeCell ref="B1064:B1065"/>
    <mergeCell ref="B1040:B1041"/>
    <mergeCell ref="B1113:B1114"/>
    <mergeCell ref="B1078:B1079"/>
    <mergeCell ref="B1086:B1087"/>
    <mergeCell ref="B1062:B1063"/>
    <mergeCell ref="B1019:B1020"/>
    <mergeCell ref="B1044:B1045"/>
    <mergeCell ref="B1082:B1083"/>
    <mergeCell ref="C2:H2"/>
    <mergeCell ref="B1005:B1006"/>
    <mergeCell ref="B1068:B1069"/>
    <mergeCell ref="B1017:B1018"/>
    <mergeCell ref="G3:G4"/>
    <mergeCell ref="D3:D4"/>
    <mergeCell ref="B1036:B1037"/>
    <mergeCell ref="B1050:B1051"/>
    <mergeCell ref="B1054:B1055"/>
    <mergeCell ref="B1023:B1024"/>
    <mergeCell ref="B1013:B1014"/>
    <mergeCell ref="F3:F4"/>
    <mergeCell ref="I2:I4"/>
    <mergeCell ref="B1080:B1081"/>
    <mergeCell ref="B1115:B1116"/>
    <mergeCell ref="H3:H4"/>
    <mergeCell ref="B1038:B1039"/>
    <mergeCell ref="B1070:B1071"/>
    <mergeCell ref="B1046:B1047"/>
    <mergeCell ref="B2:B4"/>
    <mergeCell ref="B1076:B1077"/>
    <mergeCell ref="B1052:B1053"/>
    <mergeCell ref="B1066:B1067"/>
    <mergeCell ref="C3:C4"/>
    <mergeCell ref="E3:E4"/>
    <mergeCell ref="B1048:B1049"/>
    <mergeCell ref="B1042:B1043"/>
    <mergeCell ref="B1011:B1012"/>
  </mergeCell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2:M9"/>
  <sheetViews>
    <sheetView workbookViewId="0">
      <selection activeCell="C8" sqref="C8:C9"/>
    </sheetView>
  </sheetViews>
  <sheetFormatPr defaultRowHeight="15" outlineLevelCol="1" x14ac:dyDescent="0.25"/>
  <cols>
    <col min="2" max="2" width="36.5703125" style="261" customWidth="1"/>
    <col min="3" max="3" width="35.28515625" style="261" customWidth="1" outlineLevel="1"/>
    <col min="4" max="4" width="14.140625" style="261" customWidth="1" outlineLevel="1"/>
    <col min="5" max="5" width="12.28515625" style="261" customWidth="1"/>
    <col min="6" max="6" width="21.140625" style="261" customWidth="1"/>
    <col min="7" max="7" width="14.28515625" style="261" customWidth="1"/>
    <col min="8" max="8" width="13" style="261" customWidth="1"/>
    <col min="9" max="9" width="15.5703125" style="261" customWidth="1"/>
    <col min="10" max="10" width="15.140625" style="261" customWidth="1"/>
    <col min="11" max="11" width="11.28515625" style="261" customWidth="1"/>
    <col min="12" max="12" width="30.28515625" style="261" customWidth="1"/>
    <col min="13" max="13" width="21.42578125" style="261" customWidth="1"/>
  </cols>
  <sheetData>
    <row r="2" spans="1:13" ht="25.5" customHeight="1" x14ac:dyDescent="0.25">
      <c r="B2" s="288" t="s">
        <v>0</v>
      </c>
      <c r="C2" s="304" t="s">
        <v>1</v>
      </c>
      <c r="D2" s="297"/>
      <c r="E2" s="303" t="s">
        <v>2</v>
      </c>
      <c r="F2" s="303" t="s">
        <v>1416</v>
      </c>
      <c r="G2" s="303" t="s">
        <v>1417</v>
      </c>
      <c r="H2" s="308" t="s">
        <v>1418</v>
      </c>
      <c r="I2" s="309"/>
      <c r="J2" s="303" t="s">
        <v>1419</v>
      </c>
      <c r="K2" s="303" t="s">
        <v>1420</v>
      </c>
      <c r="L2" s="303" t="s">
        <v>1421</v>
      </c>
      <c r="M2" s="303" t="s">
        <v>1422</v>
      </c>
    </row>
    <row r="3" spans="1:13" ht="15" customHeight="1" x14ac:dyDescent="0.25">
      <c r="B3" s="289"/>
      <c r="C3" s="307" t="s">
        <v>1423</v>
      </c>
      <c r="D3" s="307" t="s">
        <v>1424</v>
      </c>
      <c r="E3" s="280"/>
      <c r="F3" s="280"/>
      <c r="G3" s="280"/>
      <c r="H3" s="310"/>
      <c r="I3" s="311"/>
      <c r="J3" s="280"/>
      <c r="K3" s="280"/>
      <c r="L3" s="280"/>
      <c r="M3" s="280"/>
    </row>
    <row r="4" spans="1:13" ht="15" customHeight="1" x14ac:dyDescent="0.25">
      <c r="B4" s="283"/>
      <c r="C4" s="281"/>
      <c r="D4" s="281"/>
      <c r="E4" s="281"/>
      <c r="F4" s="281"/>
      <c r="G4" s="281"/>
      <c r="H4" s="244" t="s">
        <v>1425</v>
      </c>
      <c r="I4" s="244" t="s">
        <v>1426</v>
      </c>
      <c r="J4" s="281"/>
      <c r="K4" s="281"/>
      <c r="L4" s="281"/>
      <c r="M4" s="281"/>
    </row>
    <row r="6" spans="1:13" x14ac:dyDescent="0.25">
      <c r="A6" s="246" t="s">
        <v>1427</v>
      </c>
      <c r="B6" s="247" t="s">
        <v>1428</v>
      </c>
      <c r="C6" s="237"/>
    </row>
    <row r="7" spans="1:13" x14ac:dyDescent="0.25">
      <c r="B7" s="245" t="s">
        <v>1429</v>
      </c>
      <c r="F7" s="248">
        <v>0.5</v>
      </c>
      <c r="M7" t="s">
        <v>1430</v>
      </c>
    </row>
    <row r="8" spans="1:13" ht="30" customHeight="1" x14ac:dyDescent="0.25">
      <c r="B8" s="245" t="s">
        <v>1431</v>
      </c>
      <c r="C8" s="237" t="s">
        <v>1432</v>
      </c>
      <c r="F8" s="248">
        <v>0.25</v>
      </c>
      <c r="G8" s="250"/>
      <c r="H8" s="249">
        <f>G8*0.95</f>
        <v>0</v>
      </c>
      <c r="I8" s="249">
        <f>G8*1.1</f>
        <v>0</v>
      </c>
      <c r="J8" s="250"/>
      <c r="K8" s="251" t="e">
        <f>G8/J8</f>
        <v>#DIV/0!</v>
      </c>
      <c r="L8" s="305"/>
      <c r="M8" t="s">
        <v>1430</v>
      </c>
    </row>
    <row r="9" spans="1:13" ht="75" customHeight="1" x14ac:dyDescent="0.25">
      <c r="B9" s="245" t="s">
        <v>1433</v>
      </c>
      <c r="C9" s="237" t="s">
        <v>1434</v>
      </c>
      <c r="F9" s="248">
        <v>0.25</v>
      </c>
      <c r="G9" s="250"/>
      <c r="H9" s="249">
        <f>G9*0.95</f>
        <v>0</v>
      </c>
      <c r="I9" s="249">
        <f>G9*1.1</f>
        <v>0</v>
      </c>
      <c r="J9" s="250"/>
      <c r="K9" s="251" t="e">
        <f>G9/J9</f>
        <v>#DIV/0!</v>
      </c>
      <c r="L9" s="306"/>
      <c r="M9" t="s">
        <v>1430</v>
      </c>
    </row>
  </sheetData>
  <mergeCells count="13">
    <mergeCell ref="M2:M4"/>
    <mergeCell ref="B2:B4"/>
    <mergeCell ref="E2:E4"/>
    <mergeCell ref="C2:D2"/>
    <mergeCell ref="L8:L9"/>
    <mergeCell ref="C3:C4"/>
    <mergeCell ref="F2:F4"/>
    <mergeCell ref="H2:I3"/>
    <mergeCell ref="K2:K4"/>
    <mergeCell ref="G2:G4"/>
    <mergeCell ref="J2:J4"/>
    <mergeCell ref="L2:L4"/>
    <mergeCell ref="D3:D4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B2:CP16"/>
  <sheetViews>
    <sheetView tabSelected="1" topLeftCell="L1" workbookViewId="0">
      <selection activeCell="T8" sqref="T8"/>
    </sheetView>
  </sheetViews>
  <sheetFormatPr defaultRowHeight="15" outlineLevelCol="1" x14ac:dyDescent="0.25"/>
  <cols>
    <col min="2" max="2" width="66.28515625" style="261" customWidth="1"/>
    <col min="3" max="5" width="22.85546875" style="261" customWidth="1" outlineLevel="1"/>
    <col min="6" max="6" width="31.7109375" style="261" customWidth="1" outlineLevel="1"/>
    <col min="7" max="7" width="14.140625" style="261" customWidth="1" outlineLevel="1"/>
    <col min="8" max="8" width="15.7109375" style="261" customWidth="1" outlineLevel="1"/>
    <col min="9" max="9" width="12.28515625" style="261" customWidth="1"/>
    <col min="10" max="12" width="25" style="261" customWidth="1"/>
    <col min="13" max="14" width="15" style="261" customWidth="1"/>
    <col min="15" max="17" width="25" style="261" customWidth="1"/>
    <col min="18" max="19" width="15" style="261" customWidth="1"/>
    <col min="20" max="22" width="25" style="261" customWidth="1"/>
    <col min="23" max="24" width="15" style="261" customWidth="1"/>
    <col min="25" max="27" width="25" style="261" customWidth="1"/>
    <col min="28" max="29" width="15" style="261" customWidth="1"/>
    <col min="30" max="32" width="25" style="261" customWidth="1"/>
    <col min="33" max="34" width="15" style="261" customWidth="1"/>
    <col min="35" max="37" width="25" style="261" customWidth="1"/>
    <col min="38" max="39" width="15" style="261" customWidth="1"/>
    <col min="40" max="42" width="25" style="261" customWidth="1"/>
    <col min="43" max="44" width="15" style="261" customWidth="1"/>
    <col min="45" max="47" width="25" style="261" customWidth="1"/>
    <col min="48" max="49" width="15" style="261" customWidth="1"/>
    <col min="50" max="52" width="25" style="261" customWidth="1"/>
    <col min="53" max="54" width="15" style="261" customWidth="1"/>
    <col min="55" max="57" width="25" style="261" customWidth="1"/>
    <col min="58" max="59" width="15" style="261" customWidth="1"/>
    <col min="60" max="62" width="25" style="261" customWidth="1"/>
    <col min="63" max="64" width="15" style="261" customWidth="1"/>
    <col min="65" max="67" width="25" style="261" customWidth="1"/>
    <col min="68" max="69" width="15" style="261" customWidth="1"/>
    <col min="70" max="72" width="25" style="261" customWidth="1"/>
    <col min="73" max="74" width="15" style="261" customWidth="1"/>
    <col min="75" max="77" width="25" style="261" customWidth="1"/>
    <col min="78" max="79" width="15" style="261" customWidth="1"/>
    <col min="80" max="82" width="25" style="261" customWidth="1"/>
    <col min="83" max="84" width="15" style="261" customWidth="1"/>
    <col min="85" max="87" width="25" style="261" customWidth="1"/>
    <col min="88" max="89" width="15" style="261" customWidth="1"/>
    <col min="90" max="92" width="25" style="261" customWidth="1"/>
    <col min="93" max="94" width="15" style="261" customWidth="1"/>
  </cols>
  <sheetData>
    <row r="2" spans="2:94" ht="20.100000000000001" customHeight="1" x14ac:dyDescent="0.25">
      <c r="B2" s="288" t="s">
        <v>0</v>
      </c>
      <c r="C2" s="296" t="s">
        <v>1</v>
      </c>
      <c r="D2" s="297"/>
      <c r="E2" s="297"/>
      <c r="F2" s="297"/>
      <c r="G2" s="297"/>
      <c r="H2" s="298"/>
      <c r="I2" s="279" t="s">
        <v>2</v>
      </c>
      <c r="J2" s="271" t="s">
        <v>1435</v>
      </c>
      <c r="K2" s="271" t="s">
        <v>1435</v>
      </c>
      <c r="L2" s="271" t="s">
        <v>1435</v>
      </c>
      <c r="M2" s="272"/>
      <c r="N2" s="272"/>
      <c r="O2" s="271" t="s">
        <v>1436</v>
      </c>
      <c r="P2" s="271" t="s">
        <v>1436</v>
      </c>
      <c r="Q2" s="271" t="s">
        <v>1436</v>
      </c>
      <c r="R2" s="272"/>
      <c r="S2" s="272"/>
      <c r="T2" s="271" t="s">
        <v>1437</v>
      </c>
      <c r="U2" s="271" t="s">
        <v>1437</v>
      </c>
      <c r="V2" s="271" t="s">
        <v>1437</v>
      </c>
      <c r="W2" s="272"/>
      <c r="X2" s="272"/>
      <c r="Y2" s="271" t="s">
        <v>1438</v>
      </c>
      <c r="Z2" s="271" t="s">
        <v>1438</v>
      </c>
      <c r="AA2" s="271" t="s">
        <v>1438</v>
      </c>
      <c r="AB2" s="272"/>
      <c r="AC2" s="272"/>
      <c r="AD2" s="271" t="s">
        <v>1439</v>
      </c>
      <c r="AE2" s="271" t="s">
        <v>1439</v>
      </c>
      <c r="AF2" s="271" t="s">
        <v>1439</v>
      </c>
      <c r="AG2" s="272"/>
      <c r="AH2" s="272"/>
      <c r="AI2" s="271" t="s">
        <v>1440</v>
      </c>
      <c r="AJ2" s="271" t="s">
        <v>1440</v>
      </c>
      <c r="AK2" s="271" t="s">
        <v>1440</v>
      </c>
      <c r="AL2" s="272"/>
      <c r="AM2" s="272"/>
      <c r="AN2" s="271" t="s">
        <v>1441</v>
      </c>
      <c r="AO2" s="271" t="s">
        <v>1441</v>
      </c>
      <c r="AP2" s="271" t="s">
        <v>1441</v>
      </c>
      <c r="AQ2" s="272"/>
      <c r="AR2" s="272"/>
      <c r="AS2" s="271" t="s">
        <v>1442</v>
      </c>
      <c r="AT2" s="271" t="s">
        <v>1442</v>
      </c>
      <c r="AU2" s="271" t="s">
        <v>1442</v>
      </c>
      <c r="AV2" s="272"/>
      <c r="AW2" s="272"/>
      <c r="AX2" s="271" t="s">
        <v>1443</v>
      </c>
      <c r="AY2" s="271" t="s">
        <v>1443</v>
      </c>
      <c r="AZ2" s="271" t="s">
        <v>1443</v>
      </c>
      <c r="BA2" s="272"/>
      <c r="BB2" s="272"/>
      <c r="BC2" s="271" t="s">
        <v>1444</v>
      </c>
      <c r="BD2" s="271" t="s">
        <v>1444</v>
      </c>
      <c r="BE2" s="271" t="s">
        <v>1444</v>
      </c>
      <c r="BF2" s="272"/>
      <c r="BG2" s="272"/>
      <c r="BH2" s="271" t="s">
        <v>1445</v>
      </c>
      <c r="BI2" s="271" t="s">
        <v>1445</v>
      </c>
      <c r="BJ2" s="271" t="s">
        <v>1445</v>
      </c>
      <c r="BK2" s="272"/>
      <c r="BL2" s="272"/>
      <c r="BM2" s="271" t="s">
        <v>1446</v>
      </c>
      <c r="BN2" s="271" t="s">
        <v>1446</v>
      </c>
      <c r="BO2" s="271" t="s">
        <v>1446</v>
      </c>
      <c r="BP2" s="272"/>
      <c r="BQ2" s="272"/>
      <c r="BR2" s="271" t="s">
        <v>1447</v>
      </c>
      <c r="BS2" s="271" t="s">
        <v>1447</v>
      </c>
      <c r="BT2" s="271" t="s">
        <v>1447</v>
      </c>
      <c r="BU2" s="272"/>
      <c r="BV2" s="272"/>
      <c r="BW2" s="271" t="s">
        <v>1448</v>
      </c>
      <c r="BX2" s="271" t="s">
        <v>1448</v>
      </c>
      <c r="BY2" s="271" t="s">
        <v>1448</v>
      </c>
      <c r="BZ2" s="272"/>
      <c r="CA2" s="272"/>
      <c r="CB2" s="271" t="s">
        <v>1449</v>
      </c>
      <c r="CC2" s="271" t="s">
        <v>1449</v>
      </c>
      <c r="CD2" s="271" t="s">
        <v>1449</v>
      </c>
      <c r="CE2" s="272"/>
      <c r="CF2" s="272"/>
      <c r="CG2" s="271" t="s">
        <v>1450</v>
      </c>
      <c r="CH2" s="271" t="s">
        <v>1450</v>
      </c>
      <c r="CI2" s="271" t="s">
        <v>1450</v>
      </c>
      <c r="CJ2" s="272"/>
      <c r="CK2" s="272"/>
      <c r="CL2" s="271" t="s">
        <v>1451</v>
      </c>
      <c r="CM2" s="271" t="s">
        <v>1451</v>
      </c>
      <c r="CN2" s="271" t="s">
        <v>1451</v>
      </c>
      <c r="CO2" s="272"/>
      <c r="CP2" s="272"/>
    </row>
    <row r="3" spans="2:94" ht="39.950000000000003" customHeight="1" x14ac:dyDescent="0.25">
      <c r="B3" s="289"/>
      <c r="C3" s="293" t="s">
        <v>3</v>
      </c>
      <c r="D3" s="285" t="s">
        <v>4</v>
      </c>
      <c r="E3" s="285" t="s">
        <v>5</v>
      </c>
      <c r="F3" s="285" t="s">
        <v>6</v>
      </c>
      <c r="G3" s="285" t="s">
        <v>7</v>
      </c>
      <c r="H3" s="285" t="s">
        <v>8</v>
      </c>
      <c r="I3" s="280"/>
      <c r="J3" s="312" t="s">
        <v>1452</v>
      </c>
      <c r="K3" s="312" t="s">
        <v>1453</v>
      </c>
      <c r="L3" s="312" t="s">
        <v>1454</v>
      </c>
      <c r="M3" s="313" t="s">
        <v>1455</v>
      </c>
      <c r="N3" s="298"/>
      <c r="O3" s="312" t="s">
        <v>1452</v>
      </c>
      <c r="P3" s="312" t="s">
        <v>1453</v>
      </c>
      <c r="Q3" s="312" t="s">
        <v>1454</v>
      </c>
      <c r="R3" s="313" t="s">
        <v>1455</v>
      </c>
      <c r="S3" s="298"/>
      <c r="T3" s="312" t="s">
        <v>1452</v>
      </c>
      <c r="U3" s="312" t="s">
        <v>1453</v>
      </c>
      <c r="V3" s="312" t="s">
        <v>1454</v>
      </c>
      <c r="W3" s="313" t="s">
        <v>1455</v>
      </c>
      <c r="X3" s="298"/>
      <c r="Y3" s="312" t="s">
        <v>1452</v>
      </c>
      <c r="Z3" s="312" t="s">
        <v>1453</v>
      </c>
      <c r="AA3" s="312" t="s">
        <v>1454</v>
      </c>
      <c r="AB3" s="313" t="s">
        <v>1455</v>
      </c>
      <c r="AC3" s="298"/>
      <c r="AD3" s="312" t="s">
        <v>1452</v>
      </c>
      <c r="AE3" s="312" t="s">
        <v>1453</v>
      </c>
      <c r="AF3" s="312" t="s">
        <v>1454</v>
      </c>
      <c r="AG3" s="313" t="s">
        <v>1455</v>
      </c>
      <c r="AH3" s="298"/>
      <c r="AI3" s="312" t="s">
        <v>1452</v>
      </c>
      <c r="AJ3" s="312" t="s">
        <v>1453</v>
      </c>
      <c r="AK3" s="312" t="s">
        <v>1454</v>
      </c>
      <c r="AL3" s="313" t="s">
        <v>1455</v>
      </c>
      <c r="AM3" s="298"/>
      <c r="AN3" s="312" t="s">
        <v>1452</v>
      </c>
      <c r="AO3" s="312" t="s">
        <v>1453</v>
      </c>
      <c r="AP3" s="312" t="s">
        <v>1454</v>
      </c>
      <c r="AQ3" s="313" t="s">
        <v>1455</v>
      </c>
      <c r="AR3" s="298"/>
      <c r="AS3" s="312" t="s">
        <v>1452</v>
      </c>
      <c r="AT3" s="312" t="s">
        <v>1453</v>
      </c>
      <c r="AU3" s="312" t="s">
        <v>1454</v>
      </c>
      <c r="AV3" s="313" t="s">
        <v>1455</v>
      </c>
      <c r="AW3" s="298"/>
      <c r="AX3" s="312" t="s">
        <v>1452</v>
      </c>
      <c r="AY3" s="312" t="s">
        <v>1453</v>
      </c>
      <c r="AZ3" s="312" t="s">
        <v>1454</v>
      </c>
      <c r="BA3" s="313" t="s">
        <v>1455</v>
      </c>
      <c r="BB3" s="298"/>
      <c r="BC3" s="312" t="s">
        <v>1452</v>
      </c>
      <c r="BD3" s="312" t="s">
        <v>1453</v>
      </c>
      <c r="BE3" s="312" t="s">
        <v>1454</v>
      </c>
      <c r="BF3" s="313" t="s">
        <v>1455</v>
      </c>
      <c r="BG3" s="298"/>
      <c r="BH3" s="312" t="s">
        <v>1452</v>
      </c>
      <c r="BI3" s="312" t="s">
        <v>1453</v>
      </c>
      <c r="BJ3" s="312" t="s">
        <v>1454</v>
      </c>
      <c r="BK3" s="313" t="s">
        <v>1455</v>
      </c>
      <c r="BL3" s="298"/>
      <c r="BM3" s="312" t="s">
        <v>1452</v>
      </c>
      <c r="BN3" s="312" t="s">
        <v>1453</v>
      </c>
      <c r="BO3" s="312" t="s">
        <v>1454</v>
      </c>
      <c r="BP3" s="313" t="s">
        <v>1455</v>
      </c>
      <c r="BQ3" s="298"/>
      <c r="BR3" s="312" t="s">
        <v>1452</v>
      </c>
      <c r="BS3" s="312" t="s">
        <v>1453</v>
      </c>
      <c r="BT3" s="312" t="s">
        <v>1454</v>
      </c>
      <c r="BU3" s="313" t="s">
        <v>1455</v>
      </c>
      <c r="BV3" s="298"/>
      <c r="BW3" s="312" t="s">
        <v>1452</v>
      </c>
      <c r="BX3" s="312" t="s">
        <v>1453</v>
      </c>
      <c r="BY3" s="312" t="s">
        <v>1454</v>
      </c>
      <c r="BZ3" s="313" t="s">
        <v>1455</v>
      </c>
      <c r="CA3" s="298"/>
      <c r="CB3" s="312" t="s">
        <v>1452</v>
      </c>
      <c r="CC3" s="312" t="s">
        <v>1453</v>
      </c>
      <c r="CD3" s="312" t="s">
        <v>1454</v>
      </c>
      <c r="CE3" s="313" t="s">
        <v>1455</v>
      </c>
      <c r="CF3" s="298"/>
      <c r="CG3" s="312" t="s">
        <v>1452</v>
      </c>
      <c r="CH3" s="312" t="s">
        <v>1453</v>
      </c>
      <c r="CI3" s="312" t="s">
        <v>1454</v>
      </c>
      <c r="CJ3" s="313" t="s">
        <v>1455</v>
      </c>
      <c r="CK3" s="298"/>
      <c r="CL3" s="312" t="s">
        <v>1452</v>
      </c>
      <c r="CM3" s="312" t="s">
        <v>1453</v>
      </c>
      <c r="CN3" s="312" t="s">
        <v>1454</v>
      </c>
      <c r="CO3" s="313" t="s">
        <v>1455</v>
      </c>
      <c r="CP3" s="298"/>
    </row>
    <row r="4" spans="2:94" ht="20.100000000000001" customHeight="1" x14ac:dyDescent="0.25">
      <c r="B4" s="283"/>
      <c r="C4" s="294"/>
      <c r="D4" s="281"/>
      <c r="E4" s="281"/>
      <c r="F4" s="281"/>
      <c r="G4" s="281"/>
      <c r="H4" s="281"/>
      <c r="I4" s="281"/>
      <c r="J4" s="283"/>
      <c r="K4" s="283"/>
      <c r="L4" s="283"/>
      <c r="M4" s="273" t="s">
        <v>1456</v>
      </c>
      <c r="N4" s="273" t="s">
        <v>1457</v>
      </c>
      <c r="O4" s="283"/>
      <c r="P4" s="283"/>
      <c r="Q4" s="283"/>
      <c r="R4" s="273" t="s">
        <v>1456</v>
      </c>
      <c r="S4" s="273" t="s">
        <v>1457</v>
      </c>
      <c r="T4" s="283"/>
      <c r="U4" s="283"/>
      <c r="V4" s="283"/>
      <c r="W4" s="273" t="s">
        <v>1456</v>
      </c>
      <c r="X4" s="273" t="s">
        <v>1457</v>
      </c>
      <c r="Y4" s="283"/>
      <c r="Z4" s="283"/>
      <c r="AA4" s="283"/>
      <c r="AB4" s="273" t="s">
        <v>1456</v>
      </c>
      <c r="AC4" s="273" t="s">
        <v>1457</v>
      </c>
      <c r="AD4" s="283"/>
      <c r="AE4" s="283"/>
      <c r="AF4" s="283"/>
      <c r="AG4" s="273" t="s">
        <v>1456</v>
      </c>
      <c r="AH4" s="273" t="s">
        <v>1457</v>
      </c>
      <c r="AI4" s="283"/>
      <c r="AJ4" s="283"/>
      <c r="AK4" s="283"/>
      <c r="AL4" s="273" t="s">
        <v>1456</v>
      </c>
      <c r="AM4" s="273" t="s">
        <v>1457</v>
      </c>
      <c r="AN4" s="283"/>
      <c r="AO4" s="283"/>
      <c r="AP4" s="283"/>
      <c r="AQ4" s="273" t="s">
        <v>1456</v>
      </c>
      <c r="AR4" s="273" t="s">
        <v>1457</v>
      </c>
      <c r="AS4" s="283"/>
      <c r="AT4" s="283"/>
      <c r="AU4" s="283"/>
      <c r="AV4" s="273" t="s">
        <v>1456</v>
      </c>
      <c r="AW4" s="273" t="s">
        <v>1457</v>
      </c>
      <c r="AX4" s="283"/>
      <c r="AY4" s="283"/>
      <c r="AZ4" s="283"/>
      <c r="BA4" s="273" t="s">
        <v>1456</v>
      </c>
      <c r="BB4" s="273" t="s">
        <v>1457</v>
      </c>
      <c r="BC4" s="283"/>
      <c r="BD4" s="283"/>
      <c r="BE4" s="283"/>
      <c r="BF4" s="273" t="s">
        <v>1456</v>
      </c>
      <c r="BG4" s="273" t="s">
        <v>1457</v>
      </c>
      <c r="BH4" s="283"/>
      <c r="BI4" s="283"/>
      <c r="BJ4" s="283"/>
      <c r="BK4" s="273" t="s">
        <v>1456</v>
      </c>
      <c r="BL4" s="273" t="s">
        <v>1457</v>
      </c>
      <c r="BM4" s="283"/>
      <c r="BN4" s="283"/>
      <c r="BO4" s="283"/>
      <c r="BP4" s="273" t="s">
        <v>1456</v>
      </c>
      <c r="BQ4" s="273" t="s">
        <v>1457</v>
      </c>
      <c r="BR4" s="283"/>
      <c r="BS4" s="283"/>
      <c r="BT4" s="283"/>
      <c r="BU4" s="273" t="s">
        <v>1456</v>
      </c>
      <c r="BV4" s="273" t="s">
        <v>1457</v>
      </c>
      <c r="BW4" s="283"/>
      <c r="BX4" s="283"/>
      <c r="BY4" s="283"/>
      <c r="BZ4" s="273" t="s">
        <v>1456</v>
      </c>
      <c r="CA4" s="273" t="s">
        <v>1457</v>
      </c>
      <c r="CB4" s="283"/>
      <c r="CC4" s="283"/>
      <c r="CD4" s="283"/>
      <c r="CE4" s="273" t="s">
        <v>1456</v>
      </c>
      <c r="CF4" s="273" t="s">
        <v>1457</v>
      </c>
      <c r="CG4" s="283"/>
      <c r="CH4" s="283"/>
      <c r="CI4" s="283"/>
      <c r="CJ4" s="273" t="s">
        <v>1456</v>
      </c>
      <c r="CK4" s="273" t="s">
        <v>1457</v>
      </c>
      <c r="CL4" s="283"/>
      <c r="CM4" s="283"/>
      <c r="CN4" s="283"/>
      <c r="CO4" s="273" t="s">
        <v>1456</v>
      </c>
      <c r="CP4" s="273" t="s">
        <v>1457</v>
      </c>
    </row>
    <row r="5" spans="2:94" ht="20.100000000000001" customHeight="1" x14ac:dyDescent="0.3">
      <c r="J5" s="274" t="s">
        <v>1458</v>
      </c>
      <c r="K5" s="274" t="s">
        <v>1459</v>
      </c>
      <c r="L5" s="274" t="s">
        <v>1460</v>
      </c>
      <c r="M5" s="274"/>
      <c r="N5" s="274"/>
      <c r="O5" s="274" t="s">
        <v>1461</v>
      </c>
      <c r="P5" s="274" t="s">
        <v>1462</v>
      </c>
      <c r="Q5" s="274" t="s">
        <v>1463</v>
      </c>
      <c r="R5" s="274"/>
      <c r="S5" s="274"/>
      <c r="T5" s="274" t="s">
        <v>1464</v>
      </c>
      <c r="U5" s="274" t="s">
        <v>1465</v>
      </c>
      <c r="V5" s="274" t="s">
        <v>1466</v>
      </c>
      <c r="W5" s="274"/>
      <c r="X5" s="274"/>
      <c r="Y5" s="274" t="s">
        <v>1467</v>
      </c>
      <c r="Z5" s="274" t="s">
        <v>1468</v>
      </c>
      <c r="AA5" s="274" t="s">
        <v>1469</v>
      </c>
      <c r="AB5" s="274"/>
      <c r="AC5" s="274"/>
      <c r="AD5" s="274" t="s">
        <v>1470</v>
      </c>
      <c r="AE5" s="274" t="s">
        <v>1471</v>
      </c>
      <c r="AF5" s="274" t="s">
        <v>1472</v>
      </c>
      <c r="AG5" s="274"/>
      <c r="AH5" s="274"/>
      <c r="AI5" s="274" t="s">
        <v>1473</v>
      </c>
      <c r="AJ5" s="274" t="s">
        <v>1474</v>
      </c>
      <c r="AK5" s="274" t="s">
        <v>1475</v>
      </c>
      <c r="AL5" s="274"/>
      <c r="AM5" s="274"/>
      <c r="AN5" s="274" t="s">
        <v>1476</v>
      </c>
      <c r="AO5" s="274" t="s">
        <v>1477</v>
      </c>
      <c r="AP5" s="274" t="s">
        <v>1478</v>
      </c>
      <c r="AQ5" s="274"/>
      <c r="AR5" s="274"/>
      <c r="AS5" s="274" t="s">
        <v>1479</v>
      </c>
      <c r="AT5" s="274" t="s">
        <v>1480</v>
      </c>
      <c r="AU5" s="274" t="s">
        <v>1481</v>
      </c>
      <c r="AV5" s="274"/>
      <c r="AW5" s="274"/>
      <c r="AX5" s="274" t="s">
        <v>1482</v>
      </c>
      <c r="AY5" s="274" t="s">
        <v>1483</v>
      </c>
      <c r="AZ5" s="274" t="s">
        <v>1484</v>
      </c>
      <c r="BA5" s="274"/>
      <c r="BB5" s="274"/>
      <c r="BC5" s="274" t="s">
        <v>1485</v>
      </c>
      <c r="BD5" s="274" t="s">
        <v>1486</v>
      </c>
      <c r="BE5" s="274" t="s">
        <v>1487</v>
      </c>
      <c r="BF5" s="274"/>
      <c r="BG5" s="274"/>
      <c r="BH5" s="274" t="s">
        <v>1488</v>
      </c>
      <c r="BI5" s="274" t="s">
        <v>1489</v>
      </c>
      <c r="BJ5" s="274" t="s">
        <v>1490</v>
      </c>
      <c r="BK5" s="274"/>
      <c r="BL5" s="274"/>
      <c r="BM5" s="274" t="s">
        <v>1491</v>
      </c>
      <c r="BN5" s="274" t="s">
        <v>1492</v>
      </c>
      <c r="BO5" s="274" t="s">
        <v>1493</v>
      </c>
      <c r="BP5" s="274"/>
      <c r="BQ5" s="274"/>
      <c r="BR5" s="274" t="s">
        <v>1494</v>
      </c>
      <c r="BS5" s="274" t="s">
        <v>1495</v>
      </c>
      <c r="BT5" s="274" t="s">
        <v>1496</v>
      </c>
      <c r="BU5" s="274"/>
      <c r="BV5" s="274"/>
      <c r="BW5" s="274" t="s">
        <v>1497</v>
      </c>
      <c r="BX5" s="274" t="s">
        <v>1498</v>
      </c>
      <c r="BY5" s="274" t="s">
        <v>1499</v>
      </c>
      <c r="BZ5" s="274"/>
      <c r="CA5" s="274"/>
      <c r="CB5" s="274" t="s">
        <v>1500</v>
      </c>
      <c r="CC5" s="274" t="s">
        <v>1501</v>
      </c>
      <c r="CD5" s="274" t="s">
        <v>1502</v>
      </c>
      <c r="CE5" s="274"/>
      <c r="CF5" s="274"/>
      <c r="CG5" s="274" t="s">
        <v>1503</v>
      </c>
      <c r="CH5" s="274" t="s">
        <v>1504</v>
      </c>
      <c r="CI5" s="274" t="s">
        <v>1505</v>
      </c>
      <c r="CJ5" s="274"/>
      <c r="CK5" s="274"/>
      <c r="CL5" s="274" t="s">
        <v>1506</v>
      </c>
      <c r="CM5" s="274" t="s">
        <v>1507</v>
      </c>
      <c r="CN5" s="274" t="s">
        <v>1508</v>
      </c>
      <c r="CO5" s="274"/>
      <c r="CP5" s="274"/>
    </row>
    <row r="6" spans="2:94" ht="18.75" x14ac:dyDescent="0.3">
      <c r="C6" s="234"/>
      <c r="D6" s="234"/>
      <c r="E6" s="235"/>
      <c r="F6" s="232" t="s">
        <v>1509</v>
      </c>
      <c r="G6" s="231"/>
      <c r="H6" s="242"/>
      <c r="J6" s="275">
        <f t="shared" ref="J6:J16" si="0">O6+AI6+BC6+BW6</f>
        <v>13574.199999999999</v>
      </c>
      <c r="K6" s="275">
        <f t="shared" ref="K6:K16" si="1">P6+AJ6+BD6+BX6</f>
        <v>13574.199999999999</v>
      </c>
      <c r="L6" s="275">
        <f t="shared" ref="L6:L16" si="2">Q6+AK6+BE6+BY6</f>
        <v>3725.5687019999996</v>
      </c>
      <c r="M6" s="275">
        <f t="shared" ref="M6:M16" si="3">IFERROR(K6-J6,"-")</f>
        <v>0</v>
      </c>
      <c r="N6" s="276">
        <f t="shared" ref="N6:N16" si="4">IFERROR(K6/J6,"-")</f>
        <v>1</v>
      </c>
      <c r="O6" s="275">
        <f t="shared" ref="O6:O16" si="5">T6+Y6+AD6</f>
        <v>3405.4</v>
      </c>
      <c r="P6" s="275">
        <f t="shared" ref="P6:P16" si="6">U6+Z6+AE6</f>
        <v>3405.4</v>
      </c>
      <c r="Q6" s="275">
        <f t="shared" ref="Q6:Q16" si="7">V6+AA6+AF6</f>
        <v>2363.5887819999998</v>
      </c>
      <c r="R6" s="275">
        <f t="shared" ref="R6:R16" si="8">IFERROR(P6-O6,"-")</f>
        <v>0</v>
      </c>
      <c r="S6" s="276">
        <f t="shared" ref="S6:S16" si="9">IFERROR(P6/O6,"-")</f>
        <v>1</v>
      </c>
      <c r="T6" s="275">
        <f>Лист1!Z7+Лист1!Z9</f>
        <v>1172.9000000000001</v>
      </c>
      <c r="U6" s="275">
        <f>Лист1!AB7+Лист1!AB9</f>
        <v>1172.9000000000001</v>
      </c>
      <c r="V6" s="275">
        <f>Лист1!AD7+Лист1!AD9</f>
        <v>852.21490500000004</v>
      </c>
      <c r="W6" s="275">
        <f t="shared" ref="W6:W16" si="10">IFERROR(U6-T6,"-")</f>
        <v>0</v>
      </c>
      <c r="X6" s="276">
        <f t="shared" ref="X6:X16" si="11">IFERROR(U6/T6,"-")</f>
        <v>1</v>
      </c>
      <c r="Y6" s="275">
        <f>Лист1!AH7+Лист1!AH9</f>
        <v>1059.5</v>
      </c>
      <c r="Z6" s="275">
        <f>Лист1!AJ7+Лист1!AJ9</f>
        <v>1059.5</v>
      </c>
      <c r="AA6" s="275">
        <f>Лист1!AL7+Лист1!AL9</f>
        <v>663.76837399999999</v>
      </c>
      <c r="AB6" s="275">
        <f t="shared" ref="AB6:AB16" si="12">IFERROR(Z6-Y6,"-")</f>
        <v>0</v>
      </c>
      <c r="AC6" s="276">
        <f t="shared" ref="AC6:AC16" si="13">IFERROR(Z6/Y6,"-")</f>
        <v>1</v>
      </c>
      <c r="AD6" s="275">
        <f>Лист1!AP7+Лист1!AP9</f>
        <v>1173</v>
      </c>
      <c r="AE6" s="275">
        <f>Лист1!AR7+Лист1!AR9</f>
        <v>1173</v>
      </c>
      <c r="AF6" s="275">
        <f>Лист1!AT7+Лист1!AT9</f>
        <v>847.605503</v>
      </c>
      <c r="AG6" s="275">
        <f t="shared" ref="AG6:AG16" si="14">IFERROR(AE6-AD6,"-")</f>
        <v>0</v>
      </c>
      <c r="AH6" s="276">
        <f t="shared" ref="AH6:AH16" si="15">IFERROR(AE6/AD6,"-")</f>
        <v>1</v>
      </c>
      <c r="AI6" s="275">
        <f t="shared" ref="AI6:AI16" si="16">AN6+AS6+AX6</f>
        <v>2597.3999999999996</v>
      </c>
      <c r="AJ6" s="275">
        <f t="shared" ref="AJ6:AJ16" si="17">AO6+AT6+AY6</f>
        <v>2597.3999999999996</v>
      </c>
      <c r="AK6" s="275">
        <f t="shared" ref="AK6:AK16" si="18">AP6+AU6+AZ6</f>
        <v>1361.97992</v>
      </c>
      <c r="AL6" s="275">
        <f t="shared" ref="AL6:AL16" si="19">IFERROR(AJ6-AI6,"-")</f>
        <v>0</v>
      </c>
      <c r="AM6" s="276">
        <f t="shared" ref="AM6:AM16" si="20">IFERROR(AJ6/AI6,"-")</f>
        <v>1</v>
      </c>
      <c r="AN6" s="275">
        <f>Лист1!BF7+Лист1!BF9</f>
        <v>1135.2</v>
      </c>
      <c r="AO6" s="275">
        <f>Лист1!BH7+Лист1!BH9</f>
        <v>1135.2</v>
      </c>
      <c r="AP6" s="275">
        <f>Лист1!BJ7+Лист1!BJ9</f>
        <v>807.964788</v>
      </c>
      <c r="AQ6" s="275">
        <f t="shared" ref="AQ6:AQ16" si="21">IFERROR(AO6-AN6,"-")</f>
        <v>0</v>
      </c>
      <c r="AR6" s="276">
        <f t="shared" ref="AR6:AR16" si="22">IFERROR(AO6/AN6,"-")</f>
        <v>1</v>
      </c>
      <c r="AS6" s="275">
        <f>Лист1!BN7+Лист1!BN9</f>
        <v>806.4</v>
      </c>
      <c r="AT6" s="275">
        <f>Лист1!BP7+Лист1!BP9</f>
        <v>806.4</v>
      </c>
      <c r="AU6" s="275">
        <f>Лист1!BR7+Лист1!BR9</f>
        <v>328.21300000000002</v>
      </c>
      <c r="AV6" s="275">
        <f t="shared" ref="AV6:AV16" si="23">IFERROR(AT6-AS6,"-")</f>
        <v>0</v>
      </c>
      <c r="AW6" s="276">
        <f t="shared" ref="AW6:AW16" si="24">IFERROR(AT6/AS6,"-")</f>
        <v>1</v>
      </c>
      <c r="AX6" s="275">
        <f>Лист1!BV7+Лист1!BV9</f>
        <v>655.8</v>
      </c>
      <c r="AY6" s="275">
        <f>Лист1!BX7+Лист1!BX9</f>
        <v>655.8</v>
      </c>
      <c r="AZ6" s="275">
        <f>Лист1!BZ7+Лист1!BZ9</f>
        <v>225.802132</v>
      </c>
      <c r="BA6" s="275">
        <f t="shared" ref="BA6:BA16" si="25">IFERROR(AY6-AX6,"-")</f>
        <v>0</v>
      </c>
      <c r="BB6" s="276">
        <f t="shared" ref="BB6:BB16" si="26">IFERROR(AY6/AX6,"-")</f>
        <v>1</v>
      </c>
      <c r="BC6" s="275">
        <f t="shared" ref="BC6:BC16" si="27">BH6+BM6+BR6</f>
        <v>3706</v>
      </c>
      <c r="BD6" s="275">
        <f t="shared" ref="BD6:BD16" si="28">BI6+BN6+BS6</f>
        <v>3706</v>
      </c>
      <c r="BE6" s="275">
        <f t="shared" ref="BE6:BE16" si="29">BJ6+BO6+BT6</f>
        <v>0</v>
      </c>
      <c r="BF6" s="275">
        <f t="shared" ref="BF6:BF16" si="30">IFERROR(BD6-BC6,"-")</f>
        <v>0</v>
      </c>
      <c r="BG6" s="276">
        <f t="shared" ref="BG6:BG16" si="31">IFERROR(BD6/BC6,"-")</f>
        <v>1</v>
      </c>
      <c r="BH6" s="275">
        <f>Лист1!CL7+Лист1!CL9</f>
        <v>1219.5999999999999</v>
      </c>
      <c r="BI6" s="275">
        <f>Лист1!CN7+Лист1!CN9</f>
        <v>1219.5999999999999</v>
      </c>
      <c r="BJ6" s="275">
        <f>Лист1!CP7+Лист1!CP9</f>
        <v>0</v>
      </c>
      <c r="BK6" s="275">
        <f t="shared" ref="BK6:BK16" si="32">IFERROR(BI6-BH6,"-")</f>
        <v>0</v>
      </c>
      <c r="BL6" s="276">
        <f t="shared" ref="BL6:BL16" si="33">IFERROR(BI6/BH6,"-")</f>
        <v>1</v>
      </c>
      <c r="BM6" s="275">
        <f>Лист1!CT7+Лист1!CT9</f>
        <v>1225.0999999999999</v>
      </c>
      <c r="BN6" s="275">
        <f>Лист1!CV7+Лист1!CV9</f>
        <v>1225.0999999999999</v>
      </c>
      <c r="BO6" s="275">
        <f>Лист1!CX7+Лист1!CX9</f>
        <v>0</v>
      </c>
      <c r="BP6" s="275">
        <f t="shared" ref="BP6:BP16" si="34">IFERROR(BN6-BM6,"-")</f>
        <v>0</v>
      </c>
      <c r="BQ6" s="276">
        <f t="shared" ref="BQ6:BQ16" si="35">IFERROR(BN6/BM6,"-")</f>
        <v>1</v>
      </c>
      <c r="BR6" s="275">
        <f>Лист1!DB7+Лист1!DB9</f>
        <v>1261.3</v>
      </c>
      <c r="BS6" s="275">
        <f>Лист1!DD7+Лист1!DD9</f>
        <v>1261.3</v>
      </c>
      <c r="BT6" s="275">
        <f>Лист1!DF7+Лист1!DF9</f>
        <v>0</v>
      </c>
      <c r="BU6" s="275">
        <f t="shared" ref="BU6:BU16" si="36">IFERROR(BS6-BR6,"-")</f>
        <v>0</v>
      </c>
      <c r="BV6" s="276">
        <f t="shared" ref="BV6:BV16" si="37">IFERROR(BS6/BR6,"-")</f>
        <v>1</v>
      </c>
      <c r="BW6" s="275">
        <f t="shared" ref="BW6:BW16" si="38">CB6+CG6+CL6</f>
        <v>3865.3999999999996</v>
      </c>
      <c r="BX6" s="275">
        <f t="shared" ref="BX6:BX16" si="39">CC6+CH6+CM6</f>
        <v>3865.3999999999996</v>
      </c>
      <c r="BY6" s="275">
        <f t="shared" ref="BY6:BY16" si="40">CD6+CI6+CN6</f>
        <v>0</v>
      </c>
      <c r="BZ6" s="275">
        <f t="shared" ref="BZ6:BZ16" si="41">IFERROR(BX6-BW6,"-")</f>
        <v>0</v>
      </c>
      <c r="CA6" s="276">
        <f t="shared" ref="CA6:CA16" si="42">IFERROR(BX6/BW6,"-")</f>
        <v>1</v>
      </c>
      <c r="CB6" s="275">
        <f>Лист1!DR7+Лист1!DR9</f>
        <v>1303.3</v>
      </c>
      <c r="CC6" s="275">
        <f>Лист1!DT7+Лист1!DT9</f>
        <v>1303.3</v>
      </c>
      <c r="CD6" s="275">
        <f>Лист1!DV7+Лист1!DV9</f>
        <v>0</v>
      </c>
      <c r="CE6" s="275">
        <f t="shared" ref="CE6:CE16" si="43">IFERROR(CC6-CB6,"-")</f>
        <v>0</v>
      </c>
      <c r="CF6" s="276">
        <f t="shared" ref="CF6:CF16" si="44">IFERROR(CC6/CB6,"-")</f>
        <v>1</v>
      </c>
      <c r="CG6" s="275">
        <f>Лист1!DZ7+Лист1!DZ9</f>
        <v>1261.3</v>
      </c>
      <c r="CH6" s="275">
        <f>Лист1!EB7+Лист1!EB9</f>
        <v>1261.3</v>
      </c>
      <c r="CI6" s="275">
        <f>Лист1!ED7+Лист1!ED9</f>
        <v>0</v>
      </c>
      <c r="CJ6" s="275">
        <f t="shared" ref="CJ6:CJ16" si="45">IFERROR(CH6-CG6,"-")</f>
        <v>0</v>
      </c>
      <c r="CK6" s="276">
        <f t="shared" ref="CK6:CK16" si="46">IFERROR(CH6/CG6,"-")</f>
        <v>1</v>
      </c>
      <c r="CL6" s="275">
        <f>Лист1!EH7+Лист1!EH9</f>
        <v>1300.8</v>
      </c>
      <c r="CM6" s="275">
        <f>Лист1!EJ7+Лист1!EJ9</f>
        <v>1300.8</v>
      </c>
      <c r="CN6" s="275">
        <f>Лист1!EL7+Лист1!EL9</f>
        <v>0</v>
      </c>
      <c r="CO6" s="275">
        <f t="shared" ref="CO6:CO16" si="47">IFERROR(CM6-CL6,"-")</f>
        <v>0</v>
      </c>
      <c r="CP6" s="276">
        <f t="shared" ref="CP6:CP16" si="48">IFERROR(CM6/CL6,"-")</f>
        <v>1</v>
      </c>
    </row>
    <row r="7" spans="2:94" ht="18.75" x14ac:dyDescent="0.3">
      <c r="C7" s="234"/>
      <c r="D7" s="234"/>
      <c r="E7" s="235">
        <v>1</v>
      </c>
      <c r="F7" s="232"/>
      <c r="G7" s="231"/>
      <c r="H7" s="242"/>
      <c r="J7" s="275">
        <f t="shared" si="0"/>
        <v>111.99</v>
      </c>
      <c r="K7" s="275">
        <f t="shared" si="1"/>
        <v>0</v>
      </c>
      <c r="L7" s="275">
        <f t="shared" si="2"/>
        <v>0</v>
      </c>
      <c r="M7" s="275">
        <f t="shared" si="3"/>
        <v>-111.99</v>
      </c>
      <c r="N7" s="276">
        <f t="shared" si="4"/>
        <v>0</v>
      </c>
      <c r="O7" s="275">
        <f t="shared" si="5"/>
        <v>111.99</v>
      </c>
      <c r="P7" s="275">
        <f t="shared" si="6"/>
        <v>0</v>
      </c>
      <c r="Q7" s="275">
        <f t="shared" si="7"/>
        <v>0</v>
      </c>
      <c r="R7" s="275">
        <f t="shared" si="8"/>
        <v>-111.99</v>
      </c>
      <c r="S7" s="276">
        <f t="shared" si="9"/>
        <v>0</v>
      </c>
      <c r="T7" s="277">
        <v>111.99</v>
      </c>
      <c r="U7" s="277"/>
      <c r="V7" s="277"/>
      <c r="W7" s="275">
        <f t="shared" si="10"/>
        <v>-111.99</v>
      </c>
      <c r="X7" s="276">
        <f t="shared" si="11"/>
        <v>0</v>
      </c>
      <c r="Y7" s="277"/>
      <c r="Z7" s="277"/>
      <c r="AA7" s="277"/>
      <c r="AB7" s="275">
        <f t="shared" si="12"/>
        <v>0</v>
      </c>
      <c r="AC7" s="276" t="str">
        <f t="shared" si="13"/>
        <v>-</v>
      </c>
      <c r="AD7" s="277"/>
      <c r="AE7" s="277"/>
      <c r="AF7" s="277"/>
      <c r="AG7" s="275">
        <f t="shared" si="14"/>
        <v>0</v>
      </c>
      <c r="AH7" s="276" t="str">
        <f t="shared" si="15"/>
        <v>-</v>
      </c>
      <c r="AI7" s="275">
        <f t="shared" si="16"/>
        <v>0</v>
      </c>
      <c r="AJ7" s="275">
        <f t="shared" si="17"/>
        <v>0</v>
      </c>
      <c r="AK7" s="275">
        <f t="shared" si="18"/>
        <v>0</v>
      </c>
      <c r="AL7" s="275">
        <f t="shared" si="19"/>
        <v>0</v>
      </c>
      <c r="AM7" s="276" t="str">
        <f t="shared" si="20"/>
        <v>-</v>
      </c>
      <c r="AN7" s="277"/>
      <c r="AO7" s="277"/>
      <c r="AP7" s="277"/>
      <c r="AQ7" s="275">
        <f t="shared" si="21"/>
        <v>0</v>
      </c>
      <c r="AR7" s="276" t="str">
        <f t="shared" si="22"/>
        <v>-</v>
      </c>
      <c r="AS7" s="277"/>
      <c r="AT7" s="277"/>
      <c r="AU7" s="277"/>
      <c r="AV7" s="275">
        <f t="shared" si="23"/>
        <v>0</v>
      </c>
      <c r="AW7" s="276" t="str">
        <f t="shared" si="24"/>
        <v>-</v>
      </c>
      <c r="AX7" s="277"/>
      <c r="AY7" s="277"/>
      <c r="AZ7" s="277"/>
      <c r="BA7" s="275">
        <f t="shared" si="25"/>
        <v>0</v>
      </c>
      <c r="BB7" s="276" t="str">
        <f t="shared" si="26"/>
        <v>-</v>
      </c>
      <c r="BC7" s="275">
        <f t="shared" si="27"/>
        <v>0</v>
      </c>
      <c r="BD7" s="275">
        <f t="shared" si="28"/>
        <v>0</v>
      </c>
      <c r="BE7" s="275">
        <f t="shared" si="29"/>
        <v>0</v>
      </c>
      <c r="BF7" s="275">
        <f t="shared" si="30"/>
        <v>0</v>
      </c>
      <c r="BG7" s="276" t="str">
        <f t="shared" si="31"/>
        <v>-</v>
      </c>
      <c r="BH7" s="277"/>
      <c r="BI7" s="277"/>
      <c r="BJ7" s="277"/>
      <c r="BK7" s="275">
        <f t="shared" si="32"/>
        <v>0</v>
      </c>
      <c r="BL7" s="276" t="str">
        <f t="shared" si="33"/>
        <v>-</v>
      </c>
      <c r="BM7" s="277"/>
      <c r="BN7" s="277"/>
      <c r="BO7" s="277"/>
      <c r="BP7" s="275">
        <f t="shared" si="34"/>
        <v>0</v>
      </c>
      <c r="BQ7" s="276" t="str">
        <f t="shared" si="35"/>
        <v>-</v>
      </c>
      <c r="BR7" s="277"/>
      <c r="BS7" s="277"/>
      <c r="BT7" s="277"/>
      <c r="BU7" s="275">
        <f t="shared" si="36"/>
        <v>0</v>
      </c>
      <c r="BV7" s="276" t="str">
        <f t="shared" si="37"/>
        <v>-</v>
      </c>
      <c r="BW7" s="275">
        <f t="shared" si="38"/>
        <v>0</v>
      </c>
      <c r="BX7" s="275">
        <f t="shared" si="39"/>
        <v>0</v>
      </c>
      <c r="BY7" s="275">
        <f t="shared" si="40"/>
        <v>0</v>
      </c>
      <c r="BZ7" s="275">
        <f t="shared" si="41"/>
        <v>0</v>
      </c>
      <c r="CA7" s="276" t="str">
        <f t="shared" si="42"/>
        <v>-</v>
      </c>
      <c r="CB7" s="277"/>
      <c r="CC7" s="277"/>
      <c r="CD7" s="277"/>
      <c r="CE7" s="275">
        <f t="shared" si="43"/>
        <v>0</v>
      </c>
      <c r="CF7" s="276" t="str">
        <f t="shared" si="44"/>
        <v>-</v>
      </c>
      <c r="CG7" s="277"/>
      <c r="CH7" s="277"/>
      <c r="CI7" s="277"/>
      <c r="CJ7" s="275">
        <f t="shared" si="45"/>
        <v>0</v>
      </c>
      <c r="CK7" s="276" t="str">
        <f t="shared" si="46"/>
        <v>-</v>
      </c>
      <c r="CL7" s="277"/>
      <c r="CM7" s="277"/>
      <c r="CN7" s="277"/>
      <c r="CO7" s="275">
        <f t="shared" si="47"/>
        <v>0</v>
      </c>
      <c r="CP7" s="276" t="str">
        <f t="shared" si="48"/>
        <v>-</v>
      </c>
    </row>
    <row r="8" spans="2:94" ht="18.75" x14ac:dyDescent="0.3">
      <c r="C8" s="234"/>
      <c r="D8" s="234"/>
      <c r="E8" s="235">
        <v>2</v>
      </c>
      <c r="F8" s="232"/>
      <c r="G8" s="231"/>
      <c r="H8" s="242"/>
      <c r="J8" s="275">
        <f t="shared" si="0"/>
        <v>159.44</v>
      </c>
      <c r="K8" s="275">
        <f t="shared" si="1"/>
        <v>0</v>
      </c>
      <c r="L8" s="275">
        <f t="shared" si="2"/>
        <v>0</v>
      </c>
      <c r="M8" s="275">
        <f t="shared" si="3"/>
        <v>-159.44</v>
      </c>
      <c r="N8" s="276">
        <f t="shared" si="4"/>
        <v>0</v>
      </c>
      <c r="O8" s="275">
        <f t="shared" si="5"/>
        <v>159.44</v>
      </c>
      <c r="P8" s="275">
        <f t="shared" si="6"/>
        <v>0</v>
      </c>
      <c r="Q8" s="275">
        <f t="shared" si="7"/>
        <v>0</v>
      </c>
      <c r="R8" s="275">
        <f t="shared" si="8"/>
        <v>-159.44</v>
      </c>
      <c r="S8" s="276">
        <f t="shared" si="9"/>
        <v>0</v>
      </c>
      <c r="T8" s="277">
        <v>159.44</v>
      </c>
      <c r="U8" s="277"/>
      <c r="V8" s="277"/>
      <c r="W8" s="275">
        <f t="shared" si="10"/>
        <v>-159.44</v>
      </c>
      <c r="X8" s="276">
        <f t="shared" si="11"/>
        <v>0</v>
      </c>
      <c r="Y8" s="277"/>
      <c r="Z8" s="277"/>
      <c r="AA8" s="277"/>
      <c r="AB8" s="275">
        <f t="shared" si="12"/>
        <v>0</v>
      </c>
      <c r="AC8" s="276" t="str">
        <f t="shared" si="13"/>
        <v>-</v>
      </c>
      <c r="AD8" s="277"/>
      <c r="AE8" s="277"/>
      <c r="AF8" s="277"/>
      <c r="AG8" s="275">
        <f t="shared" si="14"/>
        <v>0</v>
      </c>
      <c r="AH8" s="276" t="str">
        <f t="shared" si="15"/>
        <v>-</v>
      </c>
      <c r="AI8" s="275">
        <f t="shared" si="16"/>
        <v>0</v>
      </c>
      <c r="AJ8" s="275">
        <f t="shared" si="17"/>
        <v>0</v>
      </c>
      <c r="AK8" s="275">
        <f t="shared" si="18"/>
        <v>0</v>
      </c>
      <c r="AL8" s="275">
        <f t="shared" si="19"/>
        <v>0</v>
      </c>
      <c r="AM8" s="276" t="str">
        <f t="shared" si="20"/>
        <v>-</v>
      </c>
      <c r="AN8" s="277"/>
      <c r="AO8" s="277"/>
      <c r="AP8" s="277"/>
      <c r="AQ8" s="275">
        <f t="shared" si="21"/>
        <v>0</v>
      </c>
      <c r="AR8" s="276" t="str">
        <f t="shared" si="22"/>
        <v>-</v>
      </c>
      <c r="AS8" s="277"/>
      <c r="AT8" s="277"/>
      <c r="AU8" s="277"/>
      <c r="AV8" s="275">
        <f t="shared" si="23"/>
        <v>0</v>
      </c>
      <c r="AW8" s="276" t="str">
        <f t="shared" si="24"/>
        <v>-</v>
      </c>
      <c r="AX8" s="277"/>
      <c r="AY8" s="277"/>
      <c r="AZ8" s="277"/>
      <c r="BA8" s="275">
        <f t="shared" si="25"/>
        <v>0</v>
      </c>
      <c r="BB8" s="276" t="str">
        <f t="shared" si="26"/>
        <v>-</v>
      </c>
      <c r="BC8" s="275">
        <f t="shared" si="27"/>
        <v>0</v>
      </c>
      <c r="BD8" s="275">
        <f t="shared" si="28"/>
        <v>0</v>
      </c>
      <c r="BE8" s="275">
        <f t="shared" si="29"/>
        <v>0</v>
      </c>
      <c r="BF8" s="275">
        <f t="shared" si="30"/>
        <v>0</v>
      </c>
      <c r="BG8" s="276" t="str">
        <f t="shared" si="31"/>
        <v>-</v>
      </c>
      <c r="BH8" s="277"/>
      <c r="BI8" s="277"/>
      <c r="BJ8" s="277"/>
      <c r="BK8" s="275">
        <f t="shared" si="32"/>
        <v>0</v>
      </c>
      <c r="BL8" s="276" t="str">
        <f t="shared" si="33"/>
        <v>-</v>
      </c>
      <c r="BM8" s="277"/>
      <c r="BN8" s="277"/>
      <c r="BO8" s="277"/>
      <c r="BP8" s="275">
        <f t="shared" si="34"/>
        <v>0</v>
      </c>
      <c r="BQ8" s="276" t="str">
        <f t="shared" si="35"/>
        <v>-</v>
      </c>
      <c r="BR8" s="277"/>
      <c r="BS8" s="277"/>
      <c r="BT8" s="277"/>
      <c r="BU8" s="275">
        <f t="shared" si="36"/>
        <v>0</v>
      </c>
      <c r="BV8" s="276" t="str">
        <f t="shared" si="37"/>
        <v>-</v>
      </c>
      <c r="BW8" s="275">
        <f t="shared" si="38"/>
        <v>0</v>
      </c>
      <c r="BX8" s="275">
        <f t="shared" si="39"/>
        <v>0</v>
      </c>
      <c r="BY8" s="275">
        <f t="shared" si="40"/>
        <v>0</v>
      </c>
      <c r="BZ8" s="275">
        <f t="shared" si="41"/>
        <v>0</v>
      </c>
      <c r="CA8" s="276" t="str">
        <f t="shared" si="42"/>
        <v>-</v>
      </c>
      <c r="CB8" s="277"/>
      <c r="CC8" s="277"/>
      <c r="CD8" s="277"/>
      <c r="CE8" s="275">
        <f t="shared" si="43"/>
        <v>0</v>
      </c>
      <c r="CF8" s="276" t="str">
        <f t="shared" si="44"/>
        <v>-</v>
      </c>
      <c r="CG8" s="277"/>
      <c r="CH8" s="277"/>
      <c r="CI8" s="277"/>
      <c r="CJ8" s="275">
        <f t="shared" si="45"/>
        <v>0</v>
      </c>
      <c r="CK8" s="276" t="str">
        <f t="shared" si="46"/>
        <v>-</v>
      </c>
      <c r="CL8" s="277"/>
      <c r="CM8" s="277"/>
      <c r="CN8" s="277"/>
      <c r="CO8" s="275">
        <f t="shared" si="47"/>
        <v>0</v>
      </c>
      <c r="CP8" s="276" t="str">
        <f t="shared" si="48"/>
        <v>-</v>
      </c>
    </row>
    <row r="9" spans="2:94" ht="18.75" x14ac:dyDescent="0.3">
      <c r="C9" s="234"/>
      <c r="D9" s="234"/>
      <c r="E9" s="235"/>
      <c r="F9" s="232" t="e">
        <f>F10+F11+1000</f>
        <v>#VALUE!</v>
      </c>
      <c r="G9" s="231"/>
      <c r="H9" s="242"/>
      <c r="J9" s="275">
        <f t="shared" si="0"/>
        <v>22328.7</v>
      </c>
      <c r="K9" s="275">
        <f t="shared" si="1"/>
        <v>22328.7</v>
      </c>
      <c r="L9" s="275">
        <f t="shared" si="2"/>
        <v>14830.981</v>
      </c>
      <c r="M9" s="275">
        <f t="shared" si="3"/>
        <v>0</v>
      </c>
      <c r="N9" s="276">
        <f t="shared" si="4"/>
        <v>1</v>
      </c>
      <c r="O9" s="275">
        <f t="shared" si="5"/>
        <v>5591.2</v>
      </c>
      <c r="P9" s="275">
        <f t="shared" si="6"/>
        <v>5591.2</v>
      </c>
      <c r="Q9" s="275">
        <f t="shared" si="7"/>
        <v>4796.7160000000003</v>
      </c>
      <c r="R9" s="275">
        <f t="shared" si="8"/>
        <v>0</v>
      </c>
      <c r="S9" s="276">
        <f t="shared" si="9"/>
        <v>1</v>
      </c>
      <c r="T9" s="275">
        <f>T10+T11+1000</f>
        <v>1892.5</v>
      </c>
      <c r="U9" s="275">
        <f>U10+U11+1000</f>
        <v>1892.5</v>
      </c>
      <c r="V9" s="275">
        <f>V10+V11+1000</f>
        <v>1648.2190000000001</v>
      </c>
      <c r="W9" s="275">
        <f t="shared" si="10"/>
        <v>0</v>
      </c>
      <c r="X9" s="276">
        <f t="shared" si="11"/>
        <v>1</v>
      </c>
      <c r="Y9" s="275">
        <f>Y10+Y11+1000</f>
        <v>1806.2</v>
      </c>
      <c r="Z9" s="275">
        <f>Z10+Z11+1000</f>
        <v>1806.2</v>
      </c>
      <c r="AA9" s="275">
        <f>AA10+AA11+1000</f>
        <v>1504.768</v>
      </c>
      <c r="AB9" s="275">
        <f t="shared" si="12"/>
        <v>0</v>
      </c>
      <c r="AC9" s="276">
        <f t="shared" si="13"/>
        <v>1</v>
      </c>
      <c r="AD9" s="275">
        <f>AD10+AD11+1000</f>
        <v>1892.5</v>
      </c>
      <c r="AE9" s="275">
        <f>AE10+AE11+1000</f>
        <v>1892.5</v>
      </c>
      <c r="AF9" s="275">
        <f>AF10+AF11+1000</f>
        <v>1643.7289999999998</v>
      </c>
      <c r="AG9" s="275">
        <f t="shared" si="14"/>
        <v>0</v>
      </c>
      <c r="AH9" s="276">
        <f t="shared" si="15"/>
        <v>1</v>
      </c>
      <c r="AI9" s="275">
        <f t="shared" si="16"/>
        <v>4976.3</v>
      </c>
      <c r="AJ9" s="275">
        <f t="shared" si="17"/>
        <v>4976.3</v>
      </c>
      <c r="AK9" s="275">
        <f t="shared" si="18"/>
        <v>4034.2649999999999</v>
      </c>
      <c r="AL9" s="275">
        <f t="shared" si="19"/>
        <v>0</v>
      </c>
      <c r="AM9" s="276">
        <f t="shared" si="20"/>
        <v>1</v>
      </c>
      <c r="AN9" s="275">
        <f>AN10+AN11+1000</f>
        <v>1863.8000000000002</v>
      </c>
      <c r="AO9" s="275">
        <f>AO10+AO11+1000</f>
        <v>1863.8000000000002</v>
      </c>
      <c r="AP9" s="275">
        <f>AP10+AP11+1000</f>
        <v>1612.9590000000001</v>
      </c>
      <c r="AQ9" s="275">
        <f t="shared" si="21"/>
        <v>0</v>
      </c>
      <c r="AR9" s="276">
        <f t="shared" si="22"/>
        <v>1</v>
      </c>
      <c r="AS9" s="275">
        <f>AS10+AS11+1000</f>
        <v>1613.6</v>
      </c>
      <c r="AT9" s="275">
        <f>AT10+AT11+1000</f>
        <v>1613.6</v>
      </c>
      <c r="AU9" s="275">
        <f>AU10+AU11+1000</f>
        <v>1249.5140000000001</v>
      </c>
      <c r="AV9" s="275">
        <f t="shared" si="23"/>
        <v>0</v>
      </c>
      <c r="AW9" s="276">
        <f t="shared" si="24"/>
        <v>1</v>
      </c>
      <c r="AX9" s="275">
        <f>AX10+AX11+1000</f>
        <v>1498.9</v>
      </c>
      <c r="AY9" s="275">
        <f>AY10+AY11+1000</f>
        <v>1498.9</v>
      </c>
      <c r="AZ9" s="275">
        <f>AZ10+AZ11+1000</f>
        <v>1171.7919999999999</v>
      </c>
      <c r="BA9" s="275">
        <f t="shared" si="25"/>
        <v>0</v>
      </c>
      <c r="BB9" s="276">
        <f t="shared" si="26"/>
        <v>1</v>
      </c>
      <c r="BC9" s="275">
        <f t="shared" si="27"/>
        <v>5819.9</v>
      </c>
      <c r="BD9" s="275">
        <f t="shared" si="28"/>
        <v>5819.9</v>
      </c>
      <c r="BE9" s="275">
        <f t="shared" si="29"/>
        <v>3000</v>
      </c>
      <c r="BF9" s="275">
        <f t="shared" si="30"/>
        <v>0</v>
      </c>
      <c r="BG9" s="276">
        <f t="shared" si="31"/>
        <v>1</v>
      </c>
      <c r="BH9" s="275">
        <f>BH10+BH11+1000</f>
        <v>1928</v>
      </c>
      <c r="BI9" s="275">
        <f>BI10+BI11+1000</f>
        <v>1928</v>
      </c>
      <c r="BJ9" s="275">
        <f>BJ10+BJ11+1000</f>
        <v>1000</v>
      </c>
      <c r="BK9" s="275">
        <f t="shared" si="32"/>
        <v>0</v>
      </c>
      <c r="BL9" s="276">
        <f t="shared" si="33"/>
        <v>1</v>
      </c>
      <c r="BM9" s="275">
        <f>BM10+BM11+1000</f>
        <v>1932.2</v>
      </c>
      <c r="BN9" s="275">
        <f>BN10+BN11+1000</f>
        <v>1932.2</v>
      </c>
      <c r="BO9" s="275">
        <f>BO10+BO11+1000</f>
        <v>1000</v>
      </c>
      <c r="BP9" s="275">
        <f t="shared" si="34"/>
        <v>0</v>
      </c>
      <c r="BQ9" s="276">
        <f t="shared" si="35"/>
        <v>1</v>
      </c>
      <c r="BR9" s="275">
        <f>BR10+BR11+1000</f>
        <v>1959.6999999999998</v>
      </c>
      <c r="BS9" s="275">
        <f>BS10+BS11+1000</f>
        <v>1959.6999999999998</v>
      </c>
      <c r="BT9" s="275">
        <f>BT10+BT11+1000</f>
        <v>1000</v>
      </c>
      <c r="BU9" s="275">
        <f t="shared" si="36"/>
        <v>0</v>
      </c>
      <c r="BV9" s="276">
        <f t="shared" si="37"/>
        <v>1</v>
      </c>
      <c r="BW9" s="275">
        <f t="shared" si="38"/>
        <v>5941.2999999999993</v>
      </c>
      <c r="BX9" s="275">
        <f t="shared" si="39"/>
        <v>5941.2999999999993</v>
      </c>
      <c r="BY9" s="275">
        <f t="shared" si="40"/>
        <v>3000</v>
      </c>
      <c r="BZ9" s="275">
        <f t="shared" si="41"/>
        <v>0</v>
      </c>
      <c r="CA9" s="276">
        <f t="shared" si="42"/>
        <v>1</v>
      </c>
      <c r="CB9" s="275">
        <f>CB10+CB11+1000</f>
        <v>1991.6999999999998</v>
      </c>
      <c r="CC9" s="275">
        <f>CC10+CC11+1000</f>
        <v>1991.6999999999998</v>
      </c>
      <c r="CD9" s="275">
        <f>CD10+CD11+1000</f>
        <v>1000</v>
      </c>
      <c r="CE9" s="275">
        <f t="shared" si="43"/>
        <v>0</v>
      </c>
      <c r="CF9" s="276">
        <f t="shared" si="44"/>
        <v>1</v>
      </c>
      <c r="CG9" s="275">
        <f>CG10+CG11+1000</f>
        <v>1959.6999999999998</v>
      </c>
      <c r="CH9" s="275">
        <f>CH10+CH11+1000</f>
        <v>1959.6999999999998</v>
      </c>
      <c r="CI9" s="275">
        <f>CI10+CI11+1000</f>
        <v>1000</v>
      </c>
      <c r="CJ9" s="275">
        <f t="shared" si="45"/>
        <v>0</v>
      </c>
      <c r="CK9" s="276">
        <f t="shared" si="46"/>
        <v>1</v>
      </c>
      <c r="CL9" s="275">
        <f>CL10+CL11+1000</f>
        <v>1989.9</v>
      </c>
      <c r="CM9" s="275">
        <f>CM10+CM11+1000</f>
        <v>1989.9</v>
      </c>
      <c r="CN9" s="275">
        <f>CN10+CN11+1000</f>
        <v>1000</v>
      </c>
      <c r="CO9" s="275">
        <f t="shared" si="47"/>
        <v>0</v>
      </c>
      <c r="CP9" s="276">
        <f t="shared" si="48"/>
        <v>1</v>
      </c>
    </row>
    <row r="10" spans="2:94" ht="18.75" x14ac:dyDescent="0.3">
      <c r="C10" s="234"/>
      <c r="D10" s="234"/>
      <c r="E10" s="235"/>
      <c r="F10" s="232" t="s">
        <v>1510</v>
      </c>
      <c r="G10" s="231"/>
      <c r="H10" s="242"/>
      <c r="J10" s="275">
        <f t="shared" si="0"/>
        <v>13.6</v>
      </c>
      <c r="K10" s="275">
        <f t="shared" si="1"/>
        <v>13.6</v>
      </c>
      <c r="L10" s="275">
        <f t="shared" si="2"/>
        <v>3.7210000000000001</v>
      </c>
      <c r="M10" s="275">
        <f t="shared" si="3"/>
        <v>0</v>
      </c>
      <c r="N10" s="276">
        <f t="shared" si="4"/>
        <v>1</v>
      </c>
      <c r="O10" s="275">
        <f t="shared" si="5"/>
        <v>3.4</v>
      </c>
      <c r="P10" s="275">
        <f t="shared" si="6"/>
        <v>3.4</v>
      </c>
      <c r="Q10" s="275">
        <f t="shared" si="7"/>
        <v>2.3620000000000001</v>
      </c>
      <c r="R10" s="275">
        <f t="shared" si="8"/>
        <v>0</v>
      </c>
      <c r="S10" s="276">
        <f t="shared" si="9"/>
        <v>1</v>
      </c>
      <c r="T10" s="275">
        <f>Лист1!Z11</f>
        <v>1.2</v>
      </c>
      <c r="U10" s="275">
        <f>Лист1!AB11</f>
        <v>1.2</v>
      </c>
      <c r="V10" s="275">
        <f>Лист1!AD11</f>
        <v>0.85199999999999998</v>
      </c>
      <c r="W10" s="275">
        <f t="shared" si="10"/>
        <v>0</v>
      </c>
      <c r="X10" s="276">
        <f t="shared" si="11"/>
        <v>1</v>
      </c>
      <c r="Y10" s="275">
        <f>Лист1!AH11</f>
        <v>1.1000000000000001</v>
      </c>
      <c r="Z10" s="275">
        <f>Лист1!AJ11</f>
        <v>1.1000000000000001</v>
      </c>
      <c r="AA10" s="275">
        <f>Лист1!AL11</f>
        <v>0.66300000000000003</v>
      </c>
      <c r="AB10" s="275">
        <f t="shared" si="12"/>
        <v>0</v>
      </c>
      <c r="AC10" s="276">
        <f t="shared" si="13"/>
        <v>1</v>
      </c>
      <c r="AD10" s="275">
        <f>Лист1!AP11</f>
        <v>1.1000000000000001</v>
      </c>
      <c r="AE10" s="275">
        <f>Лист1!AR11</f>
        <v>1.1000000000000001</v>
      </c>
      <c r="AF10" s="275">
        <f>Лист1!AT11</f>
        <v>0.84699999999999998</v>
      </c>
      <c r="AG10" s="275">
        <f t="shared" si="14"/>
        <v>0</v>
      </c>
      <c r="AH10" s="276">
        <f t="shared" si="15"/>
        <v>1</v>
      </c>
      <c r="AI10" s="275">
        <f t="shared" si="16"/>
        <v>2.6</v>
      </c>
      <c r="AJ10" s="275">
        <f t="shared" si="17"/>
        <v>2.6</v>
      </c>
      <c r="AK10" s="275">
        <f t="shared" si="18"/>
        <v>1.3590000000000002</v>
      </c>
      <c r="AL10" s="275">
        <f t="shared" si="19"/>
        <v>0</v>
      </c>
      <c r="AM10" s="276">
        <f t="shared" si="20"/>
        <v>1</v>
      </c>
      <c r="AN10" s="275">
        <f>Лист1!BF11</f>
        <v>1.2</v>
      </c>
      <c r="AO10" s="275">
        <f>Лист1!BH11</f>
        <v>1.2</v>
      </c>
      <c r="AP10" s="275">
        <f>Лист1!BJ11</f>
        <v>0.80700000000000005</v>
      </c>
      <c r="AQ10" s="275">
        <f t="shared" si="21"/>
        <v>0</v>
      </c>
      <c r="AR10" s="276">
        <f t="shared" si="22"/>
        <v>1</v>
      </c>
      <c r="AS10" s="275">
        <f>Лист1!BN11</f>
        <v>0.8</v>
      </c>
      <c r="AT10" s="275">
        <f>Лист1!BP11</f>
        <v>0.8</v>
      </c>
      <c r="AU10" s="275">
        <f>Лист1!BR11</f>
        <v>0.32700000000000001</v>
      </c>
      <c r="AV10" s="275">
        <f t="shared" si="23"/>
        <v>0</v>
      </c>
      <c r="AW10" s="276">
        <f t="shared" si="24"/>
        <v>1</v>
      </c>
      <c r="AX10" s="275">
        <f>Лист1!BV11</f>
        <v>0.6</v>
      </c>
      <c r="AY10" s="275">
        <f>Лист1!BX11</f>
        <v>0.6</v>
      </c>
      <c r="AZ10" s="275">
        <f>Лист1!BZ11</f>
        <v>0.22500000000000001</v>
      </c>
      <c r="BA10" s="275">
        <f t="shared" si="25"/>
        <v>0</v>
      </c>
      <c r="BB10" s="276">
        <f t="shared" si="26"/>
        <v>1</v>
      </c>
      <c r="BC10" s="275">
        <f t="shared" si="27"/>
        <v>3.7</v>
      </c>
      <c r="BD10" s="275">
        <f t="shared" si="28"/>
        <v>3.7</v>
      </c>
      <c r="BE10" s="275">
        <f t="shared" si="29"/>
        <v>0</v>
      </c>
      <c r="BF10" s="275">
        <f t="shared" si="30"/>
        <v>0</v>
      </c>
      <c r="BG10" s="276">
        <f t="shared" si="31"/>
        <v>1</v>
      </c>
      <c r="BH10" s="275">
        <f>Лист1!CL11</f>
        <v>1.2</v>
      </c>
      <c r="BI10" s="275">
        <f>Лист1!CN11</f>
        <v>1.2</v>
      </c>
      <c r="BJ10" s="275">
        <f>Лист1!CP11</f>
        <v>0</v>
      </c>
      <c r="BK10" s="275">
        <f t="shared" si="32"/>
        <v>0</v>
      </c>
      <c r="BL10" s="276">
        <f t="shared" si="33"/>
        <v>1</v>
      </c>
      <c r="BM10" s="275">
        <f>Лист1!CT11</f>
        <v>1.2</v>
      </c>
      <c r="BN10" s="275">
        <f>Лист1!CV11</f>
        <v>1.2</v>
      </c>
      <c r="BO10" s="275">
        <f>Лист1!CX11</f>
        <v>0</v>
      </c>
      <c r="BP10" s="275">
        <f t="shared" si="34"/>
        <v>0</v>
      </c>
      <c r="BQ10" s="276">
        <f t="shared" si="35"/>
        <v>1</v>
      </c>
      <c r="BR10" s="275">
        <f>Лист1!DB11</f>
        <v>1.3</v>
      </c>
      <c r="BS10" s="275">
        <f>Лист1!DD11</f>
        <v>1.3</v>
      </c>
      <c r="BT10" s="275">
        <f>Лист1!DF11</f>
        <v>0</v>
      </c>
      <c r="BU10" s="275">
        <f t="shared" si="36"/>
        <v>0</v>
      </c>
      <c r="BV10" s="276">
        <f t="shared" si="37"/>
        <v>1</v>
      </c>
      <c r="BW10" s="275">
        <f t="shared" si="38"/>
        <v>3.9000000000000004</v>
      </c>
      <c r="BX10" s="275">
        <f t="shared" si="39"/>
        <v>3.9000000000000004</v>
      </c>
      <c r="BY10" s="275">
        <f t="shared" si="40"/>
        <v>0</v>
      </c>
      <c r="BZ10" s="275">
        <f t="shared" si="41"/>
        <v>0</v>
      </c>
      <c r="CA10" s="276">
        <f t="shared" si="42"/>
        <v>1</v>
      </c>
      <c r="CB10" s="275">
        <f>Лист1!DR11</f>
        <v>1.3</v>
      </c>
      <c r="CC10" s="275">
        <f>Лист1!DT11</f>
        <v>1.3</v>
      </c>
      <c r="CD10" s="275">
        <f>Лист1!DV11</f>
        <v>0</v>
      </c>
      <c r="CE10" s="275">
        <f t="shared" si="43"/>
        <v>0</v>
      </c>
      <c r="CF10" s="276">
        <f t="shared" si="44"/>
        <v>1</v>
      </c>
      <c r="CG10" s="275">
        <f>Лист1!DZ11</f>
        <v>1.3</v>
      </c>
      <c r="CH10" s="275">
        <f>Лист1!EB11</f>
        <v>1.3</v>
      </c>
      <c r="CI10" s="275">
        <f>Лист1!ED11</f>
        <v>0</v>
      </c>
      <c r="CJ10" s="275">
        <f t="shared" si="45"/>
        <v>0</v>
      </c>
      <c r="CK10" s="276">
        <f t="shared" si="46"/>
        <v>1</v>
      </c>
      <c r="CL10" s="275">
        <f>Лист1!EH11</f>
        <v>1.3</v>
      </c>
      <c r="CM10" s="275">
        <f>Лист1!EJ11</f>
        <v>1.3</v>
      </c>
      <c r="CN10" s="275">
        <f>Лист1!EL11</f>
        <v>0</v>
      </c>
      <c r="CO10" s="275">
        <f t="shared" si="47"/>
        <v>0</v>
      </c>
      <c r="CP10" s="276">
        <f t="shared" si="48"/>
        <v>1</v>
      </c>
    </row>
    <row r="11" spans="2:94" ht="18.75" x14ac:dyDescent="0.3">
      <c r="C11" s="234"/>
      <c r="D11" s="234"/>
      <c r="E11" s="235"/>
      <c r="F11" s="232" t="s">
        <v>1511</v>
      </c>
      <c r="G11" s="231"/>
      <c r="H11" s="242"/>
      <c r="J11" s="275">
        <f t="shared" si="0"/>
        <v>10315.1</v>
      </c>
      <c r="K11" s="275">
        <f t="shared" si="1"/>
        <v>10315.1</v>
      </c>
      <c r="L11" s="275">
        <f t="shared" si="2"/>
        <v>2827.2599999999998</v>
      </c>
      <c r="M11" s="275">
        <f t="shared" si="3"/>
        <v>0</v>
      </c>
      <c r="N11" s="276">
        <f t="shared" si="4"/>
        <v>1</v>
      </c>
      <c r="O11" s="275">
        <f t="shared" si="5"/>
        <v>2587.8000000000002</v>
      </c>
      <c r="P11" s="275">
        <f t="shared" si="6"/>
        <v>2587.8000000000002</v>
      </c>
      <c r="Q11" s="275">
        <f t="shared" si="7"/>
        <v>1794.3539999999998</v>
      </c>
      <c r="R11" s="275">
        <f t="shared" si="8"/>
        <v>0</v>
      </c>
      <c r="S11" s="276">
        <f t="shared" si="9"/>
        <v>1</v>
      </c>
      <c r="T11" s="275">
        <f>Лист1!Z13</f>
        <v>891.3</v>
      </c>
      <c r="U11" s="275">
        <f>Лист1!AB13</f>
        <v>891.3</v>
      </c>
      <c r="V11" s="275">
        <f>Лист1!AD13</f>
        <v>647.36699999999996</v>
      </c>
      <c r="W11" s="275">
        <f t="shared" si="10"/>
        <v>0</v>
      </c>
      <c r="X11" s="276">
        <f t="shared" si="11"/>
        <v>1</v>
      </c>
      <c r="Y11" s="275">
        <f>Лист1!AH13</f>
        <v>805.1</v>
      </c>
      <c r="Z11" s="275">
        <f>Лист1!AJ13</f>
        <v>805.1</v>
      </c>
      <c r="AA11" s="275">
        <f>Лист1!AL13</f>
        <v>504.10500000000002</v>
      </c>
      <c r="AB11" s="275">
        <f t="shared" si="12"/>
        <v>0</v>
      </c>
      <c r="AC11" s="276">
        <f t="shared" si="13"/>
        <v>1</v>
      </c>
      <c r="AD11" s="275">
        <f>Лист1!AP13</f>
        <v>891.4</v>
      </c>
      <c r="AE11" s="275">
        <f>Лист1!AR13</f>
        <v>891.4</v>
      </c>
      <c r="AF11" s="275">
        <f>Лист1!AT13</f>
        <v>642.88199999999995</v>
      </c>
      <c r="AG11" s="275">
        <f t="shared" si="14"/>
        <v>0</v>
      </c>
      <c r="AH11" s="276">
        <f t="shared" si="15"/>
        <v>1</v>
      </c>
      <c r="AI11" s="275">
        <f t="shared" si="16"/>
        <v>1973.7</v>
      </c>
      <c r="AJ11" s="275">
        <f t="shared" si="17"/>
        <v>1973.7</v>
      </c>
      <c r="AK11" s="275">
        <f t="shared" si="18"/>
        <v>1032.9059999999999</v>
      </c>
      <c r="AL11" s="275">
        <f t="shared" si="19"/>
        <v>0</v>
      </c>
      <c r="AM11" s="276">
        <f t="shared" si="20"/>
        <v>1</v>
      </c>
      <c r="AN11" s="275">
        <f>Лист1!BF13</f>
        <v>862.6</v>
      </c>
      <c r="AO11" s="275">
        <f>Лист1!BH13</f>
        <v>862.6</v>
      </c>
      <c r="AP11" s="275">
        <f>Лист1!BJ13</f>
        <v>612.15200000000004</v>
      </c>
      <c r="AQ11" s="275">
        <f t="shared" si="21"/>
        <v>0</v>
      </c>
      <c r="AR11" s="276">
        <f t="shared" si="22"/>
        <v>1</v>
      </c>
      <c r="AS11" s="275">
        <f>Лист1!BN13</f>
        <v>612.79999999999995</v>
      </c>
      <c r="AT11" s="275">
        <f>Лист1!BP13</f>
        <v>612.79999999999995</v>
      </c>
      <c r="AU11" s="275">
        <f>Лист1!BR13</f>
        <v>249.18700000000001</v>
      </c>
      <c r="AV11" s="275">
        <f t="shared" si="23"/>
        <v>0</v>
      </c>
      <c r="AW11" s="276">
        <f t="shared" si="24"/>
        <v>1</v>
      </c>
      <c r="AX11" s="275">
        <f>Лист1!BV13</f>
        <v>498.3</v>
      </c>
      <c r="AY11" s="275">
        <f>Лист1!BX13</f>
        <v>498.3</v>
      </c>
      <c r="AZ11" s="275">
        <f>Лист1!BZ13</f>
        <v>171.56700000000001</v>
      </c>
      <c r="BA11" s="275">
        <f t="shared" si="25"/>
        <v>0</v>
      </c>
      <c r="BB11" s="276">
        <f t="shared" si="26"/>
        <v>1</v>
      </c>
      <c r="BC11" s="275">
        <f t="shared" si="27"/>
        <v>2816.2</v>
      </c>
      <c r="BD11" s="275">
        <f t="shared" si="28"/>
        <v>2816.2</v>
      </c>
      <c r="BE11" s="275">
        <f t="shared" si="29"/>
        <v>0</v>
      </c>
      <c r="BF11" s="275">
        <f t="shared" si="30"/>
        <v>0</v>
      </c>
      <c r="BG11" s="276">
        <f t="shared" si="31"/>
        <v>1</v>
      </c>
      <c r="BH11" s="275">
        <f>Лист1!CL13</f>
        <v>926.8</v>
      </c>
      <c r="BI11" s="275">
        <f>Лист1!CN13</f>
        <v>926.8</v>
      </c>
      <c r="BJ11" s="275">
        <f>Лист1!CP13</f>
        <v>0</v>
      </c>
      <c r="BK11" s="275">
        <f t="shared" si="32"/>
        <v>0</v>
      </c>
      <c r="BL11" s="276">
        <f t="shared" si="33"/>
        <v>1</v>
      </c>
      <c r="BM11" s="275">
        <f>Лист1!CT13</f>
        <v>931</v>
      </c>
      <c r="BN11" s="275">
        <f>Лист1!CV13</f>
        <v>931</v>
      </c>
      <c r="BO11" s="275">
        <f>Лист1!CX13</f>
        <v>0</v>
      </c>
      <c r="BP11" s="275">
        <f t="shared" si="34"/>
        <v>0</v>
      </c>
      <c r="BQ11" s="276">
        <f t="shared" si="35"/>
        <v>1</v>
      </c>
      <c r="BR11" s="275">
        <f>Лист1!DB13</f>
        <v>958.4</v>
      </c>
      <c r="BS11" s="275">
        <f>Лист1!DD13</f>
        <v>958.4</v>
      </c>
      <c r="BT11" s="275">
        <f>Лист1!DF13</f>
        <v>0</v>
      </c>
      <c r="BU11" s="275">
        <f t="shared" si="36"/>
        <v>0</v>
      </c>
      <c r="BV11" s="276">
        <f t="shared" si="37"/>
        <v>1</v>
      </c>
      <c r="BW11" s="275">
        <f t="shared" si="38"/>
        <v>2937.4</v>
      </c>
      <c r="BX11" s="275">
        <f t="shared" si="39"/>
        <v>2937.4</v>
      </c>
      <c r="BY11" s="275">
        <f t="shared" si="40"/>
        <v>0</v>
      </c>
      <c r="BZ11" s="275">
        <f t="shared" si="41"/>
        <v>0</v>
      </c>
      <c r="CA11" s="276">
        <f t="shared" si="42"/>
        <v>1</v>
      </c>
      <c r="CB11" s="275">
        <f>Лист1!DR13</f>
        <v>990.4</v>
      </c>
      <c r="CC11" s="275">
        <f>Лист1!DT13</f>
        <v>990.4</v>
      </c>
      <c r="CD11" s="275">
        <f>Лист1!DV13</f>
        <v>0</v>
      </c>
      <c r="CE11" s="275">
        <f t="shared" si="43"/>
        <v>0</v>
      </c>
      <c r="CF11" s="276">
        <f t="shared" si="44"/>
        <v>1</v>
      </c>
      <c r="CG11" s="275">
        <f>Лист1!DZ13</f>
        <v>958.4</v>
      </c>
      <c r="CH11" s="275">
        <f>Лист1!EB13</f>
        <v>958.4</v>
      </c>
      <c r="CI11" s="275">
        <f>Лист1!ED13</f>
        <v>0</v>
      </c>
      <c r="CJ11" s="275">
        <f t="shared" si="45"/>
        <v>0</v>
      </c>
      <c r="CK11" s="276">
        <f t="shared" si="46"/>
        <v>1</v>
      </c>
      <c r="CL11" s="275">
        <f>Лист1!EH13</f>
        <v>988.6</v>
      </c>
      <c r="CM11" s="275">
        <f>Лист1!EJ13</f>
        <v>988.6</v>
      </c>
      <c r="CN11" s="275">
        <f>Лист1!EL13</f>
        <v>0</v>
      </c>
      <c r="CO11" s="275">
        <f t="shared" si="47"/>
        <v>0</v>
      </c>
      <c r="CP11" s="276">
        <f t="shared" si="48"/>
        <v>1</v>
      </c>
    </row>
    <row r="12" spans="2:94" ht="18.75" x14ac:dyDescent="0.3">
      <c r="C12" s="234"/>
      <c r="D12" s="234"/>
      <c r="E12" s="235"/>
      <c r="F12" s="232" t="s">
        <v>1512</v>
      </c>
      <c r="G12" s="231"/>
      <c r="H12" s="242"/>
      <c r="J12" s="275">
        <f t="shared" si="0"/>
        <v>13560.6</v>
      </c>
      <c r="K12" s="275">
        <f t="shared" si="1"/>
        <v>13560.6</v>
      </c>
      <c r="L12" s="275">
        <f t="shared" si="2"/>
        <v>3721.8477019999996</v>
      </c>
      <c r="M12" s="275">
        <f t="shared" si="3"/>
        <v>0</v>
      </c>
      <c r="N12" s="276">
        <f t="shared" si="4"/>
        <v>1</v>
      </c>
      <c r="O12" s="275">
        <f t="shared" si="5"/>
        <v>3402</v>
      </c>
      <c r="P12" s="275">
        <f t="shared" si="6"/>
        <v>3402</v>
      </c>
      <c r="Q12" s="275">
        <f t="shared" si="7"/>
        <v>2361.2267819999997</v>
      </c>
      <c r="R12" s="275">
        <f t="shared" si="8"/>
        <v>0</v>
      </c>
      <c r="S12" s="276">
        <f t="shared" si="9"/>
        <v>1</v>
      </c>
      <c r="T12" s="275">
        <f>Лист1!Z13+Лист1!Z15</f>
        <v>1171.6999999999998</v>
      </c>
      <c r="U12" s="275">
        <f>Лист1!AB13+Лист1!AB15</f>
        <v>1171.6999999999998</v>
      </c>
      <c r="V12" s="275">
        <f>Лист1!AD13+Лист1!AD15</f>
        <v>851.36290499999996</v>
      </c>
      <c r="W12" s="275">
        <f t="shared" si="10"/>
        <v>0</v>
      </c>
      <c r="X12" s="276">
        <f t="shared" si="11"/>
        <v>1</v>
      </c>
      <c r="Y12" s="275">
        <f>Лист1!AH13+Лист1!AH15</f>
        <v>1058.4000000000001</v>
      </c>
      <c r="Z12" s="275">
        <f>Лист1!AJ13+Лист1!AJ15</f>
        <v>1058.4000000000001</v>
      </c>
      <c r="AA12" s="275">
        <f>Лист1!AL13+Лист1!AL15</f>
        <v>663.10537399999998</v>
      </c>
      <c r="AB12" s="275">
        <f t="shared" si="12"/>
        <v>0</v>
      </c>
      <c r="AC12" s="276">
        <f t="shared" si="13"/>
        <v>1</v>
      </c>
      <c r="AD12" s="275">
        <f>Лист1!AP13+Лист1!AP15</f>
        <v>1171.9000000000001</v>
      </c>
      <c r="AE12" s="275">
        <f>Лист1!AR13+Лист1!AR15</f>
        <v>1171.9000000000001</v>
      </c>
      <c r="AF12" s="275">
        <f>Лист1!AT13+Лист1!AT15</f>
        <v>846.75850300000002</v>
      </c>
      <c r="AG12" s="275">
        <f t="shared" si="14"/>
        <v>0</v>
      </c>
      <c r="AH12" s="276">
        <f t="shared" si="15"/>
        <v>1</v>
      </c>
      <c r="AI12" s="275">
        <f t="shared" si="16"/>
        <v>2594.8000000000002</v>
      </c>
      <c r="AJ12" s="275">
        <f t="shared" si="17"/>
        <v>2594.8000000000002</v>
      </c>
      <c r="AK12" s="275">
        <f t="shared" si="18"/>
        <v>1360.6209199999998</v>
      </c>
      <c r="AL12" s="275">
        <f t="shared" si="19"/>
        <v>0</v>
      </c>
      <c r="AM12" s="276">
        <f t="shared" si="20"/>
        <v>1</v>
      </c>
      <c r="AN12" s="275">
        <f>Лист1!BF13+Лист1!BF15</f>
        <v>1134</v>
      </c>
      <c r="AO12" s="275">
        <f>Лист1!BH13+Лист1!BH15</f>
        <v>1134</v>
      </c>
      <c r="AP12" s="275">
        <f>Лист1!BJ13+Лист1!BJ15</f>
        <v>807.15778799999998</v>
      </c>
      <c r="AQ12" s="275">
        <f t="shared" si="21"/>
        <v>0</v>
      </c>
      <c r="AR12" s="276">
        <f t="shared" si="22"/>
        <v>1</v>
      </c>
      <c r="AS12" s="275">
        <f>Лист1!BN13+Лист1!BN15</f>
        <v>805.59999999999991</v>
      </c>
      <c r="AT12" s="275">
        <f>Лист1!BP13+Лист1!BP15</f>
        <v>805.59999999999991</v>
      </c>
      <c r="AU12" s="275">
        <f>Лист1!BR13+Лист1!BR15</f>
        <v>327.88600000000002</v>
      </c>
      <c r="AV12" s="275">
        <f t="shared" si="23"/>
        <v>0</v>
      </c>
      <c r="AW12" s="276">
        <f t="shared" si="24"/>
        <v>1</v>
      </c>
      <c r="AX12" s="275">
        <f>Лист1!BV13+Лист1!BV15</f>
        <v>655.20000000000005</v>
      </c>
      <c r="AY12" s="275">
        <f>Лист1!BX13+Лист1!BX15</f>
        <v>655.20000000000005</v>
      </c>
      <c r="AZ12" s="275">
        <f>Лист1!BZ13+Лист1!BZ15</f>
        <v>225.57713200000001</v>
      </c>
      <c r="BA12" s="275">
        <f t="shared" si="25"/>
        <v>0</v>
      </c>
      <c r="BB12" s="276">
        <f t="shared" si="26"/>
        <v>1</v>
      </c>
      <c r="BC12" s="275">
        <f t="shared" si="27"/>
        <v>3702.3</v>
      </c>
      <c r="BD12" s="275">
        <f t="shared" si="28"/>
        <v>3702.3</v>
      </c>
      <c r="BE12" s="275">
        <f t="shared" si="29"/>
        <v>0</v>
      </c>
      <c r="BF12" s="275">
        <f t="shared" si="30"/>
        <v>0</v>
      </c>
      <c r="BG12" s="276">
        <f t="shared" si="31"/>
        <v>1</v>
      </c>
      <c r="BH12" s="275">
        <f>Лист1!CL13+Лист1!CL15</f>
        <v>1218.4000000000001</v>
      </c>
      <c r="BI12" s="275">
        <f>Лист1!CN13+Лист1!CN15</f>
        <v>1218.4000000000001</v>
      </c>
      <c r="BJ12" s="275">
        <f>Лист1!CP13+Лист1!CP15</f>
        <v>0</v>
      </c>
      <c r="BK12" s="275">
        <f t="shared" si="32"/>
        <v>0</v>
      </c>
      <c r="BL12" s="276">
        <f t="shared" si="33"/>
        <v>1</v>
      </c>
      <c r="BM12" s="275">
        <f>Лист1!CT13+Лист1!CT15</f>
        <v>1223.9000000000001</v>
      </c>
      <c r="BN12" s="275">
        <f>Лист1!CV13+Лист1!CV15</f>
        <v>1223.9000000000001</v>
      </c>
      <c r="BO12" s="275">
        <f>Лист1!CX13+Лист1!CX15</f>
        <v>0</v>
      </c>
      <c r="BP12" s="275">
        <f t="shared" si="34"/>
        <v>0</v>
      </c>
      <c r="BQ12" s="276">
        <f t="shared" si="35"/>
        <v>1</v>
      </c>
      <c r="BR12" s="275">
        <f>Лист1!DB13+Лист1!DB15</f>
        <v>1260</v>
      </c>
      <c r="BS12" s="275">
        <f>Лист1!DD13+Лист1!DD15</f>
        <v>1260</v>
      </c>
      <c r="BT12" s="275">
        <f>Лист1!DF13+Лист1!DF15</f>
        <v>0</v>
      </c>
      <c r="BU12" s="275">
        <f t="shared" si="36"/>
        <v>0</v>
      </c>
      <c r="BV12" s="276">
        <f t="shared" si="37"/>
        <v>1</v>
      </c>
      <c r="BW12" s="275">
        <f t="shared" si="38"/>
        <v>3861.5</v>
      </c>
      <c r="BX12" s="275">
        <f t="shared" si="39"/>
        <v>3861.5</v>
      </c>
      <c r="BY12" s="275">
        <f t="shared" si="40"/>
        <v>0</v>
      </c>
      <c r="BZ12" s="275">
        <f t="shared" si="41"/>
        <v>0</v>
      </c>
      <c r="CA12" s="276">
        <f t="shared" si="42"/>
        <v>1</v>
      </c>
      <c r="CB12" s="275">
        <f>Лист1!DR13+Лист1!DR15</f>
        <v>1302</v>
      </c>
      <c r="CC12" s="275">
        <f>Лист1!DT13+Лист1!DT15</f>
        <v>1302</v>
      </c>
      <c r="CD12" s="275">
        <f>Лист1!DV13+Лист1!DV15</f>
        <v>0</v>
      </c>
      <c r="CE12" s="275">
        <f t="shared" si="43"/>
        <v>0</v>
      </c>
      <c r="CF12" s="276">
        <f t="shared" si="44"/>
        <v>1</v>
      </c>
      <c r="CG12" s="275">
        <f>Лист1!DZ13+Лист1!DZ15</f>
        <v>1260</v>
      </c>
      <c r="CH12" s="275">
        <f>Лист1!EB13+Лист1!EB15</f>
        <v>1260</v>
      </c>
      <c r="CI12" s="275">
        <f>Лист1!ED13+Лист1!ED15</f>
        <v>0</v>
      </c>
      <c r="CJ12" s="275">
        <f t="shared" si="45"/>
        <v>0</v>
      </c>
      <c r="CK12" s="276">
        <f t="shared" si="46"/>
        <v>1</v>
      </c>
      <c r="CL12" s="275">
        <f>Лист1!EH13+Лист1!EH15</f>
        <v>1299.5</v>
      </c>
      <c r="CM12" s="275">
        <f>Лист1!EJ13+Лист1!EJ15</f>
        <v>1299.5</v>
      </c>
      <c r="CN12" s="275">
        <f>Лист1!EL13+Лист1!EL15</f>
        <v>0</v>
      </c>
      <c r="CO12" s="275">
        <f t="shared" si="47"/>
        <v>0</v>
      </c>
      <c r="CP12" s="276">
        <f t="shared" si="48"/>
        <v>1</v>
      </c>
    </row>
    <row r="13" spans="2:94" ht="18.75" x14ac:dyDescent="0.3">
      <c r="C13" s="234"/>
      <c r="D13" s="234"/>
      <c r="E13" s="235">
        <v>3</v>
      </c>
      <c r="F13" s="232"/>
      <c r="G13" s="231"/>
      <c r="H13" s="242"/>
      <c r="J13" s="275">
        <f t="shared" si="0"/>
        <v>0</v>
      </c>
      <c r="K13" s="275">
        <f t="shared" si="1"/>
        <v>0</v>
      </c>
      <c r="L13" s="275">
        <f t="shared" si="2"/>
        <v>0</v>
      </c>
      <c r="M13" s="275">
        <f t="shared" si="3"/>
        <v>0</v>
      </c>
      <c r="N13" s="276" t="str">
        <f t="shared" si="4"/>
        <v>-</v>
      </c>
      <c r="O13" s="275">
        <f t="shared" si="5"/>
        <v>0</v>
      </c>
      <c r="P13" s="275">
        <f t="shared" si="6"/>
        <v>0</v>
      </c>
      <c r="Q13" s="275">
        <f t="shared" si="7"/>
        <v>0</v>
      </c>
      <c r="R13" s="275">
        <f t="shared" si="8"/>
        <v>0</v>
      </c>
      <c r="S13" s="276" t="str">
        <f t="shared" si="9"/>
        <v>-</v>
      </c>
      <c r="T13" s="277"/>
      <c r="U13" s="277"/>
      <c r="V13" s="277"/>
      <c r="W13" s="275">
        <f t="shared" si="10"/>
        <v>0</v>
      </c>
      <c r="X13" s="276" t="str">
        <f t="shared" si="11"/>
        <v>-</v>
      </c>
      <c r="Y13" s="277"/>
      <c r="Z13" s="277"/>
      <c r="AA13" s="277"/>
      <c r="AB13" s="275">
        <f t="shared" si="12"/>
        <v>0</v>
      </c>
      <c r="AC13" s="276" t="str">
        <f t="shared" si="13"/>
        <v>-</v>
      </c>
      <c r="AD13" s="277"/>
      <c r="AE13" s="277"/>
      <c r="AF13" s="277"/>
      <c r="AG13" s="275">
        <f t="shared" si="14"/>
        <v>0</v>
      </c>
      <c r="AH13" s="276" t="str">
        <f t="shared" si="15"/>
        <v>-</v>
      </c>
      <c r="AI13" s="275">
        <f t="shared" si="16"/>
        <v>0</v>
      </c>
      <c r="AJ13" s="275">
        <f t="shared" si="17"/>
        <v>0</v>
      </c>
      <c r="AK13" s="275">
        <f t="shared" si="18"/>
        <v>0</v>
      </c>
      <c r="AL13" s="275">
        <f t="shared" si="19"/>
        <v>0</v>
      </c>
      <c r="AM13" s="276" t="str">
        <f t="shared" si="20"/>
        <v>-</v>
      </c>
      <c r="AN13" s="277"/>
      <c r="AO13" s="277"/>
      <c r="AP13" s="277"/>
      <c r="AQ13" s="275">
        <f t="shared" si="21"/>
        <v>0</v>
      </c>
      <c r="AR13" s="276" t="str">
        <f t="shared" si="22"/>
        <v>-</v>
      </c>
      <c r="AS13" s="277"/>
      <c r="AT13" s="277"/>
      <c r="AU13" s="277"/>
      <c r="AV13" s="275">
        <f t="shared" si="23"/>
        <v>0</v>
      </c>
      <c r="AW13" s="276" t="str">
        <f t="shared" si="24"/>
        <v>-</v>
      </c>
      <c r="AX13" s="277"/>
      <c r="AY13" s="277"/>
      <c r="AZ13" s="277"/>
      <c r="BA13" s="275">
        <f t="shared" si="25"/>
        <v>0</v>
      </c>
      <c r="BB13" s="276" t="str">
        <f t="shared" si="26"/>
        <v>-</v>
      </c>
      <c r="BC13" s="275">
        <f t="shared" si="27"/>
        <v>0</v>
      </c>
      <c r="BD13" s="275">
        <f t="shared" si="28"/>
        <v>0</v>
      </c>
      <c r="BE13" s="275">
        <f t="shared" si="29"/>
        <v>0</v>
      </c>
      <c r="BF13" s="275">
        <f t="shared" si="30"/>
        <v>0</v>
      </c>
      <c r="BG13" s="276" t="str">
        <f t="shared" si="31"/>
        <v>-</v>
      </c>
      <c r="BH13" s="277"/>
      <c r="BI13" s="277"/>
      <c r="BJ13" s="277"/>
      <c r="BK13" s="275">
        <f t="shared" si="32"/>
        <v>0</v>
      </c>
      <c r="BL13" s="276" t="str">
        <f t="shared" si="33"/>
        <v>-</v>
      </c>
      <c r="BM13" s="277"/>
      <c r="BN13" s="277"/>
      <c r="BO13" s="277"/>
      <c r="BP13" s="275">
        <f t="shared" si="34"/>
        <v>0</v>
      </c>
      <c r="BQ13" s="276" t="str">
        <f t="shared" si="35"/>
        <v>-</v>
      </c>
      <c r="BR13" s="277"/>
      <c r="BS13" s="277"/>
      <c r="BT13" s="277"/>
      <c r="BU13" s="275">
        <f t="shared" si="36"/>
        <v>0</v>
      </c>
      <c r="BV13" s="276" t="str">
        <f t="shared" si="37"/>
        <v>-</v>
      </c>
      <c r="BW13" s="275">
        <f t="shared" si="38"/>
        <v>0</v>
      </c>
      <c r="BX13" s="275">
        <f t="shared" si="39"/>
        <v>0</v>
      </c>
      <c r="BY13" s="275">
        <f t="shared" si="40"/>
        <v>0</v>
      </c>
      <c r="BZ13" s="275">
        <f t="shared" si="41"/>
        <v>0</v>
      </c>
      <c r="CA13" s="276" t="str">
        <f t="shared" si="42"/>
        <v>-</v>
      </c>
      <c r="CB13" s="277"/>
      <c r="CC13" s="277"/>
      <c r="CD13" s="277"/>
      <c r="CE13" s="275">
        <f t="shared" si="43"/>
        <v>0</v>
      </c>
      <c r="CF13" s="276" t="str">
        <f t="shared" si="44"/>
        <v>-</v>
      </c>
      <c r="CG13" s="277"/>
      <c r="CH13" s="277"/>
      <c r="CI13" s="277"/>
      <c r="CJ13" s="275">
        <f t="shared" si="45"/>
        <v>0</v>
      </c>
      <c r="CK13" s="276" t="str">
        <f t="shared" si="46"/>
        <v>-</v>
      </c>
      <c r="CL13" s="277"/>
      <c r="CM13" s="277"/>
      <c r="CN13" s="277"/>
      <c r="CO13" s="275">
        <f t="shared" si="47"/>
        <v>0</v>
      </c>
      <c r="CP13" s="276" t="str">
        <f t="shared" si="48"/>
        <v>-</v>
      </c>
    </row>
    <row r="14" spans="2:94" ht="18.75" x14ac:dyDescent="0.3">
      <c r="C14" s="234"/>
      <c r="D14" s="234"/>
      <c r="E14" s="235">
        <v>4</v>
      </c>
      <c r="F14" s="232"/>
      <c r="G14" s="231"/>
      <c r="H14" s="242"/>
      <c r="J14" s="275">
        <f t="shared" si="0"/>
        <v>0</v>
      </c>
      <c r="K14" s="275">
        <f t="shared" si="1"/>
        <v>2556</v>
      </c>
      <c r="L14" s="275">
        <f t="shared" si="2"/>
        <v>0</v>
      </c>
      <c r="M14" s="275">
        <f t="shared" si="3"/>
        <v>2556</v>
      </c>
      <c r="N14" s="276" t="str">
        <f t="shared" si="4"/>
        <v>-</v>
      </c>
      <c r="O14" s="275">
        <f t="shared" si="5"/>
        <v>0</v>
      </c>
      <c r="P14" s="275">
        <f t="shared" si="6"/>
        <v>2556</v>
      </c>
      <c r="Q14" s="275">
        <f t="shared" si="7"/>
        <v>0</v>
      </c>
      <c r="R14" s="275">
        <f t="shared" si="8"/>
        <v>2556</v>
      </c>
      <c r="S14" s="276" t="str">
        <f t="shared" si="9"/>
        <v>-</v>
      </c>
      <c r="T14" s="277"/>
      <c r="U14" s="277">
        <v>2556</v>
      </c>
      <c r="V14" s="277"/>
      <c r="W14" s="275">
        <f t="shared" si="10"/>
        <v>2556</v>
      </c>
      <c r="X14" s="276" t="str">
        <f t="shared" si="11"/>
        <v>-</v>
      </c>
      <c r="Y14" s="277"/>
      <c r="Z14" s="277"/>
      <c r="AA14" s="277"/>
      <c r="AB14" s="275">
        <f t="shared" si="12"/>
        <v>0</v>
      </c>
      <c r="AC14" s="276" t="str">
        <f t="shared" si="13"/>
        <v>-</v>
      </c>
      <c r="AD14" s="277"/>
      <c r="AE14" s="277"/>
      <c r="AF14" s="277"/>
      <c r="AG14" s="275">
        <f t="shared" si="14"/>
        <v>0</v>
      </c>
      <c r="AH14" s="276" t="str">
        <f t="shared" si="15"/>
        <v>-</v>
      </c>
      <c r="AI14" s="275">
        <f t="shared" si="16"/>
        <v>0</v>
      </c>
      <c r="AJ14" s="275">
        <f t="shared" si="17"/>
        <v>0</v>
      </c>
      <c r="AK14" s="275">
        <f t="shared" si="18"/>
        <v>0</v>
      </c>
      <c r="AL14" s="275">
        <f t="shared" si="19"/>
        <v>0</v>
      </c>
      <c r="AM14" s="276" t="str">
        <f t="shared" si="20"/>
        <v>-</v>
      </c>
      <c r="AN14" s="277"/>
      <c r="AO14" s="277"/>
      <c r="AP14" s="277"/>
      <c r="AQ14" s="275">
        <f t="shared" si="21"/>
        <v>0</v>
      </c>
      <c r="AR14" s="276" t="str">
        <f t="shared" si="22"/>
        <v>-</v>
      </c>
      <c r="AS14" s="277"/>
      <c r="AT14" s="277"/>
      <c r="AU14" s="277"/>
      <c r="AV14" s="275">
        <f t="shared" si="23"/>
        <v>0</v>
      </c>
      <c r="AW14" s="276" t="str">
        <f t="shared" si="24"/>
        <v>-</v>
      </c>
      <c r="AX14" s="277"/>
      <c r="AY14" s="277"/>
      <c r="AZ14" s="277"/>
      <c r="BA14" s="275">
        <f t="shared" si="25"/>
        <v>0</v>
      </c>
      <c r="BB14" s="276" t="str">
        <f t="shared" si="26"/>
        <v>-</v>
      </c>
      <c r="BC14" s="275">
        <f t="shared" si="27"/>
        <v>0</v>
      </c>
      <c r="BD14" s="275">
        <f t="shared" si="28"/>
        <v>0</v>
      </c>
      <c r="BE14" s="275">
        <f t="shared" si="29"/>
        <v>0</v>
      </c>
      <c r="BF14" s="275">
        <f t="shared" si="30"/>
        <v>0</v>
      </c>
      <c r="BG14" s="276" t="str">
        <f t="shared" si="31"/>
        <v>-</v>
      </c>
      <c r="BH14" s="277"/>
      <c r="BI14" s="277"/>
      <c r="BJ14" s="277"/>
      <c r="BK14" s="275">
        <f t="shared" si="32"/>
        <v>0</v>
      </c>
      <c r="BL14" s="276" t="str">
        <f t="shared" si="33"/>
        <v>-</v>
      </c>
      <c r="BM14" s="277"/>
      <c r="BN14" s="277"/>
      <c r="BO14" s="277"/>
      <c r="BP14" s="275">
        <f t="shared" si="34"/>
        <v>0</v>
      </c>
      <c r="BQ14" s="276" t="str">
        <f t="shared" si="35"/>
        <v>-</v>
      </c>
      <c r="BR14" s="277"/>
      <c r="BS14" s="277"/>
      <c r="BT14" s="277"/>
      <c r="BU14" s="275">
        <f t="shared" si="36"/>
        <v>0</v>
      </c>
      <c r="BV14" s="276" t="str">
        <f t="shared" si="37"/>
        <v>-</v>
      </c>
      <c r="BW14" s="275">
        <f t="shared" si="38"/>
        <v>0</v>
      </c>
      <c r="BX14" s="275">
        <f t="shared" si="39"/>
        <v>0</v>
      </c>
      <c r="BY14" s="275">
        <f t="shared" si="40"/>
        <v>0</v>
      </c>
      <c r="BZ14" s="275">
        <f t="shared" si="41"/>
        <v>0</v>
      </c>
      <c r="CA14" s="276" t="str">
        <f t="shared" si="42"/>
        <v>-</v>
      </c>
      <c r="CB14" s="277"/>
      <c r="CC14" s="277"/>
      <c r="CD14" s="277"/>
      <c r="CE14" s="275">
        <f t="shared" si="43"/>
        <v>0</v>
      </c>
      <c r="CF14" s="276" t="str">
        <f t="shared" si="44"/>
        <v>-</v>
      </c>
      <c r="CG14" s="277"/>
      <c r="CH14" s="277"/>
      <c r="CI14" s="277"/>
      <c r="CJ14" s="275">
        <f t="shared" si="45"/>
        <v>0</v>
      </c>
      <c r="CK14" s="276" t="str">
        <f t="shared" si="46"/>
        <v>-</v>
      </c>
      <c r="CL14" s="277"/>
      <c r="CM14" s="277"/>
      <c r="CN14" s="277"/>
      <c r="CO14" s="275">
        <f t="shared" si="47"/>
        <v>0</v>
      </c>
      <c r="CP14" s="276" t="str">
        <f t="shared" si="48"/>
        <v>-</v>
      </c>
    </row>
    <row r="15" spans="2:94" ht="18.75" x14ac:dyDescent="0.3">
      <c r="C15" s="234"/>
      <c r="D15" s="234"/>
      <c r="E15" s="235">
        <v>5</v>
      </c>
      <c r="F15" s="232"/>
      <c r="G15" s="231"/>
      <c r="H15" s="242"/>
      <c r="J15" s="275">
        <f t="shared" si="0"/>
        <v>0</v>
      </c>
      <c r="K15" s="275">
        <f t="shared" si="1"/>
        <v>0</v>
      </c>
      <c r="L15" s="275">
        <f t="shared" si="2"/>
        <v>0</v>
      </c>
      <c r="M15" s="275">
        <f t="shared" si="3"/>
        <v>0</v>
      </c>
      <c r="N15" s="276" t="str">
        <f t="shared" si="4"/>
        <v>-</v>
      </c>
      <c r="O15" s="275">
        <f t="shared" si="5"/>
        <v>0</v>
      </c>
      <c r="P15" s="275">
        <f t="shared" si="6"/>
        <v>0</v>
      </c>
      <c r="Q15" s="275">
        <f t="shared" si="7"/>
        <v>0</v>
      </c>
      <c r="R15" s="275">
        <f t="shared" si="8"/>
        <v>0</v>
      </c>
      <c r="S15" s="276" t="str">
        <f t="shared" si="9"/>
        <v>-</v>
      </c>
      <c r="T15" s="277"/>
      <c r="U15" s="277"/>
      <c r="V15" s="277"/>
      <c r="W15" s="275">
        <f t="shared" si="10"/>
        <v>0</v>
      </c>
      <c r="X15" s="276" t="str">
        <f t="shared" si="11"/>
        <v>-</v>
      </c>
      <c r="Y15" s="277"/>
      <c r="Z15" s="277"/>
      <c r="AA15" s="277"/>
      <c r="AB15" s="275">
        <f t="shared" si="12"/>
        <v>0</v>
      </c>
      <c r="AC15" s="276" t="str">
        <f t="shared" si="13"/>
        <v>-</v>
      </c>
      <c r="AD15" s="277"/>
      <c r="AE15" s="277"/>
      <c r="AF15" s="277"/>
      <c r="AG15" s="275">
        <f t="shared" si="14"/>
        <v>0</v>
      </c>
      <c r="AH15" s="276" t="str">
        <f t="shared" si="15"/>
        <v>-</v>
      </c>
      <c r="AI15" s="275">
        <f t="shared" si="16"/>
        <v>0</v>
      </c>
      <c r="AJ15" s="275">
        <f t="shared" si="17"/>
        <v>0</v>
      </c>
      <c r="AK15" s="275">
        <f t="shared" si="18"/>
        <v>0</v>
      </c>
      <c r="AL15" s="275">
        <f t="shared" si="19"/>
        <v>0</v>
      </c>
      <c r="AM15" s="276" t="str">
        <f t="shared" si="20"/>
        <v>-</v>
      </c>
      <c r="AN15" s="277"/>
      <c r="AO15" s="277"/>
      <c r="AP15" s="277"/>
      <c r="AQ15" s="275">
        <f t="shared" si="21"/>
        <v>0</v>
      </c>
      <c r="AR15" s="276" t="str">
        <f t="shared" si="22"/>
        <v>-</v>
      </c>
      <c r="AS15" s="277"/>
      <c r="AT15" s="277"/>
      <c r="AU15" s="277"/>
      <c r="AV15" s="275">
        <f t="shared" si="23"/>
        <v>0</v>
      </c>
      <c r="AW15" s="276" t="str">
        <f t="shared" si="24"/>
        <v>-</v>
      </c>
      <c r="AX15" s="277"/>
      <c r="AY15" s="277"/>
      <c r="AZ15" s="277"/>
      <c r="BA15" s="275">
        <f t="shared" si="25"/>
        <v>0</v>
      </c>
      <c r="BB15" s="276" t="str">
        <f t="shared" si="26"/>
        <v>-</v>
      </c>
      <c r="BC15" s="275">
        <f t="shared" si="27"/>
        <v>0</v>
      </c>
      <c r="BD15" s="275">
        <f t="shared" si="28"/>
        <v>0</v>
      </c>
      <c r="BE15" s="275">
        <f t="shared" si="29"/>
        <v>0</v>
      </c>
      <c r="BF15" s="275">
        <f t="shared" si="30"/>
        <v>0</v>
      </c>
      <c r="BG15" s="276" t="str">
        <f t="shared" si="31"/>
        <v>-</v>
      </c>
      <c r="BH15" s="277"/>
      <c r="BI15" s="277"/>
      <c r="BJ15" s="277"/>
      <c r="BK15" s="275">
        <f t="shared" si="32"/>
        <v>0</v>
      </c>
      <c r="BL15" s="276" t="str">
        <f t="shared" si="33"/>
        <v>-</v>
      </c>
      <c r="BM15" s="277"/>
      <c r="BN15" s="277"/>
      <c r="BO15" s="277"/>
      <c r="BP15" s="275">
        <f t="shared" si="34"/>
        <v>0</v>
      </c>
      <c r="BQ15" s="276" t="str">
        <f t="shared" si="35"/>
        <v>-</v>
      </c>
      <c r="BR15" s="277"/>
      <c r="BS15" s="277"/>
      <c r="BT15" s="277"/>
      <c r="BU15" s="275">
        <f t="shared" si="36"/>
        <v>0</v>
      </c>
      <c r="BV15" s="276" t="str">
        <f t="shared" si="37"/>
        <v>-</v>
      </c>
      <c r="BW15" s="275">
        <f t="shared" si="38"/>
        <v>0</v>
      </c>
      <c r="BX15" s="275">
        <f t="shared" si="39"/>
        <v>0</v>
      </c>
      <c r="BY15" s="275">
        <f t="shared" si="40"/>
        <v>0</v>
      </c>
      <c r="BZ15" s="275">
        <f t="shared" si="41"/>
        <v>0</v>
      </c>
      <c r="CA15" s="276" t="str">
        <f t="shared" si="42"/>
        <v>-</v>
      </c>
      <c r="CB15" s="277"/>
      <c r="CC15" s="277"/>
      <c r="CD15" s="277"/>
      <c r="CE15" s="275">
        <f t="shared" si="43"/>
        <v>0</v>
      </c>
      <c r="CF15" s="276" t="str">
        <f t="shared" si="44"/>
        <v>-</v>
      </c>
      <c r="CG15" s="277"/>
      <c r="CH15" s="277"/>
      <c r="CI15" s="277"/>
      <c r="CJ15" s="275">
        <f t="shared" si="45"/>
        <v>0</v>
      </c>
      <c r="CK15" s="276" t="str">
        <f t="shared" si="46"/>
        <v>-</v>
      </c>
      <c r="CL15" s="277"/>
      <c r="CM15" s="277"/>
      <c r="CN15" s="277"/>
      <c r="CO15" s="275">
        <f t="shared" si="47"/>
        <v>0</v>
      </c>
      <c r="CP15" s="276" t="str">
        <f t="shared" si="48"/>
        <v>-</v>
      </c>
    </row>
    <row r="16" spans="2:94" ht="25.5" customHeight="1" x14ac:dyDescent="0.3">
      <c r="C16" s="234"/>
      <c r="D16" s="234"/>
      <c r="E16" s="235"/>
      <c r="F16" s="232" t="s">
        <v>1513</v>
      </c>
      <c r="G16" s="231"/>
      <c r="H16" s="242"/>
      <c r="J16" s="275">
        <f t="shared" si="0"/>
        <v>13871.101999999999</v>
      </c>
      <c r="K16" s="275">
        <f t="shared" si="1"/>
        <v>13871.101999999999</v>
      </c>
      <c r="L16" s="275">
        <f t="shared" si="2"/>
        <v>3869.4245229999997</v>
      </c>
      <c r="M16" s="275">
        <f t="shared" si="3"/>
        <v>0</v>
      </c>
      <c r="N16" s="276">
        <f t="shared" si="4"/>
        <v>1</v>
      </c>
      <c r="O16" s="275">
        <f t="shared" si="5"/>
        <v>3450.8419999999996</v>
      </c>
      <c r="P16" s="275">
        <f t="shared" si="6"/>
        <v>3450.8419999999996</v>
      </c>
      <c r="Q16" s="275">
        <f t="shared" si="7"/>
        <v>2460.9857819999997</v>
      </c>
      <c r="R16" s="275">
        <f t="shared" si="8"/>
        <v>0</v>
      </c>
      <c r="S16" s="276">
        <f t="shared" si="9"/>
        <v>1</v>
      </c>
      <c r="T16" s="275">
        <f>Лист1!Z17+Лист1!Z19+Лист1!Z20</f>
        <v>1186.9179999999999</v>
      </c>
      <c r="U16" s="275">
        <f>Лист1!AB17+Лист1!AB19+Лист1!AB20</f>
        <v>1186.9179999999999</v>
      </c>
      <c r="V16" s="275">
        <f>Лист1!AD17+Лист1!AD19+Лист1!AD20</f>
        <v>882.73090500000001</v>
      </c>
      <c r="W16" s="275">
        <f t="shared" si="10"/>
        <v>0</v>
      </c>
      <c r="X16" s="276">
        <f t="shared" si="11"/>
        <v>1</v>
      </c>
      <c r="Y16" s="275">
        <f>Лист1!AH17+Лист1!AH19+Лист1!AH20</f>
        <v>1074.9070000000002</v>
      </c>
      <c r="Z16" s="275">
        <f>Лист1!AJ17+Лист1!AJ19+Лист1!AJ20</f>
        <v>1074.9070000000002</v>
      </c>
      <c r="AA16" s="275">
        <f>Лист1!AL17+Лист1!AL19+Лист1!AL20</f>
        <v>694.34137399999997</v>
      </c>
      <c r="AB16" s="275">
        <f t="shared" si="12"/>
        <v>0</v>
      </c>
      <c r="AC16" s="276">
        <f t="shared" si="13"/>
        <v>1</v>
      </c>
      <c r="AD16" s="275">
        <f>Лист1!AP17+Лист1!AP19+Лист1!AP20</f>
        <v>1189.0170000000001</v>
      </c>
      <c r="AE16" s="275">
        <f>Лист1!AR17+Лист1!AR19+Лист1!AR20</f>
        <v>1189.0170000000001</v>
      </c>
      <c r="AF16" s="275">
        <f>Лист1!AT17+Лист1!AT19+Лист1!AT20</f>
        <v>883.91350299999999</v>
      </c>
      <c r="AG16" s="275">
        <f t="shared" si="14"/>
        <v>0</v>
      </c>
      <c r="AH16" s="276">
        <f t="shared" si="15"/>
        <v>1</v>
      </c>
      <c r="AI16" s="275">
        <f t="shared" si="16"/>
        <v>2665.7690000000002</v>
      </c>
      <c r="AJ16" s="275">
        <f t="shared" si="17"/>
        <v>2665.7690000000002</v>
      </c>
      <c r="AK16" s="275">
        <f t="shared" si="18"/>
        <v>1408.4387409999999</v>
      </c>
      <c r="AL16" s="275">
        <f t="shared" si="19"/>
        <v>0</v>
      </c>
      <c r="AM16" s="276">
        <f t="shared" si="20"/>
        <v>1</v>
      </c>
      <c r="AN16" s="275">
        <f>Лист1!BF17+Лист1!BF19+Лист1!BF20</f>
        <v>1168.8420000000001</v>
      </c>
      <c r="AO16" s="275">
        <f>Лист1!BH17+Лист1!BH19+Лист1!BH20</f>
        <v>1168.8420000000001</v>
      </c>
      <c r="AP16" s="275">
        <f>Лист1!BJ17+Лист1!BJ19+Лист1!BJ20</f>
        <v>834.79660899999999</v>
      </c>
      <c r="AQ16" s="275">
        <f t="shared" si="21"/>
        <v>0</v>
      </c>
      <c r="AR16" s="276">
        <f t="shared" si="22"/>
        <v>1</v>
      </c>
      <c r="AS16" s="275">
        <f>Лист1!BN17+Лист1!BN19+Лист1!BN20</f>
        <v>829.02699999999993</v>
      </c>
      <c r="AT16" s="275">
        <f>Лист1!BP17+Лист1!BP19+Лист1!BP20</f>
        <v>829.02699999999993</v>
      </c>
      <c r="AU16" s="275">
        <f>Лист1!BR17+Лист1!BR19+Лист1!BR20</f>
        <v>340.30800000000005</v>
      </c>
      <c r="AV16" s="275">
        <f t="shared" si="23"/>
        <v>0</v>
      </c>
      <c r="AW16" s="276">
        <f t="shared" si="24"/>
        <v>1</v>
      </c>
      <c r="AX16" s="275">
        <f>Лист1!BV17+Лист1!BV19+Лист1!BV20</f>
        <v>667.90000000000009</v>
      </c>
      <c r="AY16" s="275">
        <f>Лист1!BX17+Лист1!BX19+Лист1!BX20</f>
        <v>667.90000000000009</v>
      </c>
      <c r="AZ16" s="275">
        <f>Лист1!BZ17+Лист1!BZ19+Лист1!BZ20</f>
        <v>233.33413200000001</v>
      </c>
      <c r="BA16" s="275">
        <f t="shared" si="25"/>
        <v>0</v>
      </c>
      <c r="BB16" s="276">
        <f t="shared" si="26"/>
        <v>1</v>
      </c>
      <c r="BC16" s="275">
        <f t="shared" si="27"/>
        <v>3849.8630000000003</v>
      </c>
      <c r="BD16" s="275">
        <f t="shared" si="28"/>
        <v>3849.8630000000003</v>
      </c>
      <c r="BE16" s="275">
        <f t="shared" si="29"/>
        <v>0</v>
      </c>
      <c r="BF16" s="275">
        <f t="shared" si="30"/>
        <v>0</v>
      </c>
      <c r="BG16" s="276">
        <f t="shared" si="31"/>
        <v>1</v>
      </c>
      <c r="BH16" s="275">
        <f>Лист1!CL17+Лист1!CL19+Лист1!CL20</f>
        <v>1265.9720000000002</v>
      </c>
      <c r="BI16" s="275">
        <f>Лист1!CN17+Лист1!CN19+Лист1!CN20</f>
        <v>1265.9720000000002</v>
      </c>
      <c r="BJ16" s="275">
        <f>Лист1!CP17+Лист1!CP19+Лист1!CP20</f>
        <v>0</v>
      </c>
      <c r="BK16" s="275">
        <f t="shared" si="32"/>
        <v>0</v>
      </c>
      <c r="BL16" s="276">
        <f t="shared" si="33"/>
        <v>1</v>
      </c>
      <c r="BM16" s="275">
        <f>Лист1!CT17+Лист1!CT19+Лист1!CT20</f>
        <v>1290.1470000000002</v>
      </c>
      <c r="BN16" s="275">
        <f>Лист1!CV17+Лист1!CV19+Лист1!CV20</f>
        <v>1290.1470000000002</v>
      </c>
      <c r="BO16" s="275">
        <f>Лист1!CX17+Лист1!CX19+Лист1!CX20</f>
        <v>0</v>
      </c>
      <c r="BP16" s="275">
        <f t="shared" si="34"/>
        <v>0</v>
      </c>
      <c r="BQ16" s="276">
        <f t="shared" si="35"/>
        <v>1</v>
      </c>
      <c r="BR16" s="275">
        <f>Лист1!DB17+Лист1!DB19+Лист1!DB20</f>
        <v>1293.7439999999999</v>
      </c>
      <c r="BS16" s="275">
        <f>Лист1!DD17+Лист1!DD19+Лист1!DD20</f>
        <v>1293.7439999999999</v>
      </c>
      <c r="BT16" s="275">
        <f>Лист1!DF17+Лист1!DF19+Лист1!DF20</f>
        <v>0</v>
      </c>
      <c r="BU16" s="275">
        <f t="shared" si="36"/>
        <v>0</v>
      </c>
      <c r="BV16" s="276">
        <f t="shared" si="37"/>
        <v>1</v>
      </c>
      <c r="BW16" s="275">
        <f t="shared" si="38"/>
        <v>3904.6279999999997</v>
      </c>
      <c r="BX16" s="275">
        <f t="shared" si="39"/>
        <v>3904.6279999999997</v>
      </c>
      <c r="BY16" s="275">
        <f t="shared" si="40"/>
        <v>0</v>
      </c>
      <c r="BZ16" s="275">
        <f t="shared" si="41"/>
        <v>0</v>
      </c>
      <c r="CA16" s="276">
        <f t="shared" si="42"/>
        <v>1</v>
      </c>
      <c r="CB16" s="275">
        <f>Лист1!DR17+Лист1!DR19+Лист1!DR20</f>
        <v>1317.8969999999999</v>
      </c>
      <c r="CC16" s="275">
        <f>Лист1!DT17+Лист1!DT19+Лист1!DT20</f>
        <v>1317.8969999999999</v>
      </c>
      <c r="CD16" s="275">
        <f>Лист1!DV17+Лист1!DV19+Лист1!DV20</f>
        <v>0</v>
      </c>
      <c r="CE16" s="275">
        <f t="shared" si="43"/>
        <v>0</v>
      </c>
      <c r="CF16" s="276">
        <f t="shared" si="44"/>
        <v>1</v>
      </c>
      <c r="CG16" s="275">
        <f>Лист1!DZ17+Лист1!DZ19+Лист1!DZ20</f>
        <v>1276.213</v>
      </c>
      <c r="CH16" s="275">
        <f>Лист1!EB17+Лист1!EB19+Лист1!EB20</f>
        <v>1276.213</v>
      </c>
      <c r="CI16" s="275">
        <f>Лист1!ED17+Лист1!ED19+Лист1!ED20</f>
        <v>0</v>
      </c>
      <c r="CJ16" s="275">
        <f t="shared" si="45"/>
        <v>0</v>
      </c>
      <c r="CK16" s="276">
        <f t="shared" si="46"/>
        <v>1</v>
      </c>
      <c r="CL16" s="275">
        <f>Лист1!EH17+Лист1!EH19+Лист1!EH20</f>
        <v>1310.518</v>
      </c>
      <c r="CM16" s="275">
        <f>Лист1!EJ17+Лист1!EJ19+Лист1!EJ20</f>
        <v>1310.518</v>
      </c>
      <c r="CN16" s="275">
        <f>Лист1!EL17+Лист1!EL19+Лист1!EL20</f>
        <v>0</v>
      </c>
      <c r="CO16" s="275">
        <f t="shared" si="47"/>
        <v>0</v>
      </c>
      <c r="CP16" s="276">
        <f t="shared" si="48"/>
        <v>1</v>
      </c>
    </row>
  </sheetData>
  <mergeCells count="77">
    <mergeCell ref="BS3:BS4"/>
    <mergeCell ref="BD3:BD4"/>
    <mergeCell ref="L3:L4"/>
    <mergeCell ref="F3:F4"/>
    <mergeCell ref="Z3:Z4"/>
    <mergeCell ref="BH3:BH4"/>
    <mergeCell ref="AS3:AS4"/>
    <mergeCell ref="AU3:AU4"/>
    <mergeCell ref="BE3:BE4"/>
    <mergeCell ref="AG3:AH3"/>
    <mergeCell ref="O3:O4"/>
    <mergeCell ref="Q3:Q4"/>
    <mergeCell ref="AY3:AY4"/>
    <mergeCell ref="CN3:CN4"/>
    <mergeCell ref="AX3:AX4"/>
    <mergeCell ref="AZ3:AZ4"/>
    <mergeCell ref="I2:I4"/>
    <mergeCell ref="AL3:AM3"/>
    <mergeCell ref="T3:T4"/>
    <mergeCell ref="BX3:BX4"/>
    <mergeCell ref="K3:K4"/>
    <mergeCell ref="Y3:Y4"/>
    <mergeCell ref="AE3:AE4"/>
    <mergeCell ref="AO3:AO4"/>
    <mergeCell ref="BY3:BY4"/>
    <mergeCell ref="BI3:BI4"/>
    <mergeCell ref="CE3:CF3"/>
    <mergeCell ref="AQ3:AR3"/>
    <mergeCell ref="P3:P4"/>
    <mergeCell ref="CD3:CD4"/>
    <mergeCell ref="AF3:AF4"/>
    <mergeCell ref="CH3:CH4"/>
    <mergeCell ref="U3:U4"/>
    <mergeCell ref="AA3:AA4"/>
    <mergeCell ref="BM3:BM4"/>
    <mergeCell ref="CG3:CG4"/>
    <mergeCell ref="BU3:BV3"/>
    <mergeCell ref="BN3:BN4"/>
    <mergeCell ref="AJ3:AJ4"/>
    <mergeCell ref="BJ3:BJ4"/>
    <mergeCell ref="BR3:BR4"/>
    <mergeCell ref="CB3:CB4"/>
    <mergeCell ref="AV3:AW3"/>
    <mergeCell ref="BP3:BQ3"/>
    <mergeCell ref="BZ3:CA3"/>
    <mergeCell ref="BA3:BB3"/>
    <mergeCell ref="BK3:BL3"/>
    <mergeCell ref="CC3:CC4"/>
    <mergeCell ref="B2:B4"/>
    <mergeCell ref="AD3:AD4"/>
    <mergeCell ref="R3:S3"/>
    <mergeCell ref="M3:N3"/>
    <mergeCell ref="C2:H2"/>
    <mergeCell ref="D3:D4"/>
    <mergeCell ref="C3:C4"/>
    <mergeCell ref="E3:E4"/>
    <mergeCell ref="H3:H4"/>
    <mergeCell ref="J3:J4"/>
    <mergeCell ref="G3:G4"/>
    <mergeCell ref="W3:X3"/>
    <mergeCell ref="AI3:AI4"/>
    <mergeCell ref="CM3:CM4"/>
    <mergeCell ref="V3:V4"/>
    <mergeCell ref="AN3:AN4"/>
    <mergeCell ref="CO3:CP3"/>
    <mergeCell ref="AP3:AP4"/>
    <mergeCell ref="AB3:AC3"/>
    <mergeCell ref="CL3:CL4"/>
    <mergeCell ref="AT3:AT4"/>
    <mergeCell ref="CJ3:CK3"/>
    <mergeCell ref="AK3:AK4"/>
    <mergeCell ref="BT3:BT4"/>
    <mergeCell ref="BF3:BG3"/>
    <mergeCell ref="BC3:BC4"/>
    <mergeCell ref="BW3:BW4"/>
    <mergeCell ref="BO3:BO4"/>
    <mergeCell ref="CI3:CI4"/>
  </mergeCells>
  <conditionalFormatting sqref="M6:M16 N6:N16 R6:R16 S6:S16 W6:W16 X6:X16 AB6:AB16 AC6:AC16 AG6:AG16 AH6:AH16 AL6:AL16 AM6:AM16 AQ6:AQ16 AR6:AR16 AV6:AV16 AW6:AW16 BA6:BA16 BB6:BB16 BF6:BF16 BG6:BG16 BK6:BK16 BL6:BL16 BP6:BP16 BQ6:BQ16 BU6:BU16 BV6:BV16 BZ6:BZ16 CA6:CA16 CE6:CE16 CF6:CF16 CJ6:CJ16 CK6:CK16 CO6:CO16 CP6:CP16">
    <cfRule type="cellIs" dxfId="13" priority="2" operator="lessThan">
      <formula>0</formula>
    </cfRule>
    <cfRule type="cellIs" dxfId="12" priority="3" operator="greaterThan">
      <formula>0</formula>
    </cfRule>
    <cfRule type="cellIs" dxfId="11" priority="1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2:EO84"/>
  <sheetViews>
    <sheetView topLeftCell="V13" workbookViewId="0">
      <selection activeCell="A25" sqref="A25:XFD25"/>
    </sheetView>
  </sheetViews>
  <sheetFormatPr defaultRowHeight="15" outlineLevelCol="1" x14ac:dyDescent="0.25"/>
  <cols>
    <col min="1" max="1" width="14.42578125" style="261" bestFit="1" customWidth="1"/>
    <col min="2" max="2" width="77.7109375" style="261" customWidth="1"/>
    <col min="3" max="3" width="15.85546875" style="212" customWidth="1" outlineLevel="1"/>
    <col min="4" max="4" width="11.85546875" style="212" customWidth="1" outlineLevel="1"/>
    <col min="5" max="5" width="10.5703125" style="212" customWidth="1" outlineLevel="1"/>
    <col min="6" max="6" width="20.85546875" style="212" customWidth="1" outlineLevel="1"/>
    <col min="7" max="7" width="43.28515625" style="212" customWidth="1" outlineLevel="1"/>
    <col min="8" max="8" width="23.42578125" style="212" customWidth="1" outlineLevel="1"/>
    <col min="9" max="9" width="19.7109375" style="261" customWidth="1"/>
    <col min="10" max="10" width="25" style="261" customWidth="1"/>
    <col min="11" max="11" width="15" style="261" hidden="1" customWidth="1" outlineLevel="1"/>
    <col min="12" max="12" width="25" style="261" customWidth="1" collapsed="1"/>
    <col min="13" max="13" width="15" style="261" hidden="1" customWidth="1" outlineLevel="1"/>
    <col min="14" max="14" width="25" style="261" customWidth="1" collapsed="1"/>
    <col min="15" max="15" width="15" style="261" hidden="1" customWidth="1" outlineLevel="1"/>
    <col min="16" max="16" width="15" style="261" customWidth="1" collapsed="1"/>
    <col min="17" max="17" width="15" style="261" customWidth="1"/>
    <col min="18" max="18" width="25" style="261" customWidth="1"/>
    <col min="19" max="19" width="15" style="261" hidden="1" customWidth="1" outlineLevel="1"/>
    <col min="20" max="20" width="25" style="261" customWidth="1" collapsed="1"/>
    <col min="21" max="21" width="15" style="261" hidden="1" customWidth="1" outlineLevel="1"/>
    <col min="22" max="22" width="25" style="261" customWidth="1" collapsed="1"/>
    <col min="23" max="23" width="15" style="261" hidden="1" customWidth="1" outlineLevel="1"/>
    <col min="24" max="24" width="15" style="261" customWidth="1" collapsed="1"/>
    <col min="25" max="25" width="15" style="261" customWidth="1"/>
    <col min="26" max="26" width="25" style="261" customWidth="1"/>
    <col min="27" max="27" width="15" style="261" hidden="1" customWidth="1" outlineLevel="1"/>
    <col min="28" max="28" width="25" style="261" customWidth="1" collapsed="1"/>
    <col min="29" max="29" width="15" style="261" hidden="1" customWidth="1" outlineLevel="1"/>
    <col min="30" max="30" width="25" style="261" customWidth="1" collapsed="1"/>
    <col min="31" max="31" width="15" style="261" hidden="1" customWidth="1" outlineLevel="1"/>
    <col min="32" max="32" width="15" style="261" customWidth="1" collapsed="1"/>
    <col min="33" max="33" width="15" style="261" customWidth="1"/>
    <col min="34" max="34" width="25" style="261" customWidth="1"/>
    <col min="35" max="35" width="15" style="261" hidden="1" customWidth="1" outlineLevel="1"/>
    <col min="36" max="36" width="25" style="261" customWidth="1" collapsed="1"/>
    <col min="37" max="37" width="15" style="261" hidden="1" customWidth="1" outlineLevel="1"/>
    <col min="38" max="38" width="25" style="261" customWidth="1" collapsed="1"/>
    <col min="39" max="39" width="15" style="261" hidden="1" customWidth="1" outlineLevel="1"/>
    <col min="40" max="40" width="15" style="261" customWidth="1" collapsed="1"/>
    <col min="41" max="41" width="15" style="261" customWidth="1"/>
    <col min="42" max="42" width="25" style="261" customWidth="1"/>
    <col min="43" max="43" width="15" style="261" hidden="1" customWidth="1" outlineLevel="1"/>
    <col min="44" max="44" width="25" style="261" customWidth="1" collapsed="1"/>
    <col min="45" max="45" width="15" style="261" hidden="1" customWidth="1" outlineLevel="1"/>
    <col min="46" max="46" width="25" style="261" customWidth="1" collapsed="1"/>
    <col min="47" max="47" width="15" style="261" hidden="1" customWidth="1" outlineLevel="1"/>
    <col min="48" max="48" width="15" style="261" customWidth="1" collapsed="1"/>
    <col min="49" max="49" width="15" style="261" customWidth="1"/>
    <col min="50" max="50" width="25" style="261" customWidth="1"/>
    <col min="51" max="51" width="15" style="261" hidden="1" customWidth="1" outlineLevel="1"/>
    <col min="52" max="52" width="25" style="261" customWidth="1"/>
    <col min="53" max="53" width="15" style="261" hidden="1" customWidth="1" outlineLevel="1"/>
    <col min="54" max="54" width="25" style="261" customWidth="1"/>
    <col min="55" max="55" width="15" style="261" hidden="1" customWidth="1" outlineLevel="1"/>
    <col min="56" max="57" width="15" style="261" customWidth="1"/>
    <col min="58" max="58" width="25" style="261" customWidth="1"/>
    <col min="59" max="59" width="15" style="261" hidden="1" customWidth="1" outlineLevel="1"/>
    <col min="60" max="60" width="25" style="261" customWidth="1"/>
    <col min="61" max="61" width="15" style="261" hidden="1" customWidth="1" outlineLevel="1"/>
    <col min="62" max="62" width="25" style="261" customWidth="1"/>
    <col min="63" max="63" width="15" style="261" hidden="1" customWidth="1" outlineLevel="1"/>
    <col min="64" max="65" width="15" style="261" customWidth="1"/>
    <col min="66" max="66" width="25" style="261" customWidth="1"/>
    <col min="67" max="67" width="15" style="261" hidden="1" customWidth="1" outlineLevel="1"/>
    <col min="68" max="68" width="25" style="261" customWidth="1"/>
    <col min="69" max="69" width="15" style="261" hidden="1" customWidth="1" outlineLevel="1"/>
    <col min="70" max="70" width="25" style="261" customWidth="1"/>
    <col min="71" max="71" width="15" style="261" hidden="1" customWidth="1" outlineLevel="1"/>
    <col min="72" max="73" width="15" style="261" customWidth="1"/>
    <col min="74" max="74" width="25" style="261" customWidth="1"/>
    <col min="75" max="75" width="15" style="261" hidden="1" customWidth="1" outlineLevel="1"/>
    <col min="76" max="76" width="25" style="261" customWidth="1"/>
    <col min="77" max="77" width="15" style="261" hidden="1" customWidth="1" outlineLevel="1"/>
    <col min="78" max="78" width="25" style="261" customWidth="1"/>
    <col min="79" max="79" width="15" style="261" hidden="1" customWidth="1" outlineLevel="1"/>
    <col min="80" max="81" width="15" style="261" customWidth="1"/>
    <col min="82" max="82" width="25" style="261" customWidth="1"/>
    <col min="83" max="83" width="15" style="261" hidden="1" customWidth="1" outlineLevel="1"/>
    <col min="84" max="84" width="25" style="261" customWidth="1"/>
    <col min="85" max="85" width="15" style="261" hidden="1" customWidth="1" outlineLevel="1"/>
    <col min="86" max="86" width="25" style="261" customWidth="1"/>
    <col min="87" max="87" width="15" style="261" hidden="1" customWidth="1" outlineLevel="1"/>
    <col min="88" max="89" width="15" style="261" customWidth="1"/>
    <col min="90" max="90" width="25" style="261" customWidth="1"/>
    <col min="91" max="91" width="15" style="261" hidden="1" customWidth="1" outlineLevel="1"/>
    <col min="92" max="92" width="25" style="261" customWidth="1"/>
    <col min="93" max="93" width="15" style="261" hidden="1" customWidth="1" outlineLevel="1"/>
    <col min="94" max="94" width="25" style="261" customWidth="1"/>
    <col min="95" max="95" width="15" style="261" hidden="1" customWidth="1" outlineLevel="1"/>
    <col min="96" max="97" width="15" style="261" customWidth="1"/>
    <col min="98" max="98" width="25" style="261" customWidth="1"/>
    <col min="99" max="99" width="15" style="261" hidden="1" customWidth="1" outlineLevel="1"/>
    <col min="100" max="100" width="25" style="261" customWidth="1"/>
    <col min="101" max="101" width="15" style="261" hidden="1" customWidth="1" outlineLevel="1"/>
    <col min="102" max="102" width="25" style="261" customWidth="1"/>
    <col min="103" max="103" width="15" style="261" hidden="1" customWidth="1" outlineLevel="1"/>
    <col min="104" max="105" width="15" style="261" customWidth="1"/>
    <col min="106" max="106" width="25" style="261" customWidth="1"/>
    <col min="107" max="107" width="15" style="261" hidden="1" customWidth="1" outlineLevel="1"/>
    <col min="108" max="108" width="25" style="261" customWidth="1"/>
    <col min="109" max="109" width="15" style="261" hidden="1" customWidth="1" outlineLevel="1"/>
    <col min="110" max="110" width="25" style="261" customWidth="1"/>
    <col min="111" max="111" width="15" style="261" hidden="1" customWidth="1" outlineLevel="1"/>
    <col min="112" max="113" width="15" style="261" customWidth="1"/>
    <col min="114" max="114" width="25" style="261" customWidth="1"/>
    <col min="115" max="115" width="15" style="261" hidden="1" customWidth="1" outlineLevel="1"/>
    <col min="116" max="116" width="25" style="261" customWidth="1"/>
    <col min="117" max="117" width="15" style="261" hidden="1" customWidth="1" outlineLevel="1"/>
    <col min="118" max="118" width="25" style="261" customWidth="1"/>
    <col min="119" max="119" width="15" style="261" hidden="1" customWidth="1" outlineLevel="1"/>
    <col min="120" max="121" width="15" style="261" customWidth="1"/>
    <col min="122" max="122" width="25" style="261" customWidth="1"/>
    <col min="123" max="123" width="15" style="261" hidden="1" customWidth="1" outlineLevel="1"/>
    <col min="124" max="124" width="25" style="261" customWidth="1"/>
    <col min="125" max="125" width="15" style="261" hidden="1" customWidth="1" outlineLevel="1"/>
    <col min="126" max="126" width="25" style="261" customWidth="1"/>
    <col min="127" max="127" width="15" style="261" hidden="1" customWidth="1" outlineLevel="1"/>
    <col min="128" max="129" width="15" style="261" customWidth="1"/>
    <col min="130" max="130" width="25" style="261" customWidth="1"/>
    <col min="131" max="131" width="15" style="261" hidden="1" customWidth="1" outlineLevel="1"/>
    <col min="132" max="132" width="25" style="261" customWidth="1"/>
    <col min="133" max="133" width="15" style="261" hidden="1" customWidth="1" outlineLevel="1"/>
    <col min="134" max="134" width="25" style="261" customWidth="1"/>
    <col min="135" max="135" width="15" style="261" hidden="1" customWidth="1" outlineLevel="1"/>
    <col min="136" max="137" width="15" style="261" customWidth="1"/>
    <col min="138" max="138" width="25" style="261" customWidth="1"/>
    <col min="139" max="139" width="15" style="261" hidden="1" customWidth="1" outlineLevel="1"/>
    <col min="140" max="140" width="25" style="261" customWidth="1"/>
    <col min="141" max="141" width="15" style="261" hidden="1" customWidth="1" outlineLevel="1"/>
    <col min="142" max="142" width="25" style="261" customWidth="1"/>
    <col min="143" max="143" width="15" style="261" hidden="1" customWidth="1" outlineLevel="1"/>
    <col min="144" max="145" width="15" style="261" customWidth="1"/>
  </cols>
  <sheetData>
    <row r="2" spans="1:145" ht="20.100000000000001" customHeight="1" x14ac:dyDescent="0.25">
      <c r="A2" s="321" t="s">
        <v>1514</v>
      </c>
      <c r="B2" s="317" t="s">
        <v>0</v>
      </c>
      <c r="C2" s="296" t="s">
        <v>1</v>
      </c>
      <c r="D2" s="297"/>
      <c r="E2" s="297"/>
      <c r="F2" s="297"/>
      <c r="G2" s="297"/>
      <c r="H2" s="298"/>
      <c r="I2" s="279" t="s">
        <v>2</v>
      </c>
      <c r="J2" s="271" t="s">
        <v>1435</v>
      </c>
      <c r="K2" s="272"/>
      <c r="L2" s="271" t="s">
        <v>1435</v>
      </c>
      <c r="M2" s="272"/>
      <c r="N2" s="271" t="s">
        <v>1435</v>
      </c>
      <c r="O2" s="272"/>
      <c r="P2" s="272"/>
      <c r="Q2" s="272"/>
      <c r="R2" s="271" t="s">
        <v>1436</v>
      </c>
      <c r="S2" s="272"/>
      <c r="T2" s="271" t="s">
        <v>1436</v>
      </c>
      <c r="U2" s="272"/>
      <c r="V2" s="271" t="s">
        <v>1436</v>
      </c>
      <c r="W2" s="272"/>
      <c r="X2" s="272"/>
      <c r="Y2" s="272"/>
      <c r="Z2" s="271" t="s">
        <v>1437</v>
      </c>
      <c r="AA2" s="272"/>
      <c r="AB2" s="271" t="s">
        <v>1437</v>
      </c>
      <c r="AC2" s="272"/>
      <c r="AD2" s="271" t="s">
        <v>1437</v>
      </c>
      <c r="AE2" s="272"/>
      <c r="AF2" s="272"/>
      <c r="AG2" s="272"/>
      <c r="AH2" s="271" t="s">
        <v>1438</v>
      </c>
      <c r="AI2" s="272"/>
      <c r="AJ2" s="271" t="s">
        <v>1438</v>
      </c>
      <c r="AK2" s="272"/>
      <c r="AL2" s="271" t="s">
        <v>1438</v>
      </c>
      <c r="AM2" s="272"/>
      <c r="AN2" s="272"/>
      <c r="AO2" s="272"/>
      <c r="AP2" s="271" t="s">
        <v>1439</v>
      </c>
      <c r="AQ2" s="272"/>
      <c r="AR2" s="271" t="s">
        <v>1439</v>
      </c>
      <c r="AS2" s="272"/>
      <c r="AT2" s="271" t="s">
        <v>1439</v>
      </c>
      <c r="AU2" s="272"/>
      <c r="AV2" s="272"/>
      <c r="AW2" s="272"/>
      <c r="AX2" s="271" t="s">
        <v>1440</v>
      </c>
      <c r="AY2" s="272"/>
      <c r="AZ2" s="271" t="s">
        <v>1440</v>
      </c>
      <c r="BA2" s="272"/>
      <c r="BB2" s="271" t="s">
        <v>1440</v>
      </c>
      <c r="BC2" s="272"/>
      <c r="BD2" s="272"/>
      <c r="BE2" s="272"/>
      <c r="BF2" s="271" t="s">
        <v>1441</v>
      </c>
      <c r="BG2" s="272"/>
      <c r="BH2" s="271" t="s">
        <v>1441</v>
      </c>
      <c r="BI2" s="272"/>
      <c r="BJ2" s="271" t="s">
        <v>1441</v>
      </c>
      <c r="BK2" s="272"/>
      <c r="BL2" s="272"/>
      <c r="BM2" s="272"/>
      <c r="BN2" s="271" t="s">
        <v>1442</v>
      </c>
      <c r="BO2" s="272"/>
      <c r="BP2" s="271" t="s">
        <v>1442</v>
      </c>
      <c r="BQ2" s="272"/>
      <c r="BR2" s="271" t="s">
        <v>1442</v>
      </c>
      <c r="BS2" s="272"/>
      <c r="BT2" s="272"/>
      <c r="BU2" s="272"/>
      <c r="BV2" s="271" t="s">
        <v>1443</v>
      </c>
      <c r="BW2" s="272"/>
      <c r="BX2" s="271" t="s">
        <v>1443</v>
      </c>
      <c r="BY2" s="272"/>
      <c r="BZ2" s="271" t="s">
        <v>1443</v>
      </c>
      <c r="CA2" s="272"/>
      <c r="CB2" s="272"/>
      <c r="CC2" s="272"/>
      <c r="CD2" s="271" t="s">
        <v>1444</v>
      </c>
      <c r="CE2" s="272"/>
      <c r="CF2" s="271" t="s">
        <v>1444</v>
      </c>
      <c r="CG2" s="272"/>
      <c r="CH2" s="271" t="s">
        <v>1444</v>
      </c>
      <c r="CI2" s="272"/>
      <c r="CJ2" s="272"/>
      <c r="CK2" s="272"/>
      <c r="CL2" s="271" t="s">
        <v>1445</v>
      </c>
      <c r="CM2" s="272"/>
      <c r="CN2" s="271" t="s">
        <v>1445</v>
      </c>
      <c r="CO2" s="272"/>
      <c r="CP2" s="271" t="s">
        <v>1445</v>
      </c>
      <c r="CQ2" s="272"/>
      <c r="CR2" s="272"/>
      <c r="CS2" s="272"/>
      <c r="CT2" s="271" t="s">
        <v>1446</v>
      </c>
      <c r="CU2" s="272"/>
      <c r="CV2" s="271" t="s">
        <v>1446</v>
      </c>
      <c r="CW2" s="272"/>
      <c r="CX2" s="271" t="s">
        <v>1446</v>
      </c>
      <c r="CY2" s="272"/>
      <c r="CZ2" s="272"/>
      <c r="DA2" s="272"/>
      <c r="DB2" s="271" t="s">
        <v>1447</v>
      </c>
      <c r="DC2" s="272"/>
      <c r="DD2" s="271" t="s">
        <v>1447</v>
      </c>
      <c r="DE2" s="272"/>
      <c r="DF2" s="271" t="s">
        <v>1447</v>
      </c>
      <c r="DG2" s="272"/>
      <c r="DH2" s="272"/>
      <c r="DI2" s="272"/>
      <c r="DJ2" s="271" t="s">
        <v>1448</v>
      </c>
      <c r="DK2" s="272"/>
      <c r="DL2" s="271" t="s">
        <v>1448</v>
      </c>
      <c r="DM2" s="272"/>
      <c r="DN2" s="271" t="s">
        <v>1448</v>
      </c>
      <c r="DO2" s="272"/>
      <c r="DP2" s="272"/>
      <c r="DQ2" s="272"/>
      <c r="DR2" s="271" t="s">
        <v>1449</v>
      </c>
      <c r="DS2" s="272"/>
      <c r="DT2" s="271" t="s">
        <v>1449</v>
      </c>
      <c r="DU2" s="272"/>
      <c r="DV2" s="271" t="s">
        <v>1449</v>
      </c>
      <c r="DW2" s="272"/>
      <c r="DX2" s="272"/>
      <c r="DY2" s="272"/>
      <c r="DZ2" s="271" t="s">
        <v>1450</v>
      </c>
      <c r="EA2" s="272"/>
      <c r="EB2" s="271" t="s">
        <v>1450</v>
      </c>
      <c r="EC2" s="272"/>
      <c r="ED2" s="271" t="s">
        <v>1450</v>
      </c>
      <c r="EE2" s="272"/>
      <c r="EF2" s="272"/>
      <c r="EG2" s="272"/>
      <c r="EH2" s="271" t="s">
        <v>1451</v>
      </c>
      <c r="EI2" s="272"/>
      <c r="EJ2" s="271" t="s">
        <v>1451</v>
      </c>
      <c r="EK2" s="272"/>
      <c r="EL2" s="271" t="s">
        <v>1451</v>
      </c>
      <c r="EM2" s="272"/>
      <c r="EN2" s="272"/>
      <c r="EO2" s="272"/>
    </row>
    <row r="3" spans="1:145" ht="39.950000000000003" customHeight="1" x14ac:dyDescent="0.25">
      <c r="A3" s="280"/>
      <c r="B3" s="289"/>
      <c r="C3" s="293" t="s">
        <v>3</v>
      </c>
      <c r="D3" s="285" t="s">
        <v>4</v>
      </c>
      <c r="E3" s="285" t="s">
        <v>5</v>
      </c>
      <c r="F3" s="285" t="s">
        <v>6</v>
      </c>
      <c r="G3" s="285" t="s">
        <v>7</v>
      </c>
      <c r="H3" s="285" t="s">
        <v>8</v>
      </c>
      <c r="I3" s="280"/>
      <c r="J3" s="312" t="s">
        <v>1452</v>
      </c>
      <c r="K3" s="313" t="s">
        <v>1515</v>
      </c>
      <c r="L3" s="312" t="s">
        <v>1453</v>
      </c>
      <c r="M3" s="313" t="s">
        <v>1515</v>
      </c>
      <c r="N3" s="312" t="s">
        <v>1454</v>
      </c>
      <c r="O3" s="313" t="s">
        <v>1515</v>
      </c>
      <c r="P3" s="313" t="s">
        <v>1455</v>
      </c>
      <c r="Q3" s="298"/>
      <c r="R3" s="312" t="s">
        <v>1452</v>
      </c>
      <c r="S3" s="313" t="s">
        <v>1515</v>
      </c>
      <c r="T3" s="312" t="s">
        <v>1453</v>
      </c>
      <c r="U3" s="313" t="s">
        <v>1515</v>
      </c>
      <c r="V3" s="312" t="s">
        <v>1454</v>
      </c>
      <c r="W3" s="313" t="s">
        <v>1515</v>
      </c>
      <c r="X3" s="313" t="s">
        <v>1455</v>
      </c>
      <c r="Y3" s="298"/>
      <c r="Z3" s="312" t="s">
        <v>1452</v>
      </c>
      <c r="AA3" s="313" t="s">
        <v>1515</v>
      </c>
      <c r="AB3" s="312" t="s">
        <v>1453</v>
      </c>
      <c r="AC3" s="313" t="s">
        <v>1515</v>
      </c>
      <c r="AD3" s="312" t="s">
        <v>1454</v>
      </c>
      <c r="AE3" s="313" t="s">
        <v>1515</v>
      </c>
      <c r="AF3" s="313" t="s">
        <v>1455</v>
      </c>
      <c r="AG3" s="298"/>
      <c r="AH3" s="312" t="s">
        <v>1452</v>
      </c>
      <c r="AI3" s="313" t="s">
        <v>1515</v>
      </c>
      <c r="AJ3" s="312" t="s">
        <v>1453</v>
      </c>
      <c r="AK3" s="313" t="s">
        <v>1515</v>
      </c>
      <c r="AL3" s="312" t="s">
        <v>1454</v>
      </c>
      <c r="AM3" s="313" t="s">
        <v>1515</v>
      </c>
      <c r="AN3" s="313" t="s">
        <v>1455</v>
      </c>
      <c r="AO3" s="298"/>
      <c r="AP3" s="312" t="s">
        <v>1452</v>
      </c>
      <c r="AQ3" s="313" t="s">
        <v>1515</v>
      </c>
      <c r="AR3" s="312" t="s">
        <v>1453</v>
      </c>
      <c r="AS3" s="313" t="s">
        <v>1515</v>
      </c>
      <c r="AT3" s="312" t="s">
        <v>1454</v>
      </c>
      <c r="AU3" s="313" t="s">
        <v>1515</v>
      </c>
      <c r="AV3" s="313" t="s">
        <v>1455</v>
      </c>
      <c r="AW3" s="298"/>
      <c r="AX3" s="312" t="s">
        <v>1452</v>
      </c>
      <c r="AY3" s="313" t="s">
        <v>1515</v>
      </c>
      <c r="AZ3" s="312" t="s">
        <v>1453</v>
      </c>
      <c r="BA3" s="313" t="s">
        <v>1515</v>
      </c>
      <c r="BB3" s="312" t="s">
        <v>1454</v>
      </c>
      <c r="BC3" s="313" t="s">
        <v>1515</v>
      </c>
      <c r="BD3" s="313" t="s">
        <v>1455</v>
      </c>
      <c r="BE3" s="298"/>
      <c r="BF3" s="312" t="s">
        <v>1452</v>
      </c>
      <c r="BG3" s="313" t="s">
        <v>1515</v>
      </c>
      <c r="BH3" s="312" t="s">
        <v>1453</v>
      </c>
      <c r="BI3" s="313" t="s">
        <v>1515</v>
      </c>
      <c r="BJ3" s="312" t="s">
        <v>1454</v>
      </c>
      <c r="BK3" s="313" t="s">
        <v>1515</v>
      </c>
      <c r="BL3" s="313" t="s">
        <v>1455</v>
      </c>
      <c r="BM3" s="298"/>
      <c r="BN3" s="312" t="s">
        <v>1452</v>
      </c>
      <c r="BO3" s="313" t="s">
        <v>1515</v>
      </c>
      <c r="BP3" s="312" t="s">
        <v>1453</v>
      </c>
      <c r="BQ3" s="313" t="s">
        <v>1515</v>
      </c>
      <c r="BR3" s="312" t="s">
        <v>1454</v>
      </c>
      <c r="BS3" s="313" t="s">
        <v>1515</v>
      </c>
      <c r="BT3" s="313" t="s">
        <v>1455</v>
      </c>
      <c r="BU3" s="298"/>
      <c r="BV3" s="312" t="s">
        <v>1452</v>
      </c>
      <c r="BW3" s="313" t="s">
        <v>1515</v>
      </c>
      <c r="BX3" s="312" t="s">
        <v>1453</v>
      </c>
      <c r="BY3" s="313" t="s">
        <v>1515</v>
      </c>
      <c r="BZ3" s="312" t="s">
        <v>1454</v>
      </c>
      <c r="CA3" s="313" t="s">
        <v>1515</v>
      </c>
      <c r="CB3" s="313" t="s">
        <v>1455</v>
      </c>
      <c r="CC3" s="298"/>
      <c r="CD3" s="312" t="s">
        <v>1452</v>
      </c>
      <c r="CE3" s="313" t="s">
        <v>1515</v>
      </c>
      <c r="CF3" s="312" t="s">
        <v>1453</v>
      </c>
      <c r="CG3" s="313" t="s">
        <v>1515</v>
      </c>
      <c r="CH3" s="312" t="s">
        <v>1454</v>
      </c>
      <c r="CI3" s="313" t="s">
        <v>1515</v>
      </c>
      <c r="CJ3" s="313" t="s">
        <v>1455</v>
      </c>
      <c r="CK3" s="298"/>
      <c r="CL3" s="312" t="s">
        <v>1452</v>
      </c>
      <c r="CM3" s="313" t="s">
        <v>1515</v>
      </c>
      <c r="CN3" s="312" t="s">
        <v>1453</v>
      </c>
      <c r="CO3" s="313" t="s">
        <v>1515</v>
      </c>
      <c r="CP3" s="312" t="s">
        <v>1454</v>
      </c>
      <c r="CQ3" s="313" t="s">
        <v>1515</v>
      </c>
      <c r="CR3" s="313" t="s">
        <v>1455</v>
      </c>
      <c r="CS3" s="298"/>
      <c r="CT3" s="312" t="s">
        <v>1452</v>
      </c>
      <c r="CU3" s="313" t="s">
        <v>1515</v>
      </c>
      <c r="CV3" s="312" t="s">
        <v>1453</v>
      </c>
      <c r="CW3" s="313" t="s">
        <v>1515</v>
      </c>
      <c r="CX3" s="312" t="s">
        <v>1454</v>
      </c>
      <c r="CY3" s="313" t="s">
        <v>1515</v>
      </c>
      <c r="CZ3" s="313" t="s">
        <v>1455</v>
      </c>
      <c r="DA3" s="298"/>
      <c r="DB3" s="312" t="s">
        <v>1452</v>
      </c>
      <c r="DC3" s="313" t="s">
        <v>1515</v>
      </c>
      <c r="DD3" s="312" t="s">
        <v>1453</v>
      </c>
      <c r="DE3" s="313" t="s">
        <v>1515</v>
      </c>
      <c r="DF3" s="312" t="s">
        <v>1454</v>
      </c>
      <c r="DG3" s="313" t="s">
        <v>1515</v>
      </c>
      <c r="DH3" s="313" t="s">
        <v>1455</v>
      </c>
      <c r="DI3" s="298"/>
      <c r="DJ3" s="312" t="s">
        <v>1452</v>
      </c>
      <c r="DK3" s="313" t="s">
        <v>1515</v>
      </c>
      <c r="DL3" s="312" t="s">
        <v>1453</v>
      </c>
      <c r="DM3" s="313" t="s">
        <v>1515</v>
      </c>
      <c r="DN3" s="312" t="s">
        <v>1454</v>
      </c>
      <c r="DO3" s="313" t="s">
        <v>1515</v>
      </c>
      <c r="DP3" s="313" t="s">
        <v>1455</v>
      </c>
      <c r="DQ3" s="298"/>
      <c r="DR3" s="312" t="s">
        <v>1452</v>
      </c>
      <c r="DS3" s="313" t="s">
        <v>1515</v>
      </c>
      <c r="DT3" s="312" t="s">
        <v>1453</v>
      </c>
      <c r="DU3" s="313" t="s">
        <v>1515</v>
      </c>
      <c r="DV3" s="312" t="s">
        <v>1454</v>
      </c>
      <c r="DW3" s="313" t="s">
        <v>1515</v>
      </c>
      <c r="DX3" s="313" t="s">
        <v>1455</v>
      </c>
      <c r="DY3" s="298"/>
      <c r="DZ3" s="312" t="s">
        <v>1452</v>
      </c>
      <c r="EA3" s="313" t="s">
        <v>1515</v>
      </c>
      <c r="EB3" s="312" t="s">
        <v>1453</v>
      </c>
      <c r="EC3" s="313" t="s">
        <v>1515</v>
      </c>
      <c r="ED3" s="312" t="s">
        <v>1454</v>
      </c>
      <c r="EE3" s="313" t="s">
        <v>1515</v>
      </c>
      <c r="EF3" s="313" t="s">
        <v>1455</v>
      </c>
      <c r="EG3" s="298"/>
      <c r="EH3" s="312" t="s">
        <v>1452</v>
      </c>
      <c r="EI3" s="313" t="s">
        <v>1515</v>
      </c>
      <c r="EJ3" s="312" t="s">
        <v>1453</v>
      </c>
      <c r="EK3" s="313" t="s">
        <v>1515</v>
      </c>
      <c r="EL3" s="312" t="s">
        <v>1454</v>
      </c>
      <c r="EM3" s="313" t="s">
        <v>1515</v>
      </c>
      <c r="EN3" s="313" t="s">
        <v>1455</v>
      </c>
      <c r="EO3" s="298"/>
    </row>
    <row r="4" spans="1:145" ht="20.100000000000001" customHeight="1" x14ac:dyDescent="0.25">
      <c r="A4" s="281"/>
      <c r="B4" s="283"/>
      <c r="C4" s="294"/>
      <c r="D4" s="281"/>
      <c r="E4" s="281"/>
      <c r="F4" s="281"/>
      <c r="G4" s="281"/>
      <c r="H4" s="281"/>
      <c r="I4" s="281"/>
      <c r="J4" s="283"/>
      <c r="K4" s="283"/>
      <c r="L4" s="283"/>
      <c r="M4" s="283"/>
      <c r="N4" s="283"/>
      <c r="O4" s="283"/>
      <c r="P4" s="273" t="s">
        <v>1456</v>
      </c>
      <c r="Q4" s="273" t="s">
        <v>1457</v>
      </c>
      <c r="R4" s="283"/>
      <c r="S4" s="283"/>
      <c r="T4" s="283"/>
      <c r="U4" s="283"/>
      <c r="V4" s="283"/>
      <c r="W4" s="283"/>
      <c r="X4" s="273" t="s">
        <v>1456</v>
      </c>
      <c r="Y4" s="273" t="s">
        <v>1457</v>
      </c>
      <c r="Z4" s="283"/>
      <c r="AA4" s="283"/>
      <c r="AB4" s="283"/>
      <c r="AC4" s="283"/>
      <c r="AD4" s="283"/>
      <c r="AE4" s="283"/>
      <c r="AF4" s="273" t="s">
        <v>1456</v>
      </c>
      <c r="AG4" s="273" t="s">
        <v>1457</v>
      </c>
      <c r="AH4" s="283"/>
      <c r="AI4" s="283"/>
      <c r="AJ4" s="283"/>
      <c r="AK4" s="283"/>
      <c r="AL4" s="283"/>
      <c r="AM4" s="283"/>
      <c r="AN4" s="273" t="s">
        <v>1456</v>
      </c>
      <c r="AO4" s="273" t="s">
        <v>1457</v>
      </c>
      <c r="AP4" s="283"/>
      <c r="AQ4" s="283"/>
      <c r="AR4" s="283"/>
      <c r="AS4" s="283"/>
      <c r="AT4" s="283"/>
      <c r="AU4" s="283"/>
      <c r="AV4" s="273" t="s">
        <v>1456</v>
      </c>
      <c r="AW4" s="273" t="s">
        <v>1457</v>
      </c>
      <c r="AX4" s="283"/>
      <c r="AY4" s="283"/>
      <c r="AZ4" s="283"/>
      <c r="BA4" s="283"/>
      <c r="BB4" s="283"/>
      <c r="BC4" s="283"/>
      <c r="BD4" s="273" t="s">
        <v>1456</v>
      </c>
      <c r="BE4" s="273" t="s">
        <v>1457</v>
      </c>
      <c r="BF4" s="283"/>
      <c r="BG4" s="283"/>
      <c r="BH4" s="283"/>
      <c r="BI4" s="283"/>
      <c r="BJ4" s="283"/>
      <c r="BK4" s="283"/>
      <c r="BL4" s="273" t="s">
        <v>1456</v>
      </c>
      <c r="BM4" s="273" t="s">
        <v>1457</v>
      </c>
      <c r="BN4" s="283"/>
      <c r="BO4" s="283"/>
      <c r="BP4" s="283"/>
      <c r="BQ4" s="283"/>
      <c r="BR4" s="283"/>
      <c r="BS4" s="283"/>
      <c r="BT4" s="273" t="s">
        <v>1456</v>
      </c>
      <c r="BU4" s="273" t="s">
        <v>1457</v>
      </c>
      <c r="BV4" s="283"/>
      <c r="BW4" s="283"/>
      <c r="BX4" s="283"/>
      <c r="BY4" s="283"/>
      <c r="BZ4" s="283"/>
      <c r="CA4" s="283"/>
      <c r="CB4" s="273" t="s">
        <v>1456</v>
      </c>
      <c r="CC4" s="273" t="s">
        <v>1457</v>
      </c>
      <c r="CD4" s="283"/>
      <c r="CE4" s="283"/>
      <c r="CF4" s="283"/>
      <c r="CG4" s="283"/>
      <c r="CH4" s="283"/>
      <c r="CI4" s="283"/>
      <c r="CJ4" s="273" t="s">
        <v>1456</v>
      </c>
      <c r="CK4" s="273" t="s">
        <v>1457</v>
      </c>
      <c r="CL4" s="283"/>
      <c r="CM4" s="283"/>
      <c r="CN4" s="283"/>
      <c r="CO4" s="283"/>
      <c r="CP4" s="283"/>
      <c r="CQ4" s="283"/>
      <c r="CR4" s="273" t="s">
        <v>1456</v>
      </c>
      <c r="CS4" s="273" t="s">
        <v>1457</v>
      </c>
      <c r="CT4" s="283"/>
      <c r="CU4" s="283"/>
      <c r="CV4" s="283"/>
      <c r="CW4" s="283"/>
      <c r="CX4" s="283"/>
      <c r="CY4" s="283"/>
      <c r="CZ4" s="273" t="s">
        <v>1456</v>
      </c>
      <c r="DA4" s="273" t="s">
        <v>1457</v>
      </c>
      <c r="DB4" s="283"/>
      <c r="DC4" s="283"/>
      <c r="DD4" s="283"/>
      <c r="DE4" s="283"/>
      <c r="DF4" s="283"/>
      <c r="DG4" s="283"/>
      <c r="DH4" s="273" t="s">
        <v>1456</v>
      </c>
      <c r="DI4" s="273" t="s">
        <v>1457</v>
      </c>
      <c r="DJ4" s="283"/>
      <c r="DK4" s="283"/>
      <c r="DL4" s="283"/>
      <c r="DM4" s="283"/>
      <c r="DN4" s="283"/>
      <c r="DO4" s="283"/>
      <c r="DP4" s="273" t="s">
        <v>1456</v>
      </c>
      <c r="DQ4" s="273" t="s">
        <v>1457</v>
      </c>
      <c r="DR4" s="283"/>
      <c r="DS4" s="283"/>
      <c r="DT4" s="283"/>
      <c r="DU4" s="283"/>
      <c r="DV4" s="283"/>
      <c r="DW4" s="283"/>
      <c r="DX4" s="273" t="s">
        <v>1456</v>
      </c>
      <c r="DY4" s="273" t="s">
        <v>1457</v>
      </c>
      <c r="DZ4" s="283"/>
      <c r="EA4" s="283"/>
      <c r="EB4" s="283"/>
      <c r="EC4" s="283"/>
      <c r="ED4" s="283"/>
      <c r="EE4" s="283"/>
      <c r="EF4" s="273" t="s">
        <v>1456</v>
      </c>
      <c r="EG4" s="273" t="s">
        <v>1457</v>
      </c>
      <c r="EH4" s="283"/>
      <c r="EI4" s="283"/>
      <c r="EJ4" s="283"/>
      <c r="EK4" s="283"/>
      <c r="EL4" s="283"/>
      <c r="EM4" s="283"/>
      <c r="EN4" s="273" t="s">
        <v>1456</v>
      </c>
      <c r="EO4" s="273" t="s">
        <v>1457</v>
      </c>
    </row>
    <row r="5" spans="1:145" ht="20.100000000000001" customHeight="1" x14ac:dyDescent="0.3">
      <c r="A5" s="35"/>
      <c r="B5" s="211"/>
      <c r="C5" s="215"/>
      <c r="D5" s="215"/>
      <c r="E5" s="215"/>
      <c r="F5" s="216"/>
      <c r="G5" s="216"/>
      <c r="H5" s="216"/>
      <c r="I5" s="210"/>
      <c r="J5" s="274" t="s">
        <v>1458</v>
      </c>
      <c r="K5" s="274"/>
      <c r="L5" s="274" t="s">
        <v>1459</v>
      </c>
      <c r="M5" s="274"/>
      <c r="N5" s="274" t="s">
        <v>1460</v>
      </c>
      <c r="O5" s="274"/>
      <c r="P5" s="274"/>
      <c r="Q5" s="274"/>
      <c r="R5" s="274" t="s">
        <v>1461</v>
      </c>
      <c r="S5" s="274"/>
      <c r="T5" s="274" t="s">
        <v>1462</v>
      </c>
      <c r="U5" s="274"/>
      <c r="V5" s="274" t="s">
        <v>1463</v>
      </c>
      <c r="W5" s="274"/>
      <c r="X5" s="274"/>
      <c r="Y5" s="274"/>
      <c r="Z5" s="274" t="s">
        <v>1464</v>
      </c>
      <c r="AA5" s="274"/>
      <c r="AB5" s="274" t="s">
        <v>1465</v>
      </c>
      <c r="AC5" s="274"/>
      <c r="AD5" s="274" t="s">
        <v>1466</v>
      </c>
      <c r="AE5" s="274"/>
      <c r="AF5" s="274"/>
      <c r="AG5" s="274"/>
      <c r="AH5" s="274" t="s">
        <v>1467</v>
      </c>
      <c r="AI5" s="274"/>
      <c r="AJ5" s="274" t="s">
        <v>1468</v>
      </c>
      <c r="AK5" s="274"/>
      <c r="AL5" s="274" t="s">
        <v>1469</v>
      </c>
      <c r="AM5" s="274"/>
      <c r="AN5" s="274"/>
      <c r="AO5" s="274"/>
      <c r="AP5" s="274" t="s">
        <v>1470</v>
      </c>
      <c r="AQ5" s="274"/>
      <c r="AR5" s="274" t="s">
        <v>1471</v>
      </c>
      <c r="AS5" s="274"/>
      <c r="AT5" s="274" t="s">
        <v>1472</v>
      </c>
      <c r="AU5" s="274"/>
      <c r="AV5" s="274"/>
      <c r="AW5" s="274"/>
      <c r="AX5" s="274" t="s">
        <v>1473</v>
      </c>
      <c r="AY5" s="274"/>
      <c r="AZ5" s="274" t="s">
        <v>1474</v>
      </c>
      <c r="BA5" s="274"/>
      <c r="BB5" s="274" t="s">
        <v>1475</v>
      </c>
      <c r="BC5" s="274"/>
      <c r="BD5" s="274"/>
      <c r="BE5" s="274"/>
      <c r="BF5" s="274" t="s">
        <v>1476</v>
      </c>
      <c r="BG5" s="274"/>
      <c r="BH5" s="274" t="s">
        <v>1477</v>
      </c>
      <c r="BI5" s="274"/>
      <c r="BJ5" s="274" t="s">
        <v>1478</v>
      </c>
      <c r="BK5" s="274"/>
      <c r="BL5" s="274"/>
      <c r="BM5" s="274"/>
      <c r="BN5" s="274" t="s">
        <v>1479</v>
      </c>
      <c r="BO5" s="274"/>
      <c r="BP5" s="274" t="s">
        <v>1480</v>
      </c>
      <c r="BQ5" s="274"/>
      <c r="BR5" s="274" t="s">
        <v>1481</v>
      </c>
      <c r="BS5" s="274"/>
      <c r="BT5" s="274"/>
      <c r="BU5" s="274"/>
      <c r="BV5" s="274" t="s">
        <v>1482</v>
      </c>
      <c r="BW5" s="274"/>
      <c r="BX5" s="274" t="s">
        <v>1483</v>
      </c>
      <c r="BY5" s="274"/>
      <c r="BZ5" s="274" t="s">
        <v>1484</v>
      </c>
      <c r="CA5" s="274"/>
      <c r="CB5" s="274"/>
      <c r="CC5" s="274"/>
      <c r="CD5" s="274" t="s">
        <v>1485</v>
      </c>
      <c r="CE5" s="274"/>
      <c r="CF5" s="274" t="s">
        <v>1486</v>
      </c>
      <c r="CG5" s="274"/>
      <c r="CH5" s="274" t="s">
        <v>1487</v>
      </c>
      <c r="CI5" s="274"/>
      <c r="CJ5" s="274"/>
      <c r="CK5" s="274"/>
      <c r="CL5" s="274" t="s">
        <v>1488</v>
      </c>
      <c r="CM5" s="274"/>
      <c r="CN5" s="274" t="s">
        <v>1489</v>
      </c>
      <c r="CO5" s="274"/>
      <c r="CP5" s="274" t="s">
        <v>1490</v>
      </c>
      <c r="CQ5" s="274"/>
      <c r="CR5" s="274"/>
      <c r="CS5" s="274"/>
      <c r="CT5" s="274" t="s">
        <v>1491</v>
      </c>
      <c r="CU5" s="274"/>
      <c r="CV5" s="274" t="s">
        <v>1492</v>
      </c>
      <c r="CW5" s="274"/>
      <c r="CX5" s="274" t="s">
        <v>1493</v>
      </c>
      <c r="CY5" s="274"/>
      <c r="CZ5" s="274"/>
      <c r="DA5" s="274"/>
      <c r="DB5" s="274" t="s">
        <v>1494</v>
      </c>
      <c r="DC5" s="274"/>
      <c r="DD5" s="274" t="s">
        <v>1495</v>
      </c>
      <c r="DE5" s="274"/>
      <c r="DF5" s="274" t="s">
        <v>1496</v>
      </c>
      <c r="DG5" s="274"/>
      <c r="DH5" s="274"/>
      <c r="DI5" s="274"/>
      <c r="DJ5" s="274" t="s">
        <v>1497</v>
      </c>
      <c r="DK5" s="274"/>
      <c r="DL5" s="274" t="s">
        <v>1498</v>
      </c>
      <c r="DM5" s="274"/>
      <c r="DN5" s="274" t="s">
        <v>1499</v>
      </c>
      <c r="DO5" s="274"/>
      <c r="DP5" s="274"/>
      <c r="DQ5" s="274"/>
      <c r="DR5" s="274" t="s">
        <v>1500</v>
      </c>
      <c r="DS5" s="274"/>
      <c r="DT5" s="274" t="s">
        <v>1501</v>
      </c>
      <c r="DU5" s="274"/>
      <c r="DV5" s="274" t="s">
        <v>1502</v>
      </c>
      <c r="DW5" s="274"/>
      <c r="DX5" s="274"/>
      <c r="DY5" s="274"/>
      <c r="DZ5" s="274" t="s">
        <v>1503</v>
      </c>
      <c r="EA5" s="274"/>
      <c r="EB5" s="274" t="s">
        <v>1504</v>
      </c>
      <c r="EC5" s="274"/>
      <c r="ED5" s="274" t="s">
        <v>1505</v>
      </c>
      <c r="EE5" s="274"/>
      <c r="EF5" s="274"/>
      <c r="EG5" s="274"/>
      <c r="EH5" s="274" t="s">
        <v>1506</v>
      </c>
      <c r="EI5" s="274"/>
      <c r="EJ5" s="274" t="s">
        <v>1507</v>
      </c>
      <c r="EK5" s="274"/>
      <c r="EL5" s="274" t="s">
        <v>1508</v>
      </c>
      <c r="EM5" s="274"/>
      <c r="EN5" s="274"/>
      <c r="EO5" s="274"/>
    </row>
    <row r="6" spans="1:145" ht="37.5" customHeight="1" x14ac:dyDescent="0.3">
      <c r="A6" s="1">
        <v>1</v>
      </c>
      <c r="B6" s="217" t="s">
        <v>1516</v>
      </c>
      <c r="C6" s="234" t="s">
        <v>1517</v>
      </c>
      <c r="D6" s="234"/>
      <c r="E6" s="235"/>
      <c r="F6" s="232" t="s">
        <v>1518</v>
      </c>
      <c r="G6" s="231" t="s">
        <v>1519</v>
      </c>
      <c r="H6" s="242" t="s">
        <v>1520</v>
      </c>
      <c r="I6" s="252"/>
      <c r="J6" s="275">
        <f t="shared" ref="J6:J37" si="0">R6+AX6+CD6+DJ6</f>
        <v>13574.199999999999</v>
      </c>
      <c r="K6" s="275">
        <f>ROUND(J6/J6*100,6)</f>
        <v>100</v>
      </c>
      <c r="L6" s="275">
        <f t="shared" ref="L6:L37" si="1">T6+AZ6+CF6+DL6</f>
        <v>13574.199999999999</v>
      </c>
      <c r="M6" s="275">
        <f>ROUND(L6/L6*100,6)</f>
        <v>100</v>
      </c>
      <c r="N6" s="275">
        <f t="shared" ref="N6:N37" si="2">V6+BB6+CH6+DN6</f>
        <v>3725.5687019999996</v>
      </c>
      <c r="O6" s="275">
        <f>ROUND(N6/N6*100,6)</f>
        <v>100</v>
      </c>
      <c r="P6" s="275">
        <f t="shared" ref="P6:P37" si="3">IFERROR(L6-J6,"-")</f>
        <v>0</v>
      </c>
      <c r="Q6" s="276">
        <f t="shared" ref="Q6:Q37" si="4">IFERROR(L6/J6,"-")</f>
        <v>1</v>
      </c>
      <c r="R6" s="275">
        <f t="shared" ref="R6:R37" si="5">Z6+AH6+AP6</f>
        <v>3405.4</v>
      </c>
      <c r="S6" s="275">
        <f>ROUND(R6/R6*100,6)</f>
        <v>100</v>
      </c>
      <c r="T6" s="275">
        <f t="shared" ref="T6:T37" si="6">AB6+AJ6+AR6</f>
        <v>3405.4</v>
      </c>
      <c r="U6" s="275">
        <f>ROUND(T6/T6*100,6)</f>
        <v>100</v>
      </c>
      <c r="V6" s="275">
        <f t="shared" ref="V6:V37" si="7">AD6+AL6+AT6</f>
        <v>2363.5887819999998</v>
      </c>
      <c r="W6" s="275">
        <f>ROUND(V6/V6*100,6)</f>
        <v>100</v>
      </c>
      <c r="X6" s="275">
        <f t="shared" ref="X6:X37" si="8">IFERROR(T6-R6,"-")</f>
        <v>0</v>
      </c>
      <c r="Y6" s="276">
        <f t="shared" ref="Y6:Y37" si="9">IFERROR(T6/R6,"-")</f>
        <v>1</v>
      </c>
      <c r="Z6" s="275">
        <f>Z7+Z9</f>
        <v>1172.9000000000001</v>
      </c>
      <c r="AA6" s="275">
        <f>ROUND(Z6/Z6*100,6)</f>
        <v>100</v>
      </c>
      <c r="AB6" s="275">
        <f>AB7+AB9</f>
        <v>1172.9000000000001</v>
      </c>
      <c r="AC6" s="275">
        <f>ROUND(AB6/AB6*100,6)</f>
        <v>100</v>
      </c>
      <c r="AD6" s="275">
        <f>AD7+AD9</f>
        <v>852.21490500000004</v>
      </c>
      <c r="AE6" s="275">
        <f>ROUND(AD6/AD6*100,6)</f>
        <v>100</v>
      </c>
      <c r="AF6" s="275">
        <f t="shared" ref="AF6:AF37" si="10">IFERROR(AB6-Z6,"-")</f>
        <v>0</v>
      </c>
      <c r="AG6" s="276">
        <f t="shared" ref="AG6:AG37" si="11">IFERROR(AB6/Z6,"-")</f>
        <v>1</v>
      </c>
      <c r="AH6" s="275">
        <f>AH7+AH9</f>
        <v>1059.5</v>
      </c>
      <c r="AI6" s="275">
        <f>ROUND(AH6/AH6*100,6)</f>
        <v>100</v>
      </c>
      <c r="AJ6" s="275">
        <f>AJ7+AJ9</f>
        <v>1059.5</v>
      </c>
      <c r="AK6" s="275">
        <f>ROUND(AJ6/AJ6*100,6)</f>
        <v>100</v>
      </c>
      <c r="AL6" s="275">
        <f>AL7+AL9</f>
        <v>663.76837399999999</v>
      </c>
      <c r="AM6" s="275">
        <f>ROUND(AL6/AL6*100,6)</f>
        <v>100</v>
      </c>
      <c r="AN6" s="275">
        <f t="shared" ref="AN6:AN37" si="12">IFERROR(AJ6-AH6,"-")</f>
        <v>0</v>
      </c>
      <c r="AO6" s="276">
        <f t="shared" ref="AO6:AO37" si="13">IFERROR(AJ6/AH6,"-")</f>
        <v>1</v>
      </c>
      <c r="AP6" s="275">
        <f>AP7+AP9</f>
        <v>1173</v>
      </c>
      <c r="AQ6" s="275">
        <f>ROUND(AP6/AP6*100,6)</f>
        <v>100</v>
      </c>
      <c r="AR6" s="275">
        <f>AR7+AR9</f>
        <v>1173</v>
      </c>
      <c r="AS6" s="275">
        <f>ROUND(AR6/AR6*100,6)</f>
        <v>100</v>
      </c>
      <c r="AT6" s="275">
        <f>AT7+AT9</f>
        <v>847.605503</v>
      </c>
      <c r="AU6" s="275">
        <f>ROUND(AT6/AT6*100,6)</f>
        <v>100</v>
      </c>
      <c r="AV6" s="275">
        <f t="shared" ref="AV6:AV37" si="14">IFERROR(AR6-AP6,"-")</f>
        <v>0</v>
      </c>
      <c r="AW6" s="276">
        <f t="shared" ref="AW6:AW37" si="15">IFERROR(AR6/AP6,"-")</f>
        <v>1</v>
      </c>
      <c r="AX6" s="275">
        <f t="shared" ref="AX6:AX37" si="16">BF6+BN6+BV6</f>
        <v>2597.3999999999996</v>
      </c>
      <c r="AY6" s="275">
        <f>ROUND(AX6/AX6*100,6)</f>
        <v>100</v>
      </c>
      <c r="AZ6" s="275">
        <f t="shared" ref="AZ6:AZ37" si="17">BH6+BP6+BX6</f>
        <v>2597.3999999999996</v>
      </c>
      <c r="BA6" s="275">
        <f>ROUND(AZ6/AZ6*100,6)</f>
        <v>100</v>
      </c>
      <c r="BB6" s="275">
        <f t="shared" ref="BB6:BB37" si="18">BJ6+BR6+BZ6</f>
        <v>1361.97992</v>
      </c>
      <c r="BC6" s="275">
        <f>ROUND(BB6/BB6*100,6)</f>
        <v>100</v>
      </c>
      <c r="BD6" s="275">
        <f t="shared" ref="BD6:BD37" si="19">IFERROR(AZ6-AX6,"-")</f>
        <v>0</v>
      </c>
      <c r="BE6" s="276">
        <f t="shared" ref="BE6:BE37" si="20">IFERROR(AZ6/AX6,"-")</f>
        <v>1</v>
      </c>
      <c r="BF6" s="275">
        <f>BF7+BF9</f>
        <v>1135.2</v>
      </c>
      <c r="BG6" s="275">
        <f>ROUND(BF6/BF6*100,6)</f>
        <v>100</v>
      </c>
      <c r="BH6" s="275">
        <f>BH7+BH9</f>
        <v>1135.2</v>
      </c>
      <c r="BI6" s="275">
        <f>ROUND(BH6/BH6*100,6)</f>
        <v>100</v>
      </c>
      <c r="BJ6" s="275">
        <f>BJ7+BJ9</f>
        <v>807.964788</v>
      </c>
      <c r="BK6" s="275">
        <f>ROUND(BJ6/BJ6*100,6)</f>
        <v>100</v>
      </c>
      <c r="BL6" s="275">
        <f t="shared" ref="BL6:BL37" si="21">IFERROR(BH6-BF6,"-")</f>
        <v>0</v>
      </c>
      <c r="BM6" s="276">
        <f t="shared" ref="BM6:BM37" si="22">IFERROR(BH6/BF6,"-")</f>
        <v>1</v>
      </c>
      <c r="BN6" s="275">
        <f>BN7+BN9</f>
        <v>806.4</v>
      </c>
      <c r="BO6" s="275">
        <f>ROUND(BN6/BN6*100,6)</f>
        <v>100</v>
      </c>
      <c r="BP6" s="275">
        <f>BP7+BP9</f>
        <v>806.4</v>
      </c>
      <c r="BQ6" s="275">
        <f>ROUND(BP6/BP6*100,6)</f>
        <v>100</v>
      </c>
      <c r="BR6" s="275">
        <f>BR7+BR9</f>
        <v>328.21300000000002</v>
      </c>
      <c r="BS6" s="275">
        <f>ROUND(BR6/BR6*100,6)</f>
        <v>100</v>
      </c>
      <c r="BT6" s="275">
        <f t="shared" ref="BT6:BT37" si="23">IFERROR(BP6-BN6,"-")</f>
        <v>0</v>
      </c>
      <c r="BU6" s="276">
        <f t="shared" ref="BU6:BU37" si="24">IFERROR(BP6/BN6,"-")</f>
        <v>1</v>
      </c>
      <c r="BV6" s="275">
        <f>BV7+BV9</f>
        <v>655.8</v>
      </c>
      <c r="BW6" s="275">
        <f>ROUND(BV6/BV6*100,6)</f>
        <v>100</v>
      </c>
      <c r="BX6" s="275">
        <f>BX7+BX9</f>
        <v>655.8</v>
      </c>
      <c r="BY6" s="275">
        <f>ROUND(BX6/BX6*100,6)</f>
        <v>100</v>
      </c>
      <c r="BZ6" s="275">
        <f>BZ7+BZ9</f>
        <v>225.802132</v>
      </c>
      <c r="CA6" s="275">
        <f>ROUND(BZ6/BZ6*100,6)</f>
        <v>100</v>
      </c>
      <c r="CB6" s="275">
        <f t="shared" ref="CB6:CB37" si="25">IFERROR(BX6-BV6,"-")</f>
        <v>0</v>
      </c>
      <c r="CC6" s="276">
        <f t="shared" ref="CC6:CC37" si="26">IFERROR(BX6/BV6,"-")</f>
        <v>1</v>
      </c>
      <c r="CD6" s="275">
        <f t="shared" ref="CD6:CD37" si="27">CL6+CT6+DB6</f>
        <v>3706</v>
      </c>
      <c r="CE6" s="275">
        <f>ROUND(CD6/CD6*100,6)</f>
        <v>100</v>
      </c>
      <c r="CF6" s="275">
        <f t="shared" ref="CF6:CF37" si="28">CN6+CV6+DD6</f>
        <v>3706</v>
      </c>
      <c r="CG6" s="275">
        <f>ROUND(CF6/CF6*100,6)</f>
        <v>100</v>
      </c>
      <c r="CH6" s="275">
        <f t="shared" ref="CH6:CH37" si="29">CP6+CX6+DF6</f>
        <v>0</v>
      </c>
      <c r="CI6" s="275" t="e">
        <f>ROUND(CH6/CH6*100,6)</f>
        <v>#DIV/0!</v>
      </c>
      <c r="CJ6" s="275">
        <f t="shared" ref="CJ6:CJ37" si="30">IFERROR(CF6-CD6,"-")</f>
        <v>0</v>
      </c>
      <c r="CK6" s="276">
        <f t="shared" ref="CK6:CK37" si="31">IFERROR(CF6/CD6,"-")</f>
        <v>1</v>
      </c>
      <c r="CL6" s="275">
        <f>CL7+CL9</f>
        <v>1219.5999999999999</v>
      </c>
      <c r="CM6" s="275">
        <f>ROUND(CL6/CL6*100,6)</f>
        <v>100</v>
      </c>
      <c r="CN6" s="275">
        <f>CN7+CN9</f>
        <v>1219.5999999999999</v>
      </c>
      <c r="CO6" s="275">
        <f>ROUND(CN6/CN6*100,6)</f>
        <v>100</v>
      </c>
      <c r="CP6" s="275">
        <f>CP7+CP9</f>
        <v>0</v>
      </c>
      <c r="CQ6" s="275" t="e">
        <f>ROUND(CP6/CP6*100,6)</f>
        <v>#DIV/0!</v>
      </c>
      <c r="CR6" s="275">
        <f t="shared" ref="CR6:CR37" si="32">IFERROR(CN6-CL6,"-")</f>
        <v>0</v>
      </c>
      <c r="CS6" s="276">
        <f t="shared" ref="CS6:CS37" si="33">IFERROR(CN6/CL6,"-")</f>
        <v>1</v>
      </c>
      <c r="CT6" s="275">
        <f>CT7+CT9</f>
        <v>1225.0999999999999</v>
      </c>
      <c r="CU6" s="275">
        <f>ROUND(CT6/CT6*100,6)</f>
        <v>100</v>
      </c>
      <c r="CV6" s="275">
        <f>CV7+CV9</f>
        <v>1225.0999999999999</v>
      </c>
      <c r="CW6" s="275">
        <f>ROUND(CV6/CV6*100,6)</f>
        <v>100</v>
      </c>
      <c r="CX6" s="275">
        <f>CX7+CX9</f>
        <v>0</v>
      </c>
      <c r="CY6" s="275" t="e">
        <f>ROUND(CX6/CX6*100,6)</f>
        <v>#DIV/0!</v>
      </c>
      <c r="CZ6" s="275">
        <f t="shared" ref="CZ6:CZ37" si="34">IFERROR(CV6-CT6,"-")</f>
        <v>0</v>
      </c>
      <c r="DA6" s="276">
        <f t="shared" ref="DA6:DA37" si="35">IFERROR(CV6/CT6,"-")</f>
        <v>1</v>
      </c>
      <c r="DB6" s="275">
        <f>DB7+DB9</f>
        <v>1261.3</v>
      </c>
      <c r="DC6" s="275">
        <f>ROUND(DB6/DB6*100,6)</f>
        <v>100</v>
      </c>
      <c r="DD6" s="275">
        <f>DD7+DD9</f>
        <v>1261.3</v>
      </c>
      <c r="DE6" s="275">
        <f>ROUND(DD6/DD6*100,6)</f>
        <v>100</v>
      </c>
      <c r="DF6" s="275">
        <f>DF7+DF9</f>
        <v>0</v>
      </c>
      <c r="DG6" s="275" t="e">
        <f>ROUND(DF6/DF6*100,6)</f>
        <v>#DIV/0!</v>
      </c>
      <c r="DH6" s="275">
        <f t="shared" ref="DH6:DH37" si="36">IFERROR(DD6-DB6,"-")</f>
        <v>0</v>
      </c>
      <c r="DI6" s="276">
        <f t="shared" ref="DI6:DI37" si="37">IFERROR(DD6/DB6,"-")</f>
        <v>1</v>
      </c>
      <c r="DJ6" s="275">
        <f t="shared" ref="DJ6:DJ37" si="38">DR6+DZ6+EH6</f>
        <v>3865.3999999999996</v>
      </c>
      <c r="DK6" s="275">
        <f>ROUND(DJ6/DJ6*100,6)</f>
        <v>100</v>
      </c>
      <c r="DL6" s="275">
        <f t="shared" ref="DL6:DL37" si="39">DT6+EB6+EJ6</f>
        <v>3865.3999999999996</v>
      </c>
      <c r="DM6" s="275">
        <f>ROUND(DL6/DL6*100,6)</f>
        <v>100</v>
      </c>
      <c r="DN6" s="275">
        <f t="shared" ref="DN6:DN37" si="40">DV6+ED6+EL6</f>
        <v>0</v>
      </c>
      <c r="DO6" s="275" t="e">
        <f>ROUND(DN6/DN6*100,6)</f>
        <v>#DIV/0!</v>
      </c>
      <c r="DP6" s="275">
        <f t="shared" ref="DP6:DP37" si="41">IFERROR(DL6-DJ6,"-")</f>
        <v>0</v>
      </c>
      <c r="DQ6" s="276">
        <f t="shared" ref="DQ6:DQ37" si="42">IFERROR(DL6/DJ6,"-")</f>
        <v>1</v>
      </c>
      <c r="DR6" s="275">
        <f>DR7+DR9</f>
        <v>1303.3</v>
      </c>
      <c r="DS6" s="275">
        <f>ROUND(DR6/DR6*100,6)</f>
        <v>100</v>
      </c>
      <c r="DT6" s="275">
        <f>DT7+DT9</f>
        <v>1303.3</v>
      </c>
      <c r="DU6" s="275">
        <f>ROUND(DT6/DT6*100,6)</f>
        <v>100</v>
      </c>
      <c r="DV6" s="275">
        <f>DV7+DV9</f>
        <v>0</v>
      </c>
      <c r="DW6" s="275" t="e">
        <f>ROUND(DV6/DV6*100,6)</f>
        <v>#DIV/0!</v>
      </c>
      <c r="DX6" s="275">
        <f t="shared" ref="DX6:DX37" si="43">IFERROR(DT6-DR6,"-")</f>
        <v>0</v>
      </c>
      <c r="DY6" s="276">
        <f t="shared" ref="DY6:DY37" si="44">IFERROR(DT6/DR6,"-")</f>
        <v>1</v>
      </c>
      <c r="DZ6" s="275">
        <f>DZ7+DZ9</f>
        <v>1261.3</v>
      </c>
      <c r="EA6" s="275">
        <f>ROUND(DZ6/DZ6*100,6)</f>
        <v>100</v>
      </c>
      <c r="EB6" s="275">
        <f>EB7+EB9</f>
        <v>1261.3</v>
      </c>
      <c r="EC6" s="275">
        <f>ROUND(EB6/EB6*100,6)</f>
        <v>100</v>
      </c>
      <c r="ED6" s="275">
        <f>ED7+ED9</f>
        <v>0</v>
      </c>
      <c r="EE6" s="275" t="e">
        <f>ROUND(ED6/ED6*100,6)</f>
        <v>#DIV/0!</v>
      </c>
      <c r="EF6" s="275">
        <f t="shared" ref="EF6:EF37" si="45">IFERROR(EB6-DZ6,"-")</f>
        <v>0</v>
      </c>
      <c r="EG6" s="276">
        <f t="shared" ref="EG6:EG37" si="46">IFERROR(EB6/DZ6,"-")</f>
        <v>1</v>
      </c>
      <c r="EH6" s="275">
        <f>EH7+EH9</f>
        <v>1300.8</v>
      </c>
      <c r="EI6" s="275">
        <f>ROUND(EH6/EH6*100,6)</f>
        <v>100</v>
      </c>
      <c r="EJ6" s="275">
        <f>EJ7+EJ9</f>
        <v>1300.8</v>
      </c>
      <c r="EK6" s="275">
        <f>ROUND(EJ6/EJ6*100,6)</f>
        <v>100</v>
      </c>
      <c r="EL6" s="275">
        <f>EL7+EL9</f>
        <v>0</v>
      </c>
      <c r="EM6" s="275" t="e">
        <f>ROUND(EL6/EL6*100,6)</f>
        <v>#DIV/0!</v>
      </c>
      <c r="EN6" s="275">
        <f t="shared" ref="EN6:EN37" si="47">IFERROR(EJ6-EH6,"-")</f>
        <v>0</v>
      </c>
      <c r="EO6" s="276">
        <f t="shared" ref="EO6:EO37" si="48">IFERROR(EJ6/EH6,"-")</f>
        <v>1</v>
      </c>
    </row>
    <row r="7" spans="1:145" ht="18.75" x14ac:dyDescent="0.3">
      <c r="A7" s="319" t="s">
        <v>1521</v>
      </c>
      <c r="B7" s="314" t="s">
        <v>1522</v>
      </c>
      <c r="C7" s="234" t="s">
        <v>1523</v>
      </c>
      <c r="D7" s="234"/>
      <c r="E7" s="235"/>
      <c r="F7" s="232"/>
      <c r="G7" s="236"/>
      <c r="H7" s="243"/>
      <c r="I7" s="252"/>
      <c r="J7" s="275">
        <f t="shared" si="0"/>
        <v>10325.4</v>
      </c>
      <c r="K7" s="274"/>
      <c r="L7" s="275">
        <f t="shared" si="1"/>
        <v>10325.4</v>
      </c>
      <c r="M7" s="274"/>
      <c r="N7" s="275">
        <f t="shared" si="2"/>
        <v>2830.087</v>
      </c>
      <c r="O7" s="274"/>
      <c r="P7" s="275">
        <f t="shared" si="3"/>
        <v>0</v>
      </c>
      <c r="Q7" s="276">
        <f t="shared" si="4"/>
        <v>1</v>
      </c>
      <c r="R7" s="275">
        <f t="shared" si="5"/>
        <v>2590.3999999999996</v>
      </c>
      <c r="S7" s="274"/>
      <c r="T7" s="275">
        <f t="shared" si="6"/>
        <v>2590.3999999999996</v>
      </c>
      <c r="U7" s="274"/>
      <c r="V7" s="275">
        <f t="shared" si="7"/>
        <v>1796.1489999999999</v>
      </c>
      <c r="W7" s="274"/>
      <c r="X7" s="275">
        <f t="shared" si="8"/>
        <v>0</v>
      </c>
      <c r="Y7" s="276">
        <f t="shared" si="9"/>
        <v>1</v>
      </c>
      <c r="Z7" s="274">
        <v>892.2</v>
      </c>
      <c r="AA7" s="274"/>
      <c r="AB7" s="274">
        <v>892.2</v>
      </c>
      <c r="AC7" s="274"/>
      <c r="AD7" s="274">
        <v>648.01499999999999</v>
      </c>
      <c r="AE7" s="274"/>
      <c r="AF7" s="275">
        <f t="shared" si="10"/>
        <v>0</v>
      </c>
      <c r="AG7" s="276">
        <f t="shared" si="11"/>
        <v>1</v>
      </c>
      <c r="AH7" s="274">
        <v>805.9</v>
      </c>
      <c r="AI7" s="274"/>
      <c r="AJ7" s="274">
        <v>805.9</v>
      </c>
      <c r="AK7" s="274"/>
      <c r="AL7" s="274">
        <v>504.60899999999998</v>
      </c>
      <c r="AM7" s="274"/>
      <c r="AN7" s="275">
        <f t="shared" si="12"/>
        <v>0</v>
      </c>
      <c r="AO7" s="276">
        <f t="shared" si="13"/>
        <v>1</v>
      </c>
      <c r="AP7" s="274">
        <v>892.3</v>
      </c>
      <c r="AQ7" s="274"/>
      <c r="AR7" s="274">
        <v>892.3</v>
      </c>
      <c r="AS7" s="274"/>
      <c r="AT7" s="274">
        <v>643.52499999999998</v>
      </c>
      <c r="AU7" s="274"/>
      <c r="AV7" s="275">
        <f t="shared" si="14"/>
        <v>0</v>
      </c>
      <c r="AW7" s="276">
        <f t="shared" si="15"/>
        <v>1</v>
      </c>
      <c r="AX7" s="275">
        <f t="shared" si="16"/>
        <v>1975.7</v>
      </c>
      <c r="AY7" s="274"/>
      <c r="AZ7" s="275">
        <f t="shared" si="17"/>
        <v>1975.7</v>
      </c>
      <c r="BA7" s="274"/>
      <c r="BB7" s="275">
        <f t="shared" si="18"/>
        <v>1033.9380000000001</v>
      </c>
      <c r="BC7" s="274"/>
      <c r="BD7" s="275">
        <f t="shared" si="19"/>
        <v>0</v>
      </c>
      <c r="BE7" s="276">
        <f t="shared" si="20"/>
        <v>1</v>
      </c>
      <c r="BF7" s="274">
        <v>863.5</v>
      </c>
      <c r="BG7" s="274"/>
      <c r="BH7" s="274">
        <v>863.5</v>
      </c>
      <c r="BI7" s="274"/>
      <c r="BJ7" s="274">
        <v>612.76400000000001</v>
      </c>
      <c r="BK7" s="274"/>
      <c r="BL7" s="275">
        <f t="shared" si="21"/>
        <v>0</v>
      </c>
      <c r="BM7" s="276">
        <f t="shared" si="22"/>
        <v>1</v>
      </c>
      <c r="BN7" s="274">
        <v>613.4</v>
      </c>
      <c r="BO7" s="274"/>
      <c r="BP7" s="274">
        <v>613.4</v>
      </c>
      <c r="BQ7" s="274"/>
      <c r="BR7" s="274">
        <v>249.43600000000001</v>
      </c>
      <c r="BS7" s="274"/>
      <c r="BT7" s="275">
        <f t="shared" si="23"/>
        <v>0</v>
      </c>
      <c r="BU7" s="276">
        <f t="shared" si="24"/>
        <v>1</v>
      </c>
      <c r="BV7" s="274">
        <v>498.8</v>
      </c>
      <c r="BW7" s="274"/>
      <c r="BX7" s="274">
        <v>498.8</v>
      </c>
      <c r="BY7" s="274"/>
      <c r="BZ7" s="274">
        <v>171.738</v>
      </c>
      <c r="CA7" s="274"/>
      <c r="CB7" s="275">
        <f t="shared" si="25"/>
        <v>0</v>
      </c>
      <c r="CC7" s="276">
        <f t="shared" si="26"/>
        <v>1</v>
      </c>
      <c r="CD7" s="275">
        <f t="shared" si="27"/>
        <v>2819</v>
      </c>
      <c r="CE7" s="274"/>
      <c r="CF7" s="275">
        <f t="shared" si="28"/>
        <v>2819</v>
      </c>
      <c r="CG7" s="274"/>
      <c r="CH7" s="275">
        <f t="shared" si="29"/>
        <v>0</v>
      </c>
      <c r="CI7" s="274"/>
      <c r="CJ7" s="275">
        <f t="shared" si="30"/>
        <v>0</v>
      </c>
      <c r="CK7" s="276">
        <f t="shared" si="31"/>
        <v>1</v>
      </c>
      <c r="CL7" s="274">
        <v>927.7</v>
      </c>
      <c r="CM7" s="274"/>
      <c r="CN7" s="274">
        <v>927.7</v>
      </c>
      <c r="CO7" s="274"/>
      <c r="CP7" s="274"/>
      <c r="CQ7" s="274"/>
      <c r="CR7" s="275">
        <f t="shared" si="32"/>
        <v>0</v>
      </c>
      <c r="CS7" s="276">
        <f t="shared" si="33"/>
        <v>1</v>
      </c>
      <c r="CT7" s="274">
        <v>931.9</v>
      </c>
      <c r="CU7" s="274"/>
      <c r="CV7" s="274">
        <v>931.9</v>
      </c>
      <c r="CW7" s="274"/>
      <c r="CX7" s="274"/>
      <c r="CY7" s="274"/>
      <c r="CZ7" s="275">
        <f t="shared" si="34"/>
        <v>0</v>
      </c>
      <c r="DA7" s="276">
        <f t="shared" si="35"/>
        <v>1</v>
      </c>
      <c r="DB7" s="274">
        <v>959.4</v>
      </c>
      <c r="DC7" s="274"/>
      <c r="DD7" s="274">
        <v>959.4</v>
      </c>
      <c r="DE7" s="274"/>
      <c r="DF7" s="274"/>
      <c r="DG7" s="274"/>
      <c r="DH7" s="275">
        <f t="shared" si="36"/>
        <v>0</v>
      </c>
      <c r="DI7" s="276">
        <f t="shared" si="37"/>
        <v>1</v>
      </c>
      <c r="DJ7" s="275">
        <f t="shared" si="38"/>
        <v>2940.3</v>
      </c>
      <c r="DK7" s="274"/>
      <c r="DL7" s="275">
        <f t="shared" si="39"/>
        <v>2940.3</v>
      </c>
      <c r="DM7" s="274"/>
      <c r="DN7" s="275">
        <f t="shared" si="40"/>
        <v>0</v>
      </c>
      <c r="DO7" s="274"/>
      <c r="DP7" s="275">
        <f t="shared" si="41"/>
        <v>0</v>
      </c>
      <c r="DQ7" s="276">
        <f t="shared" si="42"/>
        <v>1</v>
      </c>
      <c r="DR7" s="274">
        <v>991.4</v>
      </c>
      <c r="DS7" s="274"/>
      <c r="DT7" s="274">
        <v>991.4</v>
      </c>
      <c r="DU7" s="274"/>
      <c r="DV7" s="274"/>
      <c r="DW7" s="274"/>
      <c r="DX7" s="275">
        <f t="shared" si="43"/>
        <v>0</v>
      </c>
      <c r="DY7" s="276">
        <f t="shared" si="44"/>
        <v>1</v>
      </c>
      <c r="DZ7" s="274">
        <v>959.4</v>
      </c>
      <c r="EA7" s="274"/>
      <c r="EB7" s="274">
        <v>959.4</v>
      </c>
      <c r="EC7" s="274"/>
      <c r="ED7" s="274"/>
      <c r="EE7" s="274"/>
      <c r="EF7" s="275">
        <f t="shared" si="45"/>
        <v>0</v>
      </c>
      <c r="EG7" s="276">
        <f t="shared" si="46"/>
        <v>1</v>
      </c>
      <c r="EH7" s="274">
        <v>989.5</v>
      </c>
      <c r="EI7" s="274"/>
      <c r="EJ7" s="274">
        <v>989.5</v>
      </c>
      <c r="EK7" s="274"/>
      <c r="EL7" s="274"/>
      <c r="EM7" s="274"/>
      <c r="EN7" s="275">
        <f t="shared" si="47"/>
        <v>0</v>
      </c>
      <c r="EO7" s="276">
        <f t="shared" si="48"/>
        <v>1</v>
      </c>
    </row>
    <row r="8" spans="1:145" ht="25.5" customHeight="1" x14ac:dyDescent="0.3">
      <c r="A8" s="280"/>
      <c r="B8" s="280"/>
      <c r="C8" s="234" t="s">
        <v>1524</v>
      </c>
      <c r="D8" s="234"/>
      <c r="E8" s="235"/>
      <c r="F8" s="232"/>
      <c r="G8" s="231" t="s">
        <v>1525</v>
      </c>
      <c r="H8" s="242" t="s">
        <v>1526</v>
      </c>
      <c r="I8" s="252"/>
      <c r="J8" s="275">
        <f t="shared" si="0"/>
        <v>9686.0999999999985</v>
      </c>
      <c r="K8" s="275">
        <f>ROUND(J6/J8*100,6)</f>
        <v>140.14102700000001</v>
      </c>
      <c r="L8" s="275">
        <f t="shared" si="1"/>
        <v>9686.0999999999985</v>
      </c>
      <c r="M8" s="275">
        <f>ROUND(L6/L8*100,6)</f>
        <v>140.14102700000001</v>
      </c>
      <c r="N8" s="275">
        <f t="shared" si="2"/>
        <v>2671.357</v>
      </c>
      <c r="O8" s="275">
        <f>ROUND(N6/N8*100,6)</f>
        <v>139.463527</v>
      </c>
      <c r="P8" s="275">
        <f t="shared" si="3"/>
        <v>0</v>
      </c>
      <c r="Q8" s="276">
        <f t="shared" si="4"/>
        <v>1</v>
      </c>
      <c r="R8" s="275">
        <f t="shared" si="5"/>
        <v>2430</v>
      </c>
      <c r="S8" s="275">
        <f>ROUND(R6/R8*100,6)</f>
        <v>140.13991799999999</v>
      </c>
      <c r="T8" s="275">
        <f t="shared" si="6"/>
        <v>2430</v>
      </c>
      <c r="U8" s="275">
        <f>ROUND(T6/T8*100,6)</f>
        <v>140.13991799999999</v>
      </c>
      <c r="V8" s="275">
        <f t="shared" si="7"/>
        <v>1691.8300000000002</v>
      </c>
      <c r="W8" s="275">
        <f>ROUND(V6/V8*100,6)</f>
        <v>139.70604499999999</v>
      </c>
      <c r="X8" s="275">
        <f t="shared" si="8"/>
        <v>0</v>
      </c>
      <c r="Y8" s="276">
        <f t="shared" si="9"/>
        <v>1</v>
      </c>
      <c r="Z8" s="274">
        <v>837</v>
      </c>
      <c r="AA8" s="275">
        <f>ROUND(Z6/Z8*100,6)</f>
        <v>140.13142199999999</v>
      </c>
      <c r="AB8" s="274">
        <v>837</v>
      </c>
      <c r="AC8" s="275">
        <f>ROUND(AB6/AB8*100,6)</f>
        <v>140.13142199999999</v>
      </c>
      <c r="AD8" s="274">
        <v>608.82500000000005</v>
      </c>
      <c r="AE8" s="275">
        <f>ROUND(AD6/AD8*100,6)</f>
        <v>139.976989</v>
      </c>
      <c r="AF8" s="275">
        <f t="shared" si="10"/>
        <v>0</v>
      </c>
      <c r="AG8" s="276">
        <f t="shared" si="11"/>
        <v>1</v>
      </c>
      <c r="AH8" s="274">
        <v>756</v>
      </c>
      <c r="AI8" s="275">
        <f>ROUND(AH6/AH8*100,6)</f>
        <v>140.14550299999999</v>
      </c>
      <c r="AJ8" s="274">
        <v>756</v>
      </c>
      <c r="AK8" s="275">
        <f>ROUND(AJ6/AJ8*100,6)</f>
        <v>140.14550299999999</v>
      </c>
      <c r="AL8" s="274">
        <v>474.536</v>
      </c>
      <c r="AM8" s="275">
        <f>ROUND(AL6/AL8*100,6)</f>
        <v>139.87734800000001</v>
      </c>
      <c r="AN8" s="275">
        <f t="shared" si="12"/>
        <v>0</v>
      </c>
      <c r="AO8" s="276">
        <f t="shared" si="13"/>
        <v>1</v>
      </c>
      <c r="AP8" s="274">
        <v>837</v>
      </c>
      <c r="AQ8" s="275">
        <f>ROUND(AP6/AP8*100,6)</f>
        <v>140.14336900000001</v>
      </c>
      <c r="AR8" s="274">
        <v>837</v>
      </c>
      <c r="AS8" s="275">
        <f>ROUND(AR6/AR8*100,6)</f>
        <v>140.14336900000001</v>
      </c>
      <c r="AT8" s="274">
        <v>608.46900000000005</v>
      </c>
      <c r="AU8" s="275">
        <f>ROUND(AT6/AT8*100,6)</f>
        <v>139.301345</v>
      </c>
      <c r="AV8" s="275">
        <f t="shared" si="14"/>
        <v>0</v>
      </c>
      <c r="AW8" s="276">
        <f t="shared" si="15"/>
        <v>1</v>
      </c>
      <c r="AX8" s="275">
        <f t="shared" si="16"/>
        <v>1853.4</v>
      </c>
      <c r="AY8" s="275">
        <f>ROUND(AX6/AX8*100,6)</f>
        <v>140.14244099999999</v>
      </c>
      <c r="AZ8" s="275">
        <f t="shared" si="17"/>
        <v>1853.4</v>
      </c>
      <c r="BA8" s="275">
        <f>ROUND(AZ6/AZ8*100,6)</f>
        <v>140.14244099999999</v>
      </c>
      <c r="BB8" s="275">
        <f t="shared" si="18"/>
        <v>979.52700000000004</v>
      </c>
      <c r="BC8" s="275">
        <f>ROUND(BB6/BB8*100,6)</f>
        <v>139.04465300000001</v>
      </c>
      <c r="BD8" s="275">
        <f t="shared" si="19"/>
        <v>0</v>
      </c>
      <c r="BE8" s="276">
        <f t="shared" si="20"/>
        <v>1</v>
      </c>
      <c r="BF8" s="274">
        <v>810</v>
      </c>
      <c r="BG8" s="275">
        <f>ROUND(BF6/BF8*100,6)</f>
        <v>140.14814799999999</v>
      </c>
      <c r="BH8" s="274">
        <v>810</v>
      </c>
      <c r="BI8" s="275">
        <f>ROUND(BH6/BH8*100,6)</f>
        <v>140.14814799999999</v>
      </c>
      <c r="BJ8" s="274">
        <v>581.99400000000003</v>
      </c>
      <c r="BK8" s="275">
        <f>ROUND(BJ6/BJ8*100,6)</f>
        <v>138.82699600000001</v>
      </c>
      <c r="BL8" s="275">
        <f t="shared" si="21"/>
        <v>0</v>
      </c>
      <c r="BM8" s="276">
        <f t="shared" si="22"/>
        <v>1</v>
      </c>
      <c r="BN8" s="274">
        <v>575.4</v>
      </c>
      <c r="BO8" s="275">
        <f>ROUND(BN6/BN8*100,6)</f>
        <v>140.145985</v>
      </c>
      <c r="BP8" s="274">
        <v>575.4</v>
      </c>
      <c r="BQ8" s="275">
        <f>ROUND(BP6/BP8*100,6)</f>
        <v>140.145985</v>
      </c>
      <c r="BR8" s="274">
        <v>236.34</v>
      </c>
      <c r="BS8" s="275">
        <f>ROUND(BR6/BR8*100,6)</f>
        <v>138.873233</v>
      </c>
      <c r="BT8" s="275">
        <f t="shared" si="23"/>
        <v>0</v>
      </c>
      <c r="BU8" s="276">
        <f t="shared" si="24"/>
        <v>1</v>
      </c>
      <c r="BV8" s="274">
        <v>468</v>
      </c>
      <c r="BW8" s="275">
        <f>ROUND(BV6/BV8*100,6)</f>
        <v>140.12820500000001</v>
      </c>
      <c r="BX8" s="274">
        <v>468</v>
      </c>
      <c r="BY8" s="275">
        <f>ROUND(BX6/BX8*100,6)</f>
        <v>140.12820500000001</v>
      </c>
      <c r="BZ8" s="274">
        <v>161.19300000000001</v>
      </c>
      <c r="CA8" s="275">
        <f>ROUND(BZ6/BZ8*100,6)</f>
        <v>140.08184700000001</v>
      </c>
      <c r="CB8" s="275">
        <f t="shared" si="25"/>
        <v>0</v>
      </c>
      <c r="CC8" s="276">
        <f t="shared" si="26"/>
        <v>1</v>
      </c>
      <c r="CD8" s="275">
        <f t="shared" si="27"/>
        <v>2644.5</v>
      </c>
      <c r="CE8" s="275">
        <f>ROUND(CD6/CD8*100,6)</f>
        <v>140.13991300000001</v>
      </c>
      <c r="CF8" s="275">
        <f t="shared" si="28"/>
        <v>2644.5</v>
      </c>
      <c r="CG8" s="275">
        <f>ROUND(CF6/CF8*100,6)</f>
        <v>140.13991300000001</v>
      </c>
      <c r="CH8" s="275">
        <f t="shared" si="29"/>
        <v>0</v>
      </c>
      <c r="CI8" s="275" t="e">
        <f>ROUND(CH6/CH8*100,6)</f>
        <v>#DIV/0!</v>
      </c>
      <c r="CJ8" s="275">
        <f t="shared" si="30"/>
        <v>0</v>
      </c>
      <c r="CK8" s="276">
        <f t="shared" si="31"/>
        <v>1</v>
      </c>
      <c r="CL8" s="274">
        <v>870.3</v>
      </c>
      <c r="CM8" s="275">
        <f>ROUND(CL6/CL8*100,6)</f>
        <v>140.13558499999999</v>
      </c>
      <c r="CN8" s="274">
        <v>870.3</v>
      </c>
      <c r="CO8" s="275">
        <f>ROUND(CN6/CN8*100,6)</f>
        <v>140.13558499999999</v>
      </c>
      <c r="CP8" s="274"/>
      <c r="CQ8" s="275" t="e">
        <f>ROUND(CP6/CP8*100,6)</f>
        <v>#DIV/0!</v>
      </c>
      <c r="CR8" s="275">
        <f t="shared" si="32"/>
        <v>0</v>
      </c>
      <c r="CS8" s="276">
        <f t="shared" si="33"/>
        <v>1</v>
      </c>
      <c r="CT8" s="274">
        <v>874.2</v>
      </c>
      <c r="CU8" s="275">
        <f>ROUND(CT6/CT8*100,6)</f>
        <v>140.139556</v>
      </c>
      <c r="CV8" s="274">
        <v>874.2</v>
      </c>
      <c r="CW8" s="275">
        <f>ROUND(CV6/CV8*100,6)</f>
        <v>140.139556</v>
      </c>
      <c r="CX8" s="274"/>
      <c r="CY8" s="275" t="e">
        <f>ROUND(CX6/CX8*100,6)</f>
        <v>#DIV/0!</v>
      </c>
      <c r="CZ8" s="275">
        <f t="shared" si="34"/>
        <v>0</v>
      </c>
      <c r="DA8" s="276">
        <f t="shared" si="35"/>
        <v>1</v>
      </c>
      <c r="DB8" s="274">
        <v>900</v>
      </c>
      <c r="DC8" s="275">
        <f>ROUND(DB6/DB8*100,6)</f>
        <v>140.14444399999999</v>
      </c>
      <c r="DD8" s="274">
        <v>900</v>
      </c>
      <c r="DE8" s="275">
        <f>ROUND(DD6/DD8*100,6)</f>
        <v>140.14444399999999</v>
      </c>
      <c r="DF8" s="274"/>
      <c r="DG8" s="275" t="e">
        <f>ROUND(DF6/DF8*100,6)</f>
        <v>#DIV/0!</v>
      </c>
      <c r="DH8" s="275">
        <f t="shared" si="36"/>
        <v>0</v>
      </c>
      <c r="DI8" s="276">
        <f t="shared" si="37"/>
        <v>1</v>
      </c>
      <c r="DJ8" s="275">
        <f t="shared" si="38"/>
        <v>2758.2</v>
      </c>
      <c r="DK8" s="275">
        <f>ROUND(DJ6/DJ8*100,6)</f>
        <v>140.142122</v>
      </c>
      <c r="DL8" s="275">
        <f t="shared" si="39"/>
        <v>2758.2</v>
      </c>
      <c r="DM8" s="275">
        <f>ROUND(DL6/DL8*100,6)</f>
        <v>140.142122</v>
      </c>
      <c r="DN8" s="275">
        <f t="shared" si="40"/>
        <v>0</v>
      </c>
      <c r="DO8" s="275" t="e">
        <f>ROUND(DN6/DN8*100,6)</f>
        <v>#DIV/0!</v>
      </c>
      <c r="DP8" s="275">
        <f t="shared" si="41"/>
        <v>0</v>
      </c>
      <c r="DQ8" s="276">
        <f t="shared" si="42"/>
        <v>1</v>
      </c>
      <c r="DR8" s="274">
        <v>930</v>
      </c>
      <c r="DS8" s="275">
        <f>ROUND(DR6/DR8*100,6)</f>
        <v>140.13978499999999</v>
      </c>
      <c r="DT8" s="274">
        <v>930</v>
      </c>
      <c r="DU8" s="275">
        <f>ROUND(DT6/DT8*100,6)</f>
        <v>140.13978499999999</v>
      </c>
      <c r="DV8" s="274"/>
      <c r="DW8" s="275" t="e">
        <f>ROUND(DV6/DV8*100,6)</f>
        <v>#DIV/0!</v>
      </c>
      <c r="DX8" s="275">
        <f t="shared" si="43"/>
        <v>0</v>
      </c>
      <c r="DY8" s="276">
        <f t="shared" si="44"/>
        <v>1</v>
      </c>
      <c r="DZ8" s="274">
        <v>900</v>
      </c>
      <c r="EA8" s="275">
        <f>ROUND(DZ6/DZ8*100,6)</f>
        <v>140.14444399999999</v>
      </c>
      <c r="EB8" s="274">
        <v>900</v>
      </c>
      <c r="EC8" s="275">
        <f>ROUND(EB6/EB8*100,6)</f>
        <v>140.14444399999999</v>
      </c>
      <c r="ED8" s="274"/>
      <c r="EE8" s="275" t="e">
        <f>ROUND(ED6/ED8*100,6)</f>
        <v>#DIV/0!</v>
      </c>
      <c r="EF8" s="275">
        <f t="shared" si="45"/>
        <v>0</v>
      </c>
      <c r="EG8" s="276">
        <f t="shared" si="46"/>
        <v>1</v>
      </c>
      <c r="EH8" s="274">
        <v>928.2</v>
      </c>
      <c r="EI8" s="275">
        <f>ROUND(EH6/EH8*100,6)</f>
        <v>140.142211</v>
      </c>
      <c r="EJ8" s="274">
        <v>928.2</v>
      </c>
      <c r="EK8" s="275">
        <f>ROUND(EJ6/EJ8*100,6)</f>
        <v>140.142211</v>
      </c>
      <c r="EL8" s="274"/>
      <c r="EM8" s="275" t="e">
        <f>ROUND(EL6/EL8*100,6)</f>
        <v>#DIV/0!</v>
      </c>
      <c r="EN8" s="275">
        <f t="shared" si="47"/>
        <v>0</v>
      </c>
      <c r="EO8" s="276">
        <f t="shared" si="48"/>
        <v>1</v>
      </c>
    </row>
    <row r="9" spans="1:145" ht="56.25" customHeight="1" x14ac:dyDescent="0.3">
      <c r="A9" s="264" t="s">
        <v>1527</v>
      </c>
      <c r="B9" s="267" t="s">
        <v>1528</v>
      </c>
      <c r="C9" s="234" t="s">
        <v>1529</v>
      </c>
      <c r="D9" s="234"/>
      <c r="E9" s="235"/>
      <c r="F9" s="232"/>
      <c r="G9" s="236"/>
      <c r="H9" s="243"/>
      <c r="I9" s="252"/>
      <c r="J9" s="275">
        <f t="shared" si="0"/>
        <v>3248.7999999999997</v>
      </c>
      <c r="K9" s="274"/>
      <c r="L9" s="275">
        <f t="shared" si="1"/>
        <v>3248.7999999999997</v>
      </c>
      <c r="M9" s="274"/>
      <c r="N9" s="275">
        <f t="shared" si="2"/>
        <v>895.48170200000004</v>
      </c>
      <c r="O9" s="274"/>
      <c r="P9" s="275">
        <f t="shared" si="3"/>
        <v>0</v>
      </c>
      <c r="Q9" s="276">
        <f t="shared" si="4"/>
        <v>1</v>
      </c>
      <c r="R9" s="275">
        <f t="shared" si="5"/>
        <v>815</v>
      </c>
      <c r="S9" s="274"/>
      <c r="T9" s="275">
        <f t="shared" si="6"/>
        <v>815</v>
      </c>
      <c r="U9" s="274"/>
      <c r="V9" s="275">
        <f t="shared" si="7"/>
        <v>567.43978200000004</v>
      </c>
      <c r="W9" s="274"/>
      <c r="X9" s="275">
        <f t="shared" si="8"/>
        <v>0</v>
      </c>
      <c r="Y9" s="276">
        <f t="shared" si="9"/>
        <v>1</v>
      </c>
      <c r="Z9" s="274">
        <v>280.7</v>
      </c>
      <c r="AA9" s="274"/>
      <c r="AB9" s="274">
        <v>280.7</v>
      </c>
      <c r="AC9" s="274"/>
      <c r="AD9" s="274">
        <v>204.199905</v>
      </c>
      <c r="AE9" s="274"/>
      <c r="AF9" s="275">
        <f t="shared" si="10"/>
        <v>0</v>
      </c>
      <c r="AG9" s="276">
        <f t="shared" si="11"/>
        <v>1</v>
      </c>
      <c r="AH9" s="274">
        <v>253.6</v>
      </c>
      <c r="AI9" s="274"/>
      <c r="AJ9" s="274">
        <v>253.6</v>
      </c>
      <c r="AK9" s="274"/>
      <c r="AL9" s="274">
        <v>159.15937400000001</v>
      </c>
      <c r="AM9" s="274"/>
      <c r="AN9" s="275">
        <f t="shared" si="12"/>
        <v>0</v>
      </c>
      <c r="AO9" s="276">
        <f t="shared" si="13"/>
        <v>1</v>
      </c>
      <c r="AP9" s="274">
        <v>280.7</v>
      </c>
      <c r="AQ9" s="274"/>
      <c r="AR9" s="274">
        <v>280.7</v>
      </c>
      <c r="AS9" s="274"/>
      <c r="AT9" s="274">
        <v>204.08050299999999</v>
      </c>
      <c r="AU9" s="274"/>
      <c r="AV9" s="275">
        <f t="shared" si="14"/>
        <v>0</v>
      </c>
      <c r="AW9" s="276">
        <f t="shared" si="15"/>
        <v>1</v>
      </c>
      <c r="AX9" s="275">
        <f t="shared" si="16"/>
        <v>621.70000000000005</v>
      </c>
      <c r="AY9" s="274"/>
      <c r="AZ9" s="275">
        <f t="shared" si="17"/>
        <v>621.70000000000005</v>
      </c>
      <c r="BA9" s="274"/>
      <c r="BB9" s="275">
        <f t="shared" si="18"/>
        <v>328.04192</v>
      </c>
      <c r="BC9" s="274"/>
      <c r="BD9" s="275">
        <f t="shared" si="19"/>
        <v>0</v>
      </c>
      <c r="BE9" s="276">
        <f t="shared" si="20"/>
        <v>1</v>
      </c>
      <c r="BF9" s="274">
        <v>271.7</v>
      </c>
      <c r="BG9" s="274"/>
      <c r="BH9" s="274">
        <v>271.7</v>
      </c>
      <c r="BI9" s="274"/>
      <c r="BJ9" s="274">
        <v>195.20078799999999</v>
      </c>
      <c r="BK9" s="274"/>
      <c r="BL9" s="275">
        <f t="shared" si="21"/>
        <v>0</v>
      </c>
      <c r="BM9" s="276">
        <f t="shared" si="22"/>
        <v>1</v>
      </c>
      <c r="BN9" s="274">
        <v>193</v>
      </c>
      <c r="BO9" s="274"/>
      <c r="BP9" s="274">
        <v>193</v>
      </c>
      <c r="BQ9" s="274"/>
      <c r="BR9" s="274">
        <v>78.777000000000001</v>
      </c>
      <c r="BS9" s="274"/>
      <c r="BT9" s="275">
        <f t="shared" si="23"/>
        <v>0</v>
      </c>
      <c r="BU9" s="276">
        <f t="shared" si="24"/>
        <v>1</v>
      </c>
      <c r="BV9" s="274">
        <v>157</v>
      </c>
      <c r="BW9" s="274"/>
      <c r="BX9" s="274">
        <v>157</v>
      </c>
      <c r="BY9" s="274"/>
      <c r="BZ9" s="274">
        <v>54.064132000000001</v>
      </c>
      <c r="CA9" s="274"/>
      <c r="CB9" s="275">
        <f t="shared" si="25"/>
        <v>0</v>
      </c>
      <c r="CC9" s="276">
        <f t="shared" si="26"/>
        <v>1</v>
      </c>
      <c r="CD9" s="275">
        <f t="shared" si="27"/>
        <v>886.99999999999989</v>
      </c>
      <c r="CE9" s="274"/>
      <c r="CF9" s="275">
        <f t="shared" si="28"/>
        <v>886.99999999999989</v>
      </c>
      <c r="CG9" s="274"/>
      <c r="CH9" s="275">
        <f t="shared" si="29"/>
        <v>0</v>
      </c>
      <c r="CI9" s="274"/>
      <c r="CJ9" s="275">
        <f t="shared" si="30"/>
        <v>0</v>
      </c>
      <c r="CK9" s="276">
        <f t="shared" si="31"/>
        <v>1</v>
      </c>
      <c r="CL9" s="274">
        <v>291.89999999999998</v>
      </c>
      <c r="CM9" s="274"/>
      <c r="CN9" s="274">
        <v>291.89999999999998</v>
      </c>
      <c r="CO9" s="274"/>
      <c r="CP9" s="274"/>
      <c r="CQ9" s="274"/>
      <c r="CR9" s="275">
        <f t="shared" si="32"/>
        <v>0</v>
      </c>
      <c r="CS9" s="276">
        <f t="shared" si="33"/>
        <v>1</v>
      </c>
      <c r="CT9" s="274">
        <v>293.2</v>
      </c>
      <c r="CU9" s="274"/>
      <c r="CV9" s="274">
        <v>293.2</v>
      </c>
      <c r="CW9" s="274"/>
      <c r="CX9" s="274"/>
      <c r="CY9" s="274"/>
      <c r="CZ9" s="275">
        <f t="shared" si="34"/>
        <v>0</v>
      </c>
      <c r="DA9" s="276">
        <f t="shared" si="35"/>
        <v>1</v>
      </c>
      <c r="DB9" s="274">
        <v>301.89999999999998</v>
      </c>
      <c r="DC9" s="274"/>
      <c r="DD9" s="274">
        <v>301.89999999999998</v>
      </c>
      <c r="DE9" s="274"/>
      <c r="DF9" s="274"/>
      <c r="DG9" s="274"/>
      <c r="DH9" s="275">
        <f t="shared" si="36"/>
        <v>0</v>
      </c>
      <c r="DI9" s="276">
        <f t="shared" si="37"/>
        <v>1</v>
      </c>
      <c r="DJ9" s="275">
        <f t="shared" si="38"/>
        <v>925.09999999999991</v>
      </c>
      <c r="DK9" s="274"/>
      <c r="DL9" s="275">
        <f t="shared" si="39"/>
        <v>925.09999999999991</v>
      </c>
      <c r="DM9" s="274"/>
      <c r="DN9" s="275">
        <f t="shared" si="40"/>
        <v>0</v>
      </c>
      <c r="DO9" s="274"/>
      <c r="DP9" s="275">
        <f t="shared" si="41"/>
        <v>0</v>
      </c>
      <c r="DQ9" s="276">
        <f t="shared" si="42"/>
        <v>1</v>
      </c>
      <c r="DR9" s="274">
        <v>311.89999999999998</v>
      </c>
      <c r="DS9" s="274"/>
      <c r="DT9" s="274">
        <v>311.89999999999998</v>
      </c>
      <c r="DU9" s="274"/>
      <c r="DV9" s="274"/>
      <c r="DW9" s="274"/>
      <c r="DX9" s="275">
        <f t="shared" si="43"/>
        <v>0</v>
      </c>
      <c r="DY9" s="276">
        <f t="shared" si="44"/>
        <v>1</v>
      </c>
      <c r="DZ9" s="274">
        <v>301.89999999999998</v>
      </c>
      <c r="EA9" s="274"/>
      <c r="EB9" s="274">
        <v>301.89999999999998</v>
      </c>
      <c r="EC9" s="274"/>
      <c r="ED9" s="274"/>
      <c r="EE9" s="274"/>
      <c r="EF9" s="275">
        <f t="shared" si="45"/>
        <v>0</v>
      </c>
      <c r="EG9" s="276">
        <f t="shared" si="46"/>
        <v>1</v>
      </c>
      <c r="EH9" s="274">
        <v>311.3</v>
      </c>
      <c r="EI9" s="274"/>
      <c r="EJ9" s="274">
        <v>311.3</v>
      </c>
      <c r="EK9" s="274"/>
      <c r="EL9" s="274"/>
      <c r="EM9" s="274"/>
      <c r="EN9" s="275">
        <f t="shared" si="47"/>
        <v>0</v>
      </c>
      <c r="EO9" s="276">
        <f t="shared" si="48"/>
        <v>1</v>
      </c>
    </row>
    <row r="10" spans="1:145" ht="39" customHeight="1" x14ac:dyDescent="0.3">
      <c r="A10" s="264"/>
      <c r="B10" s="218" t="s">
        <v>1530</v>
      </c>
      <c r="C10" s="234" t="s">
        <v>1531</v>
      </c>
      <c r="D10" s="234"/>
      <c r="E10" s="235"/>
      <c r="F10" s="233" t="s">
        <v>1510</v>
      </c>
      <c r="G10" s="236"/>
      <c r="H10" s="243"/>
      <c r="I10" s="252"/>
      <c r="J10" s="275">
        <f t="shared" si="0"/>
        <v>13.6</v>
      </c>
      <c r="K10" s="274"/>
      <c r="L10" s="275">
        <f t="shared" si="1"/>
        <v>13.6</v>
      </c>
      <c r="M10" s="274"/>
      <c r="N10" s="275">
        <f t="shared" si="2"/>
        <v>3.7210000000000001</v>
      </c>
      <c r="O10" s="274"/>
      <c r="P10" s="275">
        <f t="shared" si="3"/>
        <v>0</v>
      </c>
      <c r="Q10" s="276">
        <f t="shared" si="4"/>
        <v>1</v>
      </c>
      <c r="R10" s="275">
        <f t="shared" si="5"/>
        <v>3.4</v>
      </c>
      <c r="S10" s="274"/>
      <c r="T10" s="275">
        <f t="shared" si="6"/>
        <v>3.4</v>
      </c>
      <c r="U10" s="274"/>
      <c r="V10" s="275">
        <f t="shared" si="7"/>
        <v>2.3620000000000001</v>
      </c>
      <c r="W10" s="274"/>
      <c r="X10" s="275">
        <f t="shared" si="8"/>
        <v>0</v>
      </c>
      <c r="Y10" s="276">
        <f t="shared" si="9"/>
        <v>1</v>
      </c>
      <c r="Z10" s="275">
        <f>Лист1!Z11</f>
        <v>1.2</v>
      </c>
      <c r="AA10" s="274"/>
      <c r="AB10" s="275">
        <f>Лист1!AB11</f>
        <v>1.2</v>
      </c>
      <c r="AC10" s="274"/>
      <c r="AD10" s="275">
        <f>Лист1!AD11</f>
        <v>0.85199999999999998</v>
      </c>
      <c r="AE10" s="274"/>
      <c r="AF10" s="275">
        <f t="shared" si="10"/>
        <v>0</v>
      </c>
      <c r="AG10" s="276">
        <f t="shared" si="11"/>
        <v>1</v>
      </c>
      <c r="AH10" s="275">
        <f>Лист1!AH11</f>
        <v>1.1000000000000001</v>
      </c>
      <c r="AI10" s="274"/>
      <c r="AJ10" s="275">
        <f>Лист1!AJ11</f>
        <v>1.1000000000000001</v>
      </c>
      <c r="AK10" s="274"/>
      <c r="AL10" s="275">
        <f>Лист1!AL11</f>
        <v>0.66300000000000003</v>
      </c>
      <c r="AM10" s="274"/>
      <c r="AN10" s="275">
        <f t="shared" si="12"/>
        <v>0</v>
      </c>
      <c r="AO10" s="276">
        <f t="shared" si="13"/>
        <v>1</v>
      </c>
      <c r="AP10" s="275">
        <f>Лист1!AP11</f>
        <v>1.1000000000000001</v>
      </c>
      <c r="AQ10" s="274"/>
      <c r="AR10" s="275">
        <f>Лист1!AR11</f>
        <v>1.1000000000000001</v>
      </c>
      <c r="AS10" s="274"/>
      <c r="AT10" s="275">
        <f>Лист1!AT11</f>
        <v>0.84699999999999998</v>
      </c>
      <c r="AU10" s="274"/>
      <c r="AV10" s="275">
        <f t="shared" si="14"/>
        <v>0</v>
      </c>
      <c r="AW10" s="276">
        <f t="shared" si="15"/>
        <v>1</v>
      </c>
      <c r="AX10" s="275">
        <f t="shared" si="16"/>
        <v>2.6</v>
      </c>
      <c r="AY10" s="274"/>
      <c r="AZ10" s="275">
        <f t="shared" si="17"/>
        <v>2.6</v>
      </c>
      <c r="BA10" s="274"/>
      <c r="BB10" s="275">
        <f t="shared" si="18"/>
        <v>1.3590000000000002</v>
      </c>
      <c r="BC10" s="274"/>
      <c r="BD10" s="275">
        <f t="shared" si="19"/>
        <v>0</v>
      </c>
      <c r="BE10" s="276">
        <f t="shared" si="20"/>
        <v>1</v>
      </c>
      <c r="BF10" s="275">
        <f>Лист1!BF11</f>
        <v>1.2</v>
      </c>
      <c r="BG10" s="274"/>
      <c r="BH10" s="275">
        <f>Лист1!BH11</f>
        <v>1.2</v>
      </c>
      <c r="BI10" s="274"/>
      <c r="BJ10" s="275">
        <f>Лист1!BJ11</f>
        <v>0.80700000000000005</v>
      </c>
      <c r="BK10" s="274"/>
      <c r="BL10" s="275">
        <f t="shared" si="21"/>
        <v>0</v>
      </c>
      <c r="BM10" s="276">
        <f t="shared" si="22"/>
        <v>1</v>
      </c>
      <c r="BN10" s="275">
        <f>Лист1!BN11</f>
        <v>0.8</v>
      </c>
      <c r="BO10" s="274"/>
      <c r="BP10" s="275">
        <f>Лист1!BP11</f>
        <v>0.8</v>
      </c>
      <c r="BQ10" s="274"/>
      <c r="BR10" s="275">
        <f>Лист1!BR11</f>
        <v>0.32700000000000001</v>
      </c>
      <c r="BS10" s="274"/>
      <c r="BT10" s="275">
        <f t="shared" si="23"/>
        <v>0</v>
      </c>
      <c r="BU10" s="276">
        <f t="shared" si="24"/>
        <v>1</v>
      </c>
      <c r="BV10" s="275">
        <f>Лист1!BV11</f>
        <v>0.6</v>
      </c>
      <c r="BW10" s="274"/>
      <c r="BX10" s="275">
        <f>Лист1!BX11</f>
        <v>0.6</v>
      </c>
      <c r="BY10" s="274"/>
      <c r="BZ10" s="275">
        <f>Лист1!BZ11</f>
        <v>0.22500000000000001</v>
      </c>
      <c r="CA10" s="274"/>
      <c r="CB10" s="275">
        <f t="shared" si="25"/>
        <v>0</v>
      </c>
      <c r="CC10" s="276">
        <f t="shared" si="26"/>
        <v>1</v>
      </c>
      <c r="CD10" s="275">
        <f t="shared" si="27"/>
        <v>3.7</v>
      </c>
      <c r="CE10" s="274"/>
      <c r="CF10" s="275">
        <f t="shared" si="28"/>
        <v>3.7</v>
      </c>
      <c r="CG10" s="274"/>
      <c r="CH10" s="275">
        <f t="shared" si="29"/>
        <v>0</v>
      </c>
      <c r="CI10" s="274"/>
      <c r="CJ10" s="275">
        <f t="shared" si="30"/>
        <v>0</v>
      </c>
      <c r="CK10" s="276">
        <f t="shared" si="31"/>
        <v>1</v>
      </c>
      <c r="CL10" s="275">
        <f>Лист1!CL11</f>
        <v>1.2</v>
      </c>
      <c r="CM10" s="274"/>
      <c r="CN10" s="275">
        <f>Лист1!CN11</f>
        <v>1.2</v>
      </c>
      <c r="CO10" s="274"/>
      <c r="CP10" s="275">
        <f>Лист1!CP11</f>
        <v>0</v>
      </c>
      <c r="CQ10" s="274"/>
      <c r="CR10" s="275">
        <f t="shared" si="32"/>
        <v>0</v>
      </c>
      <c r="CS10" s="276">
        <f t="shared" si="33"/>
        <v>1</v>
      </c>
      <c r="CT10" s="275">
        <f>Лист1!CT11</f>
        <v>1.2</v>
      </c>
      <c r="CU10" s="274"/>
      <c r="CV10" s="275">
        <f>Лист1!CV11</f>
        <v>1.2</v>
      </c>
      <c r="CW10" s="274"/>
      <c r="CX10" s="275">
        <f>Лист1!CX11</f>
        <v>0</v>
      </c>
      <c r="CY10" s="274"/>
      <c r="CZ10" s="275">
        <f t="shared" si="34"/>
        <v>0</v>
      </c>
      <c r="DA10" s="276">
        <f t="shared" si="35"/>
        <v>1</v>
      </c>
      <c r="DB10" s="275">
        <f>Лист1!DB11</f>
        <v>1.3</v>
      </c>
      <c r="DC10" s="274"/>
      <c r="DD10" s="275">
        <f>Лист1!DD11</f>
        <v>1.3</v>
      </c>
      <c r="DE10" s="274"/>
      <c r="DF10" s="275">
        <f>Лист1!DF11</f>
        <v>0</v>
      </c>
      <c r="DG10" s="274"/>
      <c r="DH10" s="275">
        <f t="shared" si="36"/>
        <v>0</v>
      </c>
      <c r="DI10" s="276">
        <f t="shared" si="37"/>
        <v>1</v>
      </c>
      <c r="DJ10" s="275">
        <f t="shared" si="38"/>
        <v>3.9000000000000004</v>
      </c>
      <c r="DK10" s="274"/>
      <c r="DL10" s="275">
        <f t="shared" si="39"/>
        <v>3.9000000000000004</v>
      </c>
      <c r="DM10" s="274"/>
      <c r="DN10" s="275">
        <f t="shared" si="40"/>
        <v>0</v>
      </c>
      <c r="DO10" s="274"/>
      <c r="DP10" s="275">
        <f t="shared" si="41"/>
        <v>0</v>
      </c>
      <c r="DQ10" s="276">
        <f t="shared" si="42"/>
        <v>1</v>
      </c>
      <c r="DR10" s="275">
        <f>Лист1!DR11</f>
        <v>1.3</v>
      </c>
      <c r="DS10" s="274"/>
      <c r="DT10" s="275">
        <f>Лист1!DT11</f>
        <v>1.3</v>
      </c>
      <c r="DU10" s="274"/>
      <c r="DV10" s="275">
        <f>Лист1!DV11</f>
        <v>0</v>
      </c>
      <c r="DW10" s="274"/>
      <c r="DX10" s="275">
        <f t="shared" si="43"/>
        <v>0</v>
      </c>
      <c r="DY10" s="276">
        <f t="shared" si="44"/>
        <v>1</v>
      </c>
      <c r="DZ10" s="275">
        <f>Лист1!DZ11</f>
        <v>1.3</v>
      </c>
      <c r="EA10" s="274"/>
      <c r="EB10" s="275">
        <f>Лист1!EB11</f>
        <v>1.3</v>
      </c>
      <c r="EC10" s="274"/>
      <c r="ED10" s="275">
        <f>Лист1!ED11</f>
        <v>0</v>
      </c>
      <c r="EE10" s="274"/>
      <c r="EF10" s="275">
        <f t="shared" si="45"/>
        <v>0</v>
      </c>
      <c r="EG10" s="276">
        <f t="shared" si="46"/>
        <v>1</v>
      </c>
      <c r="EH10" s="275">
        <f>Лист1!EH11</f>
        <v>1.3</v>
      </c>
      <c r="EI10" s="274"/>
      <c r="EJ10" s="275">
        <f>Лист1!EJ11</f>
        <v>1.3</v>
      </c>
      <c r="EK10" s="274"/>
      <c r="EL10" s="275">
        <f>Лист1!EL11</f>
        <v>0</v>
      </c>
      <c r="EM10" s="274"/>
      <c r="EN10" s="275">
        <f t="shared" si="47"/>
        <v>0</v>
      </c>
      <c r="EO10" s="276">
        <f t="shared" si="48"/>
        <v>1</v>
      </c>
    </row>
    <row r="11" spans="1:145" ht="18.75" customHeight="1" x14ac:dyDescent="0.3">
      <c r="A11" s="264"/>
      <c r="B11" s="219" t="s">
        <v>1532</v>
      </c>
      <c r="C11" s="234" t="s">
        <v>1533</v>
      </c>
      <c r="D11" s="234"/>
      <c r="E11" s="235"/>
      <c r="F11" s="232"/>
      <c r="G11" s="236" t="s">
        <v>1534</v>
      </c>
      <c r="H11" s="243"/>
      <c r="I11" s="252"/>
      <c r="J11" s="275">
        <f t="shared" si="0"/>
        <v>13.6</v>
      </c>
      <c r="K11" s="275">
        <f>K6-K8</f>
        <v>-40.141027000000008</v>
      </c>
      <c r="L11" s="275">
        <f t="shared" si="1"/>
        <v>13.6</v>
      </c>
      <c r="M11" s="275">
        <f>M6-M8</f>
        <v>-40.141027000000008</v>
      </c>
      <c r="N11" s="275">
        <f t="shared" si="2"/>
        <v>3.7210000000000001</v>
      </c>
      <c r="O11" s="275">
        <f>O6-O8</f>
        <v>-39.463526999999999</v>
      </c>
      <c r="P11" s="275">
        <f t="shared" si="3"/>
        <v>0</v>
      </c>
      <c r="Q11" s="276">
        <f t="shared" si="4"/>
        <v>1</v>
      </c>
      <c r="R11" s="275">
        <f t="shared" si="5"/>
        <v>3.4</v>
      </c>
      <c r="S11" s="275">
        <f>S6-S8</f>
        <v>-40.139917999999994</v>
      </c>
      <c r="T11" s="275">
        <f t="shared" si="6"/>
        <v>3.4</v>
      </c>
      <c r="U11" s="275">
        <f>U6-U8</f>
        <v>-40.139917999999994</v>
      </c>
      <c r="V11" s="275">
        <f t="shared" si="7"/>
        <v>2.3620000000000001</v>
      </c>
      <c r="W11" s="275">
        <f>W6-W8</f>
        <v>-39.706044999999989</v>
      </c>
      <c r="X11" s="275">
        <f t="shared" si="8"/>
        <v>0</v>
      </c>
      <c r="Y11" s="276">
        <f t="shared" si="9"/>
        <v>1</v>
      </c>
      <c r="Z11" s="274">
        <v>1.2</v>
      </c>
      <c r="AA11" s="275">
        <f>AA6-AA8</f>
        <v>-40.131421999999986</v>
      </c>
      <c r="AB11" s="274">
        <v>1.2</v>
      </c>
      <c r="AC11" s="275">
        <f>AC6-AC8</f>
        <v>-40.131421999999986</v>
      </c>
      <c r="AD11" s="274">
        <v>0.85199999999999998</v>
      </c>
      <c r="AE11" s="275">
        <f>AE6-AE8</f>
        <v>-39.976989000000003</v>
      </c>
      <c r="AF11" s="275">
        <f t="shared" si="10"/>
        <v>0</v>
      </c>
      <c r="AG11" s="276">
        <f t="shared" si="11"/>
        <v>1</v>
      </c>
      <c r="AH11" s="274">
        <v>1.1000000000000001</v>
      </c>
      <c r="AI11" s="275">
        <f>AI6-AI8</f>
        <v>-40.145502999999991</v>
      </c>
      <c r="AJ11" s="274">
        <v>1.1000000000000001</v>
      </c>
      <c r="AK11" s="275">
        <f>AK6-AK8</f>
        <v>-40.145502999999991</v>
      </c>
      <c r="AL11" s="274">
        <v>0.66300000000000003</v>
      </c>
      <c r="AM11" s="275">
        <f>AM6-AM8</f>
        <v>-39.877348000000012</v>
      </c>
      <c r="AN11" s="275">
        <f t="shared" si="12"/>
        <v>0</v>
      </c>
      <c r="AO11" s="276">
        <f t="shared" si="13"/>
        <v>1</v>
      </c>
      <c r="AP11" s="274">
        <v>1.1000000000000001</v>
      </c>
      <c r="AQ11" s="275">
        <f>AQ6-AQ8</f>
        <v>-40.143369000000007</v>
      </c>
      <c r="AR11" s="274">
        <v>1.1000000000000001</v>
      </c>
      <c r="AS11" s="275">
        <f>AS6-AS8</f>
        <v>-40.143369000000007</v>
      </c>
      <c r="AT11" s="274">
        <v>0.84699999999999998</v>
      </c>
      <c r="AU11" s="275">
        <f>AU6-AU8</f>
        <v>-39.301344999999998</v>
      </c>
      <c r="AV11" s="275">
        <f t="shared" si="14"/>
        <v>0</v>
      </c>
      <c r="AW11" s="276">
        <f t="shared" si="15"/>
        <v>1</v>
      </c>
      <c r="AX11" s="275">
        <f t="shared" si="16"/>
        <v>2.6</v>
      </c>
      <c r="AY11" s="275">
        <f>AY6-AY8</f>
        <v>-40.142440999999991</v>
      </c>
      <c r="AZ11" s="275">
        <f t="shared" si="17"/>
        <v>2.6</v>
      </c>
      <c r="BA11" s="275">
        <f>BA6-BA8</f>
        <v>-40.142440999999991</v>
      </c>
      <c r="BB11" s="275">
        <f t="shared" si="18"/>
        <v>1.3590000000000002</v>
      </c>
      <c r="BC11" s="275">
        <f>BC6-BC8</f>
        <v>-39.044653000000011</v>
      </c>
      <c r="BD11" s="275">
        <f t="shared" si="19"/>
        <v>0</v>
      </c>
      <c r="BE11" s="276">
        <f t="shared" si="20"/>
        <v>1</v>
      </c>
      <c r="BF11" s="274">
        <v>1.2</v>
      </c>
      <c r="BG11" s="275">
        <f>BG6-BG8</f>
        <v>-40.148147999999992</v>
      </c>
      <c r="BH11" s="274">
        <v>1.2</v>
      </c>
      <c r="BI11" s="275">
        <f>BI6-BI8</f>
        <v>-40.148147999999992</v>
      </c>
      <c r="BJ11" s="274">
        <v>0.80700000000000005</v>
      </c>
      <c r="BK11" s="275">
        <f>BK6-BK8</f>
        <v>-38.826996000000008</v>
      </c>
      <c r="BL11" s="275">
        <f t="shared" si="21"/>
        <v>0</v>
      </c>
      <c r="BM11" s="276">
        <f t="shared" si="22"/>
        <v>1</v>
      </c>
      <c r="BN11" s="274">
        <v>0.8</v>
      </c>
      <c r="BO11" s="275">
        <f>BO6-BO8</f>
        <v>-40.145984999999996</v>
      </c>
      <c r="BP11" s="274">
        <v>0.8</v>
      </c>
      <c r="BQ11" s="275">
        <f>BQ6-BQ8</f>
        <v>-40.145984999999996</v>
      </c>
      <c r="BR11" s="274">
        <v>0.32700000000000001</v>
      </c>
      <c r="BS11" s="275">
        <f>BS6-BS8</f>
        <v>-38.873232999999999</v>
      </c>
      <c r="BT11" s="275">
        <f t="shared" si="23"/>
        <v>0</v>
      </c>
      <c r="BU11" s="276">
        <f t="shared" si="24"/>
        <v>1</v>
      </c>
      <c r="BV11" s="274">
        <v>0.6</v>
      </c>
      <c r="BW11" s="275">
        <f>BW6-BW8</f>
        <v>-40.128205000000008</v>
      </c>
      <c r="BX11" s="274">
        <v>0.6</v>
      </c>
      <c r="BY11" s="275">
        <f>BY6-BY8</f>
        <v>-40.128205000000008</v>
      </c>
      <c r="BZ11" s="274">
        <v>0.22500000000000001</v>
      </c>
      <c r="CA11" s="275">
        <f>CA6-CA8</f>
        <v>-40.08184700000001</v>
      </c>
      <c r="CB11" s="275">
        <f t="shared" si="25"/>
        <v>0</v>
      </c>
      <c r="CC11" s="276">
        <f t="shared" si="26"/>
        <v>1</v>
      </c>
      <c r="CD11" s="275">
        <f t="shared" si="27"/>
        <v>3.7</v>
      </c>
      <c r="CE11" s="275">
        <f>CE6-CE8</f>
        <v>-40.139913000000007</v>
      </c>
      <c r="CF11" s="275">
        <f t="shared" si="28"/>
        <v>3.7</v>
      </c>
      <c r="CG11" s="275">
        <f>CG6-CG8</f>
        <v>-40.139913000000007</v>
      </c>
      <c r="CH11" s="275">
        <f t="shared" si="29"/>
        <v>0</v>
      </c>
      <c r="CI11" s="275" t="e">
        <f>CI6-CI8</f>
        <v>#DIV/0!</v>
      </c>
      <c r="CJ11" s="275">
        <f t="shared" si="30"/>
        <v>0</v>
      </c>
      <c r="CK11" s="276">
        <f t="shared" si="31"/>
        <v>1</v>
      </c>
      <c r="CL11" s="274">
        <v>1.2</v>
      </c>
      <c r="CM11" s="275">
        <f>CM6-CM8</f>
        <v>-40.135584999999992</v>
      </c>
      <c r="CN11" s="274">
        <v>1.2</v>
      </c>
      <c r="CO11" s="275">
        <f>CO6-CO8</f>
        <v>-40.135584999999992</v>
      </c>
      <c r="CP11" s="274"/>
      <c r="CQ11" s="275" t="e">
        <f>CQ6-CQ8</f>
        <v>#DIV/0!</v>
      </c>
      <c r="CR11" s="275">
        <f t="shared" si="32"/>
        <v>0</v>
      </c>
      <c r="CS11" s="276">
        <f t="shared" si="33"/>
        <v>1</v>
      </c>
      <c r="CT11" s="274">
        <v>1.2</v>
      </c>
      <c r="CU11" s="275">
        <f>CU6-CU8</f>
        <v>-40.139555999999999</v>
      </c>
      <c r="CV11" s="274">
        <v>1.2</v>
      </c>
      <c r="CW11" s="275">
        <f>CW6-CW8</f>
        <v>-40.139555999999999</v>
      </c>
      <c r="CX11" s="274"/>
      <c r="CY11" s="275" t="e">
        <f>CY6-CY8</f>
        <v>#DIV/0!</v>
      </c>
      <c r="CZ11" s="275">
        <f t="shared" si="34"/>
        <v>0</v>
      </c>
      <c r="DA11" s="276">
        <f t="shared" si="35"/>
        <v>1</v>
      </c>
      <c r="DB11" s="274">
        <v>1.3</v>
      </c>
      <c r="DC11" s="275">
        <f>DC6-DC8</f>
        <v>-40.144443999999993</v>
      </c>
      <c r="DD11" s="274">
        <v>1.3</v>
      </c>
      <c r="DE11" s="275">
        <f>DE6-DE8</f>
        <v>-40.144443999999993</v>
      </c>
      <c r="DF11" s="274"/>
      <c r="DG11" s="275" t="e">
        <f>DG6-DG8</f>
        <v>#DIV/0!</v>
      </c>
      <c r="DH11" s="275">
        <f t="shared" si="36"/>
        <v>0</v>
      </c>
      <c r="DI11" s="276">
        <f t="shared" si="37"/>
        <v>1</v>
      </c>
      <c r="DJ11" s="275">
        <f t="shared" si="38"/>
        <v>3.9000000000000004</v>
      </c>
      <c r="DK11" s="275">
        <f>DK6-DK8</f>
        <v>-40.142122000000001</v>
      </c>
      <c r="DL11" s="275">
        <f t="shared" si="39"/>
        <v>3.9000000000000004</v>
      </c>
      <c r="DM11" s="275">
        <f>DM6-DM8</f>
        <v>-40.142122000000001</v>
      </c>
      <c r="DN11" s="275">
        <f t="shared" si="40"/>
        <v>0</v>
      </c>
      <c r="DO11" s="275" t="e">
        <f>DO6-DO8</f>
        <v>#DIV/0!</v>
      </c>
      <c r="DP11" s="275">
        <f t="shared" si="41"/>
        <v>0</v>
      </c>
      <c r="DQ11" s="276">
        <f t="shared" si="42"/>
        <v>1</v>
      </c>
      <c r="DR11" s="274">
        <v>1.3</v>
      </c>
      <c r="DS11" s="275">
        <f>DS6-DS8</f>
        <v>-40.139784999999989</v>
      </c>
      <c r="DT11" s="274">
        <v>1.3</v>
      </c>
      <c r="DU11" s="275">
        <f>DU6-DU8</f>
        <v>-40.139784999999989</v>
      </c>
      <c r="DV11" s="274"/>
      <c r="DW11" s="275" t="e">
        <f>DW6-DW8</f>
        <v>#DIV/0!</v>
      </c>
      <c r="DX11" s="275">
        <f t="shared" si="43"/>
        <v>0</v>
      </c>
      <c r="DY11" s="276">
        <f t="shared" si="44"/>
        <v>1</v>
      </c>
      <c r="DZ11" s="274">
        <v>1.3</v>
      </c>
      <c r="EA11" s="275">
        <f>EA6-EA8</f>
        <v>-40.144443999999993</v>
      </c>
      <c r="EB11" s="274">
        <v>1.3</v>
      </c>
      <c r="EC11" s="275">
        <f>EC6-EC8</f>
        <v>-40.144443999999993</v>
      </c>
      <c r="ED11" s="274"/>
      <c r="EE11" s="275" t="e">
        <f>EE6-EE8</f>
        <v>#DIV/0!</v>
      </c>
      <c r="EF11" s="275">
        <f t="shared" si="45"/>
        <v>0</v>
      </c>
      <c r="EG11" s="276">
        <f t="shared" si="46"/>
        <v>1</v>
      </c>
      <c r="EH11" s="274">
        <v>1.3</v>
      </c>
      <c r="EI11" s="275">
        <f>EI6-EI8</f>
        <v>-40.142211000000003</v>
      </c>
      <c r="EJ11" s="274">
        <v>1.3</v>
      </c>
      <c r="EK11" s="275">
        <f>EK6-EK8</f>
        <v>-40.142211000000003</v>
      </c>
      <c r="EL11" s="274"/>
      <c r="EM11" s="275" t="e">
        <f>EM6-EM8</f>
        <v>#DIV/0!</v>
      </c>
      <c r="EN11" s="275">
        <f t="shared" si="47"/>
        <v>0</v>
      </c>
      <c r="EO11" s="276">
        <f t="shared" si="48"/>
        <v>1</v>
      </c>
    </row>
    <row r="12" spans="1:145" ht="37.5" customHeight="1" x14ac:dyDescent="0.3">
      <c r="A12" s="8" t="s">
        <v>1535</v>
      </c>
      <c r="B12" s="267" t="s">
        <v>1536</v>
      </c>
      <c r="C12" s="234" t="s">
        <v>1537</v>
      </c>
      <c r="D12" s="234"/>
      <c r="E12" s="235"/>
      <c r="F12" s="232" t="s">
        <v>1512</v>
      </c>
      <c r="G12" s="236" t="s">
        <v>1538</v>
      </c>
      <c r="H12" s="243"/>
      <c r="I12" s="252"/>
      <c r="J12" s="275">
        <f t="shared" si="0"/>
        <v>13560.6</v>
      </c>
      <c r="K12" s="275">
        <f>K6+K8+10000</f>
        <v>10240.141027</v>
      </c>
      <c r="L12" s="275">
        <f t="shared" si="1"/>
        <v>13560.6</v>
      </c>
      <c r="M12" s="275">
        <f>M6+M8+10000</f>
        <v>10240.141027</v>
      </c>
      <c r="N12" s="275">
        <f t="shared" si="2"/>
        <v>3721.8477019999996</v>
      </c>
      <c r="O12" s="275">
        <f>O6+O8+10000</f>
        <v>10239.463527</v>
      </c>
      <c r="P12" s="275">
        <f t="shared" si="3"/>
        <v>0</v>
      </c>
      <c r="Q12" s="276">
        <f t="shared" si="4"/>
        <v>1</v>
      </c>
      <c r="R12" s="275">
        <f t="shared" si="5"/>
        <v>3402</v>
      </c>
      <c r="S12" s="275">
        <f>S6+S8+10000</f>
        <v>10240.139918000001</v>
      </c>
      <c r="T12" s="275">
        <f t="shared" si="6"/>
        <v>3402</v>
      </c>
      <c r="U12" s="275">
        <f>U6+U8+10000</f>
        <v>10240.139918000001</v>
      </c>
      <c r="V12" s="275">
        <f t="shared" si="7"/>
        <v>2361.2267819999997</v>
      </c>
      <c r="W12" s="275">
        <f>W6+W8+10000</f>
        <v>10239.706045000001</v>
      </c>
      <c r="X12" s="275">
        <f t="shared" si="8"/>
        <v>0</v>
      </c>
      <c r="Y12" s="276">
        <f t="shared" si="9"/>
        <v>1</v>
      </c>
      <c r="Z12" s="275">
        <f>Лист1!Z13+Лист1!Z15</f>
        <v>1171.6999999999998</v>
      </c>
      <c r="AA12" s="275">
        <f>AA6+AA8+10000</f>
        <v>10240.131422</v>
      </c>
      <c r="AB12" s="275">
        <f>Лист1!AB13+Лист1!AB15</f>
        <v>1171.6999999999998</v>
      </c>
      <c r="AC12" s="275">
        <f>AC6+AC8+10000</f>
        <v>10240.131422</v>
      </c>
      <c r="AD12" s="275">
        <f>Лист1!AD13+Лист1!AD15</f>
        <v>851.36290499999996</v>
      </c>
      <c r="AE12" s="275">
        <f>AE6+AE8+10000</f>
        <v>10239.976989000001</v>
      </c>
      <c r="AF12" s="275">
        <f t="shared" si="10"/>
        <v>0</v>
      </c>
      <c r="AG12" s="276">
        <f t="shared" si="11"/>
        <v>1</v>
      </c>
      <c r="AH12" s="275">
        <f>Лист1!AH13+Лист1!AH15</f>
        <v>1058.4000000000001</v>
      </c>
      <c r="AI12" s="275">
        <f>AI6+AI8+10000</f>
        <v>10240.145503</v>
      </c>
      <c r="AJ12" s="275">
        <f>Лист1!AJ13+Лист1!AJ15</f>
        <v>1058.4000000000001</v>
      </c>
      <c r="AK12" s="275">
        <f>AK6+AK8+10000</f>
        <v>10240.145503</v>
      </c>
      <c r="AL12" s="275">
        <f>Лист1!AL13+Лист1!AL15</f>
        <v>663.10537399999998</v>
      </c>
      <c r="AM12" s="275">
        <f>AM6+AM8+10000</f>
        <v>10239.877348</v>
      </c>
      <c r="AN12" s="275">
        <f t="shared" si="12"/>
        <v>0</v>
      </c>
      <c r="AO12" s="276">
        <f t="shared" si="13"/>
        <v>1</v>
      </c>
      <c r="AP12" s="275">
        <f>Лист1!AP13+Лист1!AP15</f>
        <v>1171.9000000000001</v>
      </c>
      <c r="AQ12" s="275">
        <f>AQ6+AQ8+10000</f>
        <v>10240.143368999999</v>
      </c>
      <c r="AR12" s="275">
        <f>Лист1!AR13+Лист1!AR15</f>
        <v>1171.9000000000001</v>
      </c>
      <c r="AS12" s="275">
        <f>AS6+AS8+10000</f>
        <v>10240.143368999999</v>
      </c>
      <c r="AT12" s="275">
        <f>Лист1!AT13+Лист1!AT15</f>
        <v>846.75850300000002</v>
      </c>
      <c r="AU12" s="275">
        <f>AU6+AU8+10000</f>
        <v>10239.301345</v>
      </c>
      <c r="AV12" s="275">
        <f t="shared" si="14"/>
        <v>0</v>
      </c>
      <c r="AW12" s="276">
        <f t="shared" si="15"/>
        <v>1</v>
      </c>
      <c r="AX12" s="275">
        <f t="shared" si="16"/>
        <v>2594.8000000000002</v>
      </c>
      <c r="AY12" s="275">
        <f>AY6+AY8+10000</f>
        <v>10240.142441</v>
      </c>
      <c r="AZ12" s="275">
        <f t="shared" si="17"/>
        <v>2594.8000000000002</v>
      </c>
      <c r="BA12" s="275">
        <f>BA6+BA8+10000</f>
        <v>10240.142441</v>
      </c>
      <c r="BB12" s="275">
        <f t="shared" si="18"/>
        <v>1360.6209199999998</v>
      </c>
      <c r="BC12" s="275">
        <f>BC6+BC8+10000</f>
        <v>10239.044653000001</v>
      </c>
      <c r="BD12" s="275">
        <f t="shared" si="19"/>
        <v>0</v>
      </c>
      <c r="BE12" s="276">
        <f t="shared" si="20"/>
        <v>1</v>
      </c>
      <c r="BF12" s="275">
        <f>Лист1!BF13+Лист1!BF15</f>
        <v>1134</v>
      </c>
      <c r="BG12" s="275">
        <f>BG6+BG8+10000</f>
        <v>10240.148148</v>
      </c>
      <c r="BH12" s="275">
        <f>Лист1!BH13+Лист1!BH15</f>
        <v>1134</v>
      </c>
      <c r="BI12" s="275">
        <f>BI6+BI8+10000</f>
        <v>10240.148148</v>
      </c>
      <c r="BJ12" s="275">
        <f>Лист1!BJ13+Лист1!BJ15</f>
        <v>807.15778799999998</v>
      </c>
      <c r="BK12" s="275">
        <f>BK6+BK8+10000</f>
        <v>10238.826996</v>
      </c>
      <c r="BL12" s="275">
        <f t="shared" si="21"/>
        <v>0</v>
      </c>
      <c r="BM12" s="276">
        <f t="shared" si="22"/>
        <v>1</v>
      </c>
      <c r="BN12" s="275">
        <f>Лист1!BN13+Лист1!BN15</f>
        <v>805.59999999999991</v>
      </c>
      <c r="BO12" s="275">
        <f>BO6+BO8+10000</f>
        <v>10240.145984999999</v>
      </c>
      <c r="BP12" s="275">
        <f>Лист1!BP13+Лист1!BP15</f>
        <v>805.59999999999991</v>
      </c>
      <c r="BQ12" s="275">
        <f>BQ6+BQ8+10000</f>
        <v>10240.145984999999</v>
      </c>
      <c r="BR12" s="275">
        <f>Лист1!BR13+Лист1!BR15</f>
        <v>327.88600000000002</v>
      </c>
      <c r="BS12" s="275">
        <f>BS6+BS8+10000</f>
        <v>10238.873233</v>
      </c>
      <c r="BT12" s="275">
        <f t="shared" si="23"/>
        <v>0</v>
      </c>
      <c r="BU12" s="276">
        <f t="shared" si="24"/>
        <v>1</v>
      </c>
      <c r="BV12" s="275">
        <f>Лист1!BV13+Лист1!BV15</f>
        <v>655.20000000000005</v>
      </c>
      <c r="BW12" s="275">
        <f>BW6+BW8+10000</f>
        <v>10240.128205000001</v>
      </c>
      <c r="BX12" s="275">
        <f>Лист1!BX13+Лист1!BX15</f>
        <v>655.20000000000005</v>
      </c>
      <c r="BY12" s="275">
        <f>BY6+BY8+10000</f>
        <v>10240.128205000001</v>
      </c>
      <c r="BZ12" s="275">
        <f>Лист1!BZ13+Лист1!BZ15</f>
        <v>225.57713200000001</v>
      </c>
      <c r="CA12" s="275">
        <f>CA6+CA8+10000</f>
        <v>10240.081846999999</v>
      </c>
      <c r="CB12" s="275">
        <f t="shared" si="25"/>
        <v>0</v>
      </c>
      <c r="CC12" s="276">
        <f t="shared" si="26"/>
        <v>1</v>
      </c>
      <c r="CD12" s="275">
        <f t="shared" si="27"/>
        <v>3702.3</v>
      </c>
      <c r="CE12" s="275">
        <f>CE6+CE8+10000</f>
        <v>10240.139913000001</v>
      </c>
      <c r="CF12" s="275">
        <f t="shared" si="28"/>
        <v>3702.3</v>
      </c>
      <c r="CG12" s="275">
        <f>CG6+CG8+10000</f>
        <v>10240.139913000001</v>
      </c>
      <c r="CH12" s="275">
        <f t="shared" si="29"/>
        <v>0</v>
      </c>
      <c r="CI12" s="275" t="e">
        <f>CI6+CI8+10000</f>
        <v>#DIV/0!</v>
      </c>
      <c r="CJ12" s="275">
        <f t="shared" si="30"/>
        <v>0</v>
      </c>
      <c r="CK12" s="276">
        <f t="shared" si="31"/>
        <v>1</v>
      </c>
      <c r="CL12" s="275">
        <f>Лист1!CL13+Лист1!CL15</f>
        <v>1218.4000000000001</v>
      </c>
      <c r="CM12" s="275">
        <f>CM6+CM8+10000</f>
        <v>10240.135585</v>
      </c>
      <c r="CN12" s="275">
        <f>Лист1!CN13+Лист1!CN15</f>
        <v>1218.4000000000001</v>
      </c>
      <c r="CO12" s="275">
        <f>CO6+CO8+10000</f>
        <v>10240.135585</v>
      </c>
      <c r="CP12" s="275">
        <f>Лист1!CP13+Лист1!CP15</f>
        <v>0</v>
      </c>
      <c r="CQ12" s="275" t="e">
        <f>CQ6+CQ8+10000</f>
        <v>#DIV/0!</v>
      </c>
      <c r="CR12" s="275">
        <f t="shared" si="32"/>
        <v>0</v>
      </c>
      <c r="CS12" s="276">
        <f t="shared" si="33"/>
        <v>1</v>
      </c>
      <c r="CT12" s="275">
        <f>Лист1!CT13+Лист1!CT15</f>
        <v>1223.9000000000001</v>
      </c>
      <c r="CU12" s="275">
        <f>CU6+CU8+10000</f>
        <v>10240.139556</v>
      </c>
      <c r="CV12" s="275">
        <f>Лист1!CV13+Лист1!CV15</f>
        <v>1223.9000000000001</v>
      </c>
      <c r="CW12" s="275">
        <f>CW6+CW8+10000</f>
        <v>10240.139556</v>
      </c>
      <c r="CX12" s="275">
        <f>Лист1!CX13+Лист1!CX15</f>
        <v>0</v>
      </c>
      <c r="CY12" s="275" t="e">
        <f>CY6+CY8+10000</f>
        <v>#DIV/0!</v>
      </c>
      <c r="CZ12" s="275">
        <f t="shared" si="34"/>
        <v>0</v>
      </c>
      <c r="DA12" s="276">
        <f t="shared" si="35"/>
        <v>1</v>
      </c>
      <c r="DB12" s="275">
        <f>Лист1!DB13+Лист1!DB15</f>
        <v>1260</v>
      </c>
      <c r="DC12" s="275">
        <f>DC6+DC8+10000</f>
        <v>10240.144444</v>
      </c>
      <c r="DD12" s="275">
        <f>Лист1!DD13+Лист1!DD15</f>
        <v>1260</v>
      </c>
      <c r="DE12" s="275">
        <f>DE6+DE8+10000</f>
        <v>10240.144444</v>
      </c>
      <c r="DF12" s="275">
        <f>Лист1!DF13+Лист1!DF15</f>
        <v>0</v>
      </c>
      <c r="DG12" s="275" t="e">
        <f>DG6+DG8+10000</f>
        <v>#DIV/0!</v>
      </c>
      <c r="DH12" s="275">
        <f t="shared" si="36"/>
        <v>0</v>
      </c>
      <c r="DI12" s="276">
        <f t="shared" si="37"/>
        <v>1</v>
      </c>
      <c r="DJ12" s="275">
        <f t="shared" si="38"/>
        <v>3861.5</v>
      </c>
      <c r="DK12" s="275">
        <f>DK6+DK8+10000</f>
        <v>10240.142121999999</v>
      </c>
      <c r="DL12" s="275">
        <f t="shared" si="39"/>
        <v>3861.5</v>
      </c>
      <c r="DM12" s="275">
        <f>DM6+DM8+10000</f>
        <v>10240.142121999999</v>
      </c>
      <c r="DN12" s="275">
        <f t="shared" si="40"/>
        <v>0</v>
      </c>
      <c r="DO12" s="275" t="e">
        <f>DO6+DO8+10000</f>
        <v>#DIV/0!</v>
      </c>
      <c r="DP12" s="275">
        <f t="shared" si="41"/>
        <v>0</v>
      </c>
      <c r="DQ12" s="276">
        <f t="shared" si="42"/>
        <v>1</v>
      </c>
      <c r="DR12" s="275">
        <f>Лист1!DR13+Лист1!DR15</f>
        <v>1302</v>
      </c>
      <c r="DS12" s="275">
        <f>DS6+DS8+10000</f>
        <v>10240.139784999999</v>
      </c>
      <c r="DT12" s="275">
        <f>Лист1!DT13+Лист1!DT15</f>
        <v>1302</v>
      </c>
      <c r="DU12" s="275">
        <f>DU6+DU8+10000</f>
        <v>10240.139784999999</v>
      </c>
      <c r="DV12" s="275">
        <f>Лист1!DV13+Лист1!DV15</f>
        <v>0</v>
      </c>
      <c r="DW12" s="275" t="e">
        <f>DW6+DW8+10000</f>
        <v>#DIV/0!</v>
      </c>
      <c r="DX12" s="275">
        <f t="shared" si="43"/>
        <v>0</v>
      </c>
      <c r="DY12" s="276">
        <f t="shared" si="44"/>
        <v>1</v>
      </c>
      <c r="DZ12" s="275">
        <f>Лист1!DZ13+Лист1!DZ15</f>
        <v>1260</v>
      </c>
      <c r="EA12" s="275">
        <f>EA6+EA8+10000</f>
        <v>10240.144444</v>
      </c>
      <c r="EB12" s="275">
        <f>Лист1!EB13+Лист1!EB15</f>
        <v>1260</v>
      </c>
      <c r="EC12" s="275">
        <f>EC6+EC8+10000</f>
        <v>10240.144444</v>
      </c>
      <c r="ED12" s="275">
        <f>Лист1!ED13+Лист1!ED15</f>
        <v>0</v>
      </c>
      <c r="EE12" s="275" t="e">
        <f>EE6+EE8+10000</f>
        <v>#DIV/0!</v>
      </c>
      <c r="EF12" s="275">
        <f t="shared" si="45"/>
        <v>0</v>
      </c>
      <c r="EG12" s="276">
        <f t="shared" si="46"/>
        <v>1</v>
      </c>
      <c r="EH12" s="275">
        <f>Лист1!EH13+Лист1!EH15</f>
        <v>1299.5</v>
      </c>
      <c r="EI12" s="275">
        <f>EI6+EI8+10000</f>
        <v>10240.142211</v>
      </c>
      <c r="EJ12" s="275">
        <f>Лист1!EJ13+Лист1!EJ15</f>
        <v>1299.5</v>
      </c>
      <c r="EK12" s="275">
        <f>EK6+EK8+10000</f>
        <v>10240.142211</v>
      </c>
      <c r="EL12" s="275">
        <f>Лист1!EL13+Лист1!EL15</f>
        <v>0</v>
      </c>
      <c r="EM12" s="275" t="e">
        <f>EM6+EM8+10000</f>
        <v>#DIV/0!</v>
      </c>
      <c r="EN12" s="275">
        <f t="shared" si="47"/>
        <v>0</v>
      </c>
      <c r="EO12" s="276">
        <f t="shared" si="48"/>
        <v>1</v>
      </c>
    </row>
    <row r="13" spans="1:145" ht="18.75" x14ac:dyDescent="0.3">
      <c r="A13" s="316" t="s">
        <v>1539</v>
      </c>
      <c r="B13" s="322" t="s">
        <v>1540</v>
      </c>
      <c r="C13" s="234" t="s">
        <v>1541</v>
      </c>
      <c r="D13" s="234"/>
      <c r="E13" s="235"/>
      <c r="F13" s="232"/>
      <c r="G13" s="236"/>
      <c r="H13" s="243"/>
      <c r="I13" s="252"/>
      <c r="J13" s="275">
        <f t="shared" si="0"/>
        <v>10315.1</v>
      </c>
      <c r="K13" s="274"/>
      <c r="L13" s="275">
        <f t="shared" si="1"/>
        <v>10315.1</v>
      </c>
      <c r="M13" s="274"/>
      <c r="N13" s="275">
        <f t="shared" si="2"/>
        <v>2827.2599999999998</v>
      </c>
      <c r="O13" s="274"/>
      <c r="P13" s="275">
        <f t="shared" si="3"/>
        <v>0</v>
      </c>
      <c r="Q13" s="276">
        <f t="shared" si="4"/>
        <v>1</v>
      </c>
      <c r="R13" s="275">
        <f t="shared" si="5"/>
        <v>2587.8000000000002</v>
      </c>
      <c r="S13" s="274"/>
      <c r="T13" s="275">
        <f t="shared" si="6"/>
        <v>2587.8000000000002</v>
      </c>
      <c r="U13" s="274"/>
      <c r="V13" s="275">
        <f t="shared" si="7"/>
        <v>1794.3539999999998</v>
      </c>
      <c r="W13" s="274"/>
      <c r="X13" s="275">
        <f t="shared" si="8"/>
        <v>0</v>
      </c>
      <c r="Y13" s="276">
        <f t="shared" si="9"/>
        <v>1</v>
      </c>
      <c r="Z13" s="274">
        <v>891.3</v>
      </c>
      <c r="AA13" s="274"/>
      <c r="AB13" s="274">
        <v>891.3</v>
      </c>
      <c r="AC13" s="274"/>
      <c r="AD13" s="274">
        <v>647.36699999999996</v>
      </c>
      <c r="AE13" s="274"/>
      <c r="AF13" s="275">
        <f t="shared" si="10"/>
        <v>0</v>
      </c>
      <c r="AG13" s="276">
        <f t="shared" si="11"/>
        <v>1</v>
      </c>
      <c r="AH13" s="274">
        <v>805.1</v>
      </c>
      <c r="AI13" s="274"/>
      <c r="AJ13" s="274">
        <v>805.1</v>
      </c>
      <c r="AK13" s="274"/>
      <c r="AL13" s="274">
        <v>504.10500000000002</v>
      </c>
      <c r="AM13" s="274"/>
      <c r="AN13" s="275">
        <f t="shared" si="12"/>
        <v>0</v>
      </c>
      <c r="AO13" s="276">
        <f t="shared" si="13"/>
        <v>1</v>
      </c>
      <c r="AP13" s="274">
        <v>891.4</v>
      </c>
      <c r="AQ13" s="274"/>
      <c r="AR13" s="274">
        <v>891.4</v>
      </c>
      <c r="AS13" s="274"/>
      <c r="AT13" s="274">
        <v>642.88199999999995</v>
      </c>
      <c r="AU13" s="274"/>
      <c r="AV13" s="275">
        <f t="shared" si="14"/>
        <v>0</v>
      </c>
      <c r="AW13" s="276">
        <f t="shared" si="15"/>
        <v>1</v>
      </c>
      <c r="AX13" s="275">
        <f t="shared" si="16"/>
        <v>1973.7</v>
      </c>
      <c r="AY13" s="274"/>
      <c r="AZ13" s="275">
        <f t="shared" si="17"/>
        <v>1973.7</v>
      </c>
      <c r="BA13" s="274"/>
      <c r="BB13" s="275">
        <f t="shared" si="18"/>
        <v>1032.9059999999999</v>
      </c>
      <c r="BC13" s="274"/>
      <c r="BD13" s="275">
        <f t="shared" si="19"/>
        <v>0</v>
      </c>
      <c r="BE13" s="276">
        <f t="shared" si="20"/>
        <v>1</v>
      </c>
      <c r="BF13" s="274">
        <v>862.6</v>
      </c>
      <c r="BG13" s="274"/>
      <c r="BH13" s="274">
        <v>862.6</v>
      </c>
      <c r="BI13" s="274"/>
      <c r="BJ13" s="274">
        <v>612.15200000000004</v>
      </c>
      <c r="BK13" s="274"/>
      <c r="BL13" s="275">
        <f t="shared" si="21"/>
        <v>0</v>
      </c>
      <c r="BM13" s="276">
        <f t="shared" si="22"/>
        <v>1</v>
      </c>
      <c r="BN13" s="274">
        <v>612.79999999999995</v>
      </c>
      <c r="BO13" s="274"/>
      <c r="BP13" s="274">
        <v>612.79999999999995</v>
      </c>
      <c r="BQ13" s="274"/>
      <c r="BR13" s="274">
        <v>249.18700000000001</v>
      </c>
      <c r="BS13" s="274"/>
      <c r="BT13" s="275">
        <f t="shared" si="23"/>
        <v>0</v>
      </c>
      <c r="BU13" s="276">
        <f t="shared" si="24"/>
        <v>1</v>
      </c>
      <c r="BV13" s="274">
        <v>498.3</v>
      </c>
      <c r="BW13" s="274"/>
      <c r="BX13" s="274">
        <v>498.3</v>
      </c>
      <c r="BY13" s="274"/>
      <c r="BZ13" s="274">
        <v>171.56700000000001</v>
      </c>
      <c r="CA13" s="274"/>
      <c r="CB13" s="275">
        <f t="shared" si="25"/>
        <v>0</v>
      </c>
      <c r="CC13" s="276">
        <f t="shared" si="26"/>
        <v>1</v>
      </c>
      <c r="CD13" s="275">
        <f t="shared" si="27"/>
        <v>2816.2</v>
      </c>
      <c r="CE13" s="274"/>
      <c r="CF13" s="275">
        <f t="shared" si="28"/>
        <v>2816.2</v>
      </c>
      <c r="CG13" s="274"/>
      <c r="CH13" s="275">
        <f t="shared" si="29"/>
        <v>0</v>
      </c>
      <c r="CI13" s="274"/>
      <c r="CJ13" s="275">
        <f t="shared" si="30"/>
        <v>0</v>
      </c>
      <c r="CK13" s="276">
        <f t="shared" si="31"/>
        <v>1</v>
      </c>
      <c r="CL13" s="274">
        <v>926.8</v>
      </c>
      <c r="CM13" s="274"/>
      <c r="CN13" s="274">
        <v>926.8</v>
      </c>
      <c r="CO13" s="274"/>
      <c r="CP13" s="274"/>
      <c r="CQ13" s="274"/>
      <c r="CR13" s="275">
        <f t="shared" si="32"/>
        <v>0</v>
      </c>
      <c r="CS13" s="276">
        <f t="shared" si="33"/>
        <v>1</v>
      </c>
      <c r="CT13" s="274">
        <v>931</v>
      </c>
      <c r="CU13" s="274"/>
      <c r="CV13" s="274">
        <v>931</v>
      </c>
      <c r="CW13" s="274"/>
      <c r="CX13" s="274"/>
      <c r="CY13" s="274"/>
      <c r="CZ13" s="275">
        <f t="shared" si="34"/>
        <v>0</v>
      </c>
      <c r="DA13" s="276">
        <f t="shared" si="35"/>
        <v>1</v>
      </c>
      <c r="DB13" s="274">
        <v>958.4</v>
      </c>
      <c r="DC13" s="274"/>
      <c r="DD13" s="274">
        <v>958.4</v>
      </c>
      <c r="DE13" s="274"/>
      <c r="DF13" s="274"/>
      <c r="DG13" s="274"/>
      <c r="DH13" s="275">
        <f t="shared" si="36"/>
        <v>0</v>
      </c>
      <c r="DI13" s="276">
        <f t="shared" si="37"/>
        <v>1</v>
      </c>
      <c r="DJ13" s="275">
        <f t="shared" si="38"/>
        <v>2937.4</v>
      </c>
      <c r="DK13" s="274"/>
      <c r="DL13" s="275">
        <f t="shared" si="39"/>
        <v>2937.4</v>
      </c>
      <c r="DM13" s="274"/>
      <c r="DN13" s="275">
        <f t="shared" si="40"/>
        <v>0</v>
      </c>
      <c r="DO13" s="274"/>
      <c r="DP13" s="275">
        <f t="shared" si="41"/>
        <v>0</v>
      </c>
      <c r="DQ13" s="276">
        <f t="shared" si="42"/>
        <v>1</v>
      </c>
      <c r="DR13" s="274">
        <v>990.4</v>
      </c>
      <c r="DS13" s="274"/>
      <c r="DT13" s="274">
        <v>990.4</v>
      </c>
      <c r="DU13" s="274"/>
      <c r="DV13" s="274"/>
      <c r="DW13" s="274"/>
      <c r="DX13" s="275">
        <f t="shared" si="43"/>
        <v>0</v>
      </c>
      <c r="DY13" s="276">
        <f t="shared" si="44"/>
        <v>1</v>
      </c>
      <c r="DZ13" s="274">
        <v>958.4</v>
      </c>
      <c r="EA13" s="274"/>
      <c r="EB13" s="274">
        <v>958.4</v>
      </c>
      <c r="EC13" s="274"/>
      <c r="ED13" s="274"/>
      <c r="EE13" s="274"/>
      <c r="EF13" s="275">
        <f t="shared" si="45"/>
        <v>0</v>
      </c>
      <c r="EG13" s="276">
        <f t="shared" si="46"/>
        <v>1</v>
      </c>
      <c r="EH13" s="274">
        <v>988.6</v>
      </c>
      <c r="EI13" s="274"/>
      <c r="EJ13" s="274">
        <v>988.6</v>
      </c>
      <c r="EK13" s="274"/>
      <c r="EL13" s="274"/>
      <c r="EM13" s="274"/>
      <c r="EN13" s="275">
        <f t="shared" si="47"/>
        <v>0</v>
      </c>
      <c r="EO13" s="276">
        <f t="shared" si="48"/>
        <v>1</v>
      </c>
    </row>
    <row r="14" spans="1:145" ht="18.75" x14ac:dyDescent="0.3">
      <c r="A14" s="280"/>
      <c r="B14" s="280"/>
      <c r="C14" s="234" t="s">
        <v>1542</v>
      </c>
      <c r="D14" s="234"/>
      <c r="E14" s="235"/>
      <c r="F14" s="232"/>
      <c r="G14" s="236"/>
      <c r="H14" s="243"/>
      <c r="I14" s="252"/>
      <c r="J14" s="275">
        <f t="shared" si="0"/>
        <v>9676.5</v>
      </c>
      <c r="K14" s="274"/>
      <c r="L14" s="275">
        <f t="shared" si="1"/>
        <v>9676.5</v>
      </c>
      <c r="M14" s="274"/>
      <c r="N14" s="275">
        <f t="shared" si="2"/>
        <v>2668.6870000000004</v>
      </c>
      <c r="O14" s="274"/>
      <c r="P14" s="275">
        <f t="shared" si="3"/>
        <v>0</v>
      </c>
      <c r="Q14" s="276">
        <f t="shared" si="4"/>
        <v>1</v>
      </c>
      <c r="R14" s="275">
        <f t="shared" si="5"/>
        <v>2427.6000000000004</v>
      </c>
      <c r="S14" s="274"/>
      <c r="T14" s="275">
        <f t="shared" si="6"/>
        <v>2427.6000000000004</v>
      </c>
      <c r="U14" s="274"/>
      <c r="V14" s="275">
        <f t="shared" si="7"/>
        <v>1690.1390000000001</v>
      </c>
      <c r="W14" s="274"/>
      <c r="X14" s="275">
        <f t="shared" si="8"/>
        <v>0</v>
      </c>
      <c r="Y14" s="276">
        <f t="shared" si="9"/>
        <v>1</v>
      </c>
      <c r="Z14" s="274">
        <v>836.1</v>
      </c>
      <c r="AA14" s="274"/>
      <c r="AB14" s="274">
        <v>836.1</v>
      </c>
      <c r="AC14" s="274"/>
      <c r="AD14" s="274">
        <v>608.21600000000001</v>
      </c>
      <c r="AE14" s="274"/>
      <c r="AF14" s="275">
        <f t="shared" si="10"/>
        <v>0</v>
      </c>
      <c r="AG14" s="276">
        <f t="shared" si="11"/>
        <v>1</v>
      </c>
      <c r="AH14" s="274">
        <v>755.3</v>
      </c>
      <c r="AI14" s="274"/>
      <c r="AJ14" s="274">
        <v>755.3</v>
      </c>
      <c r="AK14" s="274"/>
      <c r="AL14" s="274">
        <v>474.06200000000001</v>
      </c>
      <c r="AM14" s="274"/>
      <c r="AN14" s="275">
        <f t="shared" si="12"/>
        <v>0</v>
      </c>
      <c r="AO14" s="276">
        <f t="shared" si="13"/>
        <v>1</v>
      </c>
      <c r="AP14" s="274">
        <v>836.2</v>
      </c>
      <c r="AQ14" s="274"/>
      <c r="AR14" s="274">
        <v>836.2</v>
      </c>
      <c r="AS14" s="274"/>
      <c r="AT14" s="274">
        <v>607.86099999999999</v>
      </c>
      <c r="AU14" s="274"/>
      <c r="AV14" s="275">
        <f t="shared" si="14"/>
        <v>0</v>
      </c>
      <c r="AW14" s="276">
        <f t="shared" si="15"/>
        <v>1</v>
      </c>
      <c r="AX14" s="275">
        <f t="shared" si="16"/>
        <v>1851.5</v>
      </c>
      <c r="AY14" s="274"/>
      <c r="AZ14" s="275">
        <f t="shared" si="17"/>
        <v>1851.5</v>
      </c>
      <c r="BA14" s="274"/>
      <c r="BB14" s="275">
        <f t="shared" si="18"/>
        <v>978.54800000000012</v>
      </c>
      <c r="BC14" s="274"/>
      <c r="BD14" s="275">
        <f t="shared" si="19"/>
        <v>0</v>
      </c>
      <c r="BE14" s="276">
        <f t="shared" si="20"/>
        <v>1</v>
      </c>
      <c r="BF14" s="274">
        <v>809.2</v>
      </c>
      <c r="BG14" s="274"/>
      <c r="BH14" s="274">
        <v>809.2</v>
      </c>
      <c r="BI14" s="274"/>
      <c r="BJ14" s="274">
        <v>581.41200000000003</v>
      </c>
      <c r="BK14" s="274"/>
      <c r="BL14" s="275">
        <f t="shared" si="21"/>
        <v>0</v>
      </c>
      <c r="BM14" s="276">
        <f t="shared" si="22"/>
        <v>1</v>
      </c>
      <c r="BN14" s="274">
        <v>574.9</v>
      </c>
      <c r="BO14" s="274"/>
      <c r="BP14" s="274">
        <v>574.9</v>
      </c>
      <c r="BQ14" s="274"/>
      <c r="BR14" s="274">
        <v>236.10400000000001</v>
      </c>
      <c r="BS14" s="274"/>
      <c r="BT14" s="275">
        <f t="shared" si="23"/>
        <v>0</v>
      </c>
      <c r="BU14" s="276">
        <f t="shared" si="24"/>
        <v>1</v>
      </c>
      <c r="BV14" s="274">
        <v>467.4</v>
      </c>
      <c r="BW14" s="274"/>
      <c r="BX14" s="274">
        <v>467.4</v>
      </c>
      <c r="BY14" s="274"/>
      <c r="BZ14" s="274">
        <v>161.03200000000001</v>
      </c>
      <c r="CA14" s="274"/>
      <c r="CB14" s="275">
        <f t="shared" si="25"/>
        <v>0</v>
      </c>
      <c r="CC14" s="276">
        <f t="shared" si="26"/>
        <v>1</v>
      </c>
      <c r="CD14" s="275">
        <f t="shared" si="27"/>
        <v>2641.8</v>
      </c>
      <c r="CE14" s="274"/>
      <c r="CF14" s="275">
        <f t="shared" si="28"/>
        <v>2641.8</v>
      </c>
      <c r="CG14" s="274"/>
      <c r="CH14" s="275">
        <f t="shared" si="29"/>
        <v>0</v>
      </c>
      <c r="CI14" s="274"/>
      <c r="CJ14" s="275">
        <f t="shared" si="30"/>
        <v>0</v>
      </c>
      <c r="CK14" s="276">
        <f t="shared" si="31"/>
        <v>1</v>
      </c>
      <c r="CL14" s="274">
        <v>869.4</v>
      </c>
      <c r="CM14" s="274"/>
      <c r="CN14" s="274">
        <v>869.4</v>
      </c>
      <c r="CO14" s="274"/>
      <c r="CP14" s="274"/>
      <c r="CQ14" s="274"/>
      <c r="CR14" s="275">
        <f t="shared" si="32"/>
        <v>0</v>
      </c>
      <c r="CS14" s="276">
        <f t="shared" si="33"/>
        <v>1</v>
      </c>
      <c r="CT14" s="274">
        <v>873.4</v>
      </c>
      <c r="CU14" s="274"/>
      <c r="CV14" s="274">
        <v>873.4</v>
      </c>
      <c r="CW14" s="274"/>
      <c r="CX14" s="274"/>
      <c r="CY14" s="274"/>
      <c r="CZ14" s="275">
        <f t="shared" si="34"/>
        <v>0</v>
      </c>
      <c r="DA14" s="276">
        <f t="shared" si="35"/>
        <v>1</v>
      </c>
      <c r="DB14" s="274">
        <v>899</v>
      </c>
      <c r="DC14" s="274"/>
      <c r="DD14" s="274">
        <v>899</v>
      </c>
      <c r="DE14" s="274"/>
      <c r="DF14" s="274"/>
      <c r="DG14" s="274"/>
      <c r="DH14" s="275">
        <f t="shared" si="36"/>
        <v>0</v>
      </c>
      <c r="DI14" s="276">
        <f t="shared" si="37"/>
        <v>1</v>
      </c>
      <c r="DJ14" s="275">
        <f t="shared" si="38"/>
        <v>2755.6</v>
      </c>
      <c r="DK14" s="274"/>
      <c r="DL14" s="275">
        <f t="shared" si="39"/>
        <v>2755.6</v>
      </c>
      <c r="DM14" s="274"/>
      <c r="DN14" s="275">
        <f t="shared" si="40"/>
        <v>0</v>
      </c>
      <c r="DO14" s="274"/>
      <c r="DP14" s="275">
        <f t="shared" si="41"/>
        <v>0</v>
      </c>
      <c r="DQ14" s="276">
        <f t="shared" si="42"/>
        <v>1</v>
      </c>
      <c r="DR14" s="274">
        <v>929.1</v>
      </c>
      <c r="DS14" s="274"/>
      <c r="DT14" s="274">
        <v>929.1</v>
      </c>
      <c r="DU14" s="274"/>
      <c r="DV14" s="274"/>
      <c r="DW14" s="274"/>
      <c r="DX14" s="275">
        <f t="shared" si="43"/>
        <v>0</v>
      </c>
      <c r="DY14" s="276">
        <f t="shared" si="44"/>
        <v>1</v>
      </c>
      <c r="DZ14" s="274">
        <v>899.1</v>
      </c>
      <c r="EA14" s="274"/>
      <c r="EB14" s="274">
        <v>899.1</v>
      </c>
      <c r="EC14" s="274"/>
      <c r="ED14" s="274"/>
      <c r="EE14" s="274"/>
      <c r="EF14" s="275">
        <f t="shared" si="45"/>
        <v>0</v>
      </c>
      <c r="EG14" s="276">
        <f t="shared" si="46"/>
        <v>1</v>
      </c>
      <c r="EH14" s="274">
        <v>927.4</v>
      </c>
      <c r="EI14" s="274"/>
      <c r="EJ14" s="274">
        <v>927.4</v>
      </c>
      <c r="EK14" s="274"/>
      <c r="EL14" s="274"/>
      <c r="EM14" s="274"/>
      <c r="EN14" s="275">
        <f t="shared" si="47"/>
        <v>0</v>
      </c>
      <c r="EO14" s="276">
        <f t="shared" si="48"/>
        <v>1</v>
      </c>
    </row>
    <row r="15" spans="1:145" ht="18.75" customHeight="1" x14ac:dyDescent="0.3">
      <c r="A15" s="266" t="s">
        <v>1543</v>
      </c>
      <c r="B15" s="268" t="s">
        <v>1544</v>
      </c>
      <c r="C15" s="234" t="s">
        <v>1545</v>
      </c>
      <c r="D15" s="234"/>
      <c r="E15" s="235"/>
      <c r="F15" s="232"/>
      <c r="G15" s="236"/>
      <c r="H15" s="243"/>
      <c r="I15" s="252"/>
      <c r="J15" s="275">
        <f t="shared" si="0"/>
        <v>3245.5</v>
      </c>
      <c r="K15" s="274"/>
      <c r="L15" s="275">
        <f t="shared" si="1"/>
        <v>3245.5</v>
      </c>
      <c r="M15" s="274"/>
      <c r="N15" s="275">
        <f t="shared" si="2"/>
        <v>894.58770199999992</v>
      </c>
      <c r="O15" s="274"/>
      <c r="P15" s="275">
        <f t="shared" si="3"/>
        <v>0</v>
      </c>
      <c r="Q15" s="276">
        <f t="shared" si="4"/>
        <v>1</v>
      </c>
      <c r="R15" s="275">
        <f t="shared" si="5"/>
        <v>814.2</v>
      </c>
      <c r="S15" s="274"/>
      <c r="T15" s="275">
        <f t="shared" si="6"/>
        <v>814.2</v>
      </c>
      <c r="U15" s="274"/>
      <c r="V15" s="275">
        <f t="shared" si="7"/>
        <v>566.87278199999992</v>
      </c>
      <c r="W15" s="274"/>
      <c r="X15" s="275">
        <f t="shared" si="8"/>
        <v>0</v>
      </c>
      <c r="Y15" s="276">
        <f t="shared" si="9"/>
        <v>1</v>
      </c>
      <c r="Z15" s="274">
        <v>280.39999999999998</v>
      </c>
      <c r="AA15" s="274"/>
      <c r="AB15" s="274">
        <v>280.39999999999998</v>
      </c>
      <c r="AC15" s="274"/>
      <c r="AD15" s="274">
        <v>203.99590499999999</v>
      </c>
      <c r="AE15" s="274"/>
      <c r="AF15" s="275">
        <f t="shared" si="10"/>
        <v>0</v>
      </c>
      <c r="AG15" s="276">
        <f t="shared" si="11"/>
        <v>1</v>
      </c>
      <c r="AH15" s="274">
        <v>253.3</v>
      </c>
      <c r="AI15" s="274"/>
      <c r="AJ15" s="274">
        <v>253.3</v>
      </c>
      <c r="AK15" s="274"/>
      <c r="AL15" s="274">
        <v>159.00037399999999</v>
      </c>
      <c r="AM15" s="274"/>
      <c r="AN15" s="275">
        <f t="shared" si="12"/>
        <v>0</v>
      </c>
      <c r="AO15" s="276">
        <f t="shared" si="13"/>
        <v>1</v>
      </c>
      <c r="AP15" s="274">
        <v>280.5</v>
      </c>
      <c r="AQ15" s="274"/>
      <c r="AR15" s="274">
        <v>280.5</v>
      </c>
      <c r="AS15" s="274"/>
      <c r="AT15" s="274">
        <v>203.87650300000001</v>
      </c>
      <c r="AU15" s="274"/>
      <c r="AV15" s="275">
        <f t="shared" si="14"/>
        <v>0</v>
      </c>
      <c r="AW15" s="276">
        <f t="shared" si="15"/>
        <v>1</v>
      </c>
      <c r="AX15" s="275">
        <f t="shared" si="16"/>
        <v>621.1</v>
      </c>
      <c r="AY15" s="274"/>
      <c r="AZ15" s="275">
        <f t="shared" si="17"/>
        <v>621.1</v>
      </c>
      <c r="BA15" s="274"/>
      <c r="BB15" s="275">
        <f t="shared" si="18"/>
        <v>327.71492000000001</v>
      </c>
      <c r="BC15" s="274"/>
      <c r="BD15" s="275">
        <f t="shared" si="19"/>
        <v>0</v>
      </c>
      <c r="BE15" s="276">
        <f t="shared" si="20"/>
        <v>1</v>
      </c>
      <c r="BF15" s="274">
        <v>271.39999999999998</v>
      </c>
      <c r="BG15" s="274"/>
      <c r="BH15" s="274">
        <v>271.39999999999998</v>
      </c>
      <c r="BI15" s="274"/>
      <c r="BJ15" s="274">
        <v>195.005788</v>
      </c>
      <c r="BK15" s="274"/>
      <c r="BL15" s="275">
        <f t="shared" si="21"/>
        <v>0</v>
      </c>
      <c r="BM15" s="276">
        <f t="shared" si="22"/>
        <v>1</v>
      </c>
      <c r="BN15" s="274">
        <v>192.8</v>
      </c>
      <c r="BO15" s="274"/>
      <c r="BP15" s="274">
        <v>192.8</v>
      </c>
      <c r="BQ15" s="274"/>
      <c r="BR15" s="274">
        <v>78.698999999999998</v>
      </c>
      <c r="BS15" s="274"/>
      <c r="BT15" s="275">
        <f t="shared" si="23"/>
        <v>0</v>
      </c>
      <c r="BU15" s="276">
        <f t="shared" si="24"/>
        <v>1</v>
      </c>
      <c r="BV15" s="274">
        <v>156.9</v>
      </c>
      <c r="BW15" s="274"/>
      <c r="BX15" s="274">
        <v>156.9</v>
      </c>
      <c r="BY15" s="274"/>
      <c r="BZ15" s="274">
        <v>54.010131999999999</v>
      </c>
      <c r="CA15" s="274"/>
      <c r="CB15" s="275">
        <f t="shared" si="25"/>
        <v>0</v>
      </c>
      <c r="CC15" s="276">
        <f t="shared" si="26"/>
        <v>1</v>
      </c>
      <c r="CD15" s="275">
        <f t="shared" si="27"/>
        <v>886.1</v>
      </c>
      <c r="CE15" s="274"/>
      <c r="CF15" s="275">
        <f t="shared" si="28"/>
        <v>886.1</v>
      </c>
      <c r="CG15" s="274"/>
      <c r="CH15" s="275">
        <f t="shared" si="29"/>
        <v>0</v>
      </c>
      <c r="CI15" s="274"/>
      <c r="CJ15" s="275">
        <f t="shared" si="30"/>
        <v>0</v>
      </c>
      <c r="CK15" s="276">
        <f t="shared" si="31"/>
        <v>1</v>
      </c>
      <c r="CL15" s="274">
        <v>291.60000000000002</v>
      </c>
      <c r="CM15" s="274"/>
      <c r="CN15" s="274">
        <v>291.60000000000002</v>
      </c>
      <c r="CO15" s="274"/>
      <c r="CP15" s="274"/>
      <c r="CQ15" s="274"/>
      <c r="CR15" s="275">
        <f t="shared" si="32"/>
        <v>0</v>
      </c>
      <c r="CS15" s="276">
        <f t="shared" si="33"/>
        <v>1</v>
      </c>
      <c r="CT15" s="274">
        <v>292.89999999999998</v>
      </c>
      <c r="CU15" s="274"/>
      <c r="CV15" s="274">
        <v>292.89999999999998</v>
      </c>
      <c r="CW15" s="274"/>
      <c r="CX15" s="274"/>
      <c r="CY15" s="274"/>
      <c r="CZ15" s="275">
        <f t="shared" si="34"/>
        <v>0</v>
      </c>
      <c r="DA15" s="276">
        <f t="shared" si="35"/>
        <v>1</v>
      </c>
      <c r="DB15" s="274">
        <v>301.60000000000002</v>
      </c>
      <c r="DC15" s="274"/>
      <c r="DD15" s="274">
        <v>301.60000000000002</v>
      </c>
      <c r="DE15" s="274"/>
      <c r="DF15" s="274"/>
      <c r="DG15" s="274"/>
      <c r="DH15" s="275">
        <f t="shared" si="36"/>
        <v>0</v>
      </c>
      <c r="DI15" s="276">
        <f t="shared" si="37"/>
        <v>1</v>
      </c>
      <c r="DJ15" s="275">
        <f t="shared" si="38"/>
        <v>924.1</v>
      </c>
      <c r="DK15" s="274"/>
      <c r="DL15" s="275">
        <f t="shared" si="39"/>
        <v>924.1</v>
      </c>
      <c r="DM15" s="274"/>
      <c r="DN15" s="275">
        <f t="shared" si="40"/>
        <v>0</v>
      </c>
      <c r="DO15" s="274"/>
      <c r="DP15" s="275">
        <f t="shared" si="41"/>
        <v>0</v>
      </c>
      <c r="DQ15" s="276">
        <f t="shared" si="42"/>
        <v>1</v>
      </c>
      <c r="DR15" s="274">
        <v>311.60000000000002</v>
      </c>
      <c r="DS15" s="274"/>
      <c r="DT15" s="274">
        <v>311.60000000000002</v>
      </c>
      <c r="DU15" s="274"/>
      <c r="DV15" s="274"/>
      <c r="DW15" s="274"/>
      <c r="DX15" s="275">
        <f t="shared" si="43"/>
        <v>0</v>
      </c>
      <c r="DY15" s="276">
        <f t="shared" si="44"/>
        <v>1</v>
      </c>
      <c r="DZ15" s="274">
        <v>301.60000000000002</v>
      </c>
      <c r="EA15" s="274"/>
      <c r="EB15" s="274">
        <v>301.60000000000002</v>
      </c>
      <c r="EC15" s="274"/>
      <c r="ED15" s="274"/>
      <c r="EE15" s="274"/>
      <c r="EF15" s="275">
        <f t="shared" si="45"/>
        <v>0</v>
      </c>
      <c r="EG15" s="276">
        <f t="shared" si="46"/>
        <v>1</v>
      </c>
      <c r="EH15" s="274">
        <v>310.89999999999998</v>
      </c>
      <c r="EI15" s="274"/>
      <c r="EJ15" s="274">
        <v>310.89999999999998</v>
      </c>
      <c r="EK15" s="274"/>
      <c r="EL15" s="274"/>
      <c r="EM15" s="274"/>
      <c r="EN15" s="275">
        <f t="shared" si="47"/>
        <v>0</v>
      </c>
      <c r="EO15" s="276">
        <f t="shared" si="48"/>
        <v>1</v>
      </c>
    </row>
    <row r="16" spans="1:145" ht="37.5" customHeight="1" x14ac:dyDescent="0.3">
      <c r="A16" s="264" t="s">
        <v>1546</v>
      </c>
      <c r="B16" s="267" t="s">
        <v>1547</v>
      </c>
      <c r="C16" s="234" t="s">
        <v>1548</v>
      </c>
      <c r="D16" s="234"/>
      <c r="E16" s="235"/>
      <c r="F16" s="232" t="s">
        <v>1513</v>
      </c>
      <c r="G16" s="236"/>
      <c r="H16" s="243"/>
      <c r="I16" s="252"/>
      <c r="J16" s="275">
        <f t="shared" si="0"/>
        <v>13871.101999999999</v>
      </c>
      <c r="K16" s="274"/>
      <c r="L16" s="275">
        <f t="shared" si="1"/>
        <v>13871.101999999999</v>
      </c>
      <c r="M16" s="274"/>
      <c r="N16" s="275">
        <f t="shared" si="2"/>
        <v>3869.4245229999997</v>
      </c>
      <c r="O16" s="274"/>
      <c r="P16" s="275">
        <f t="shared" si="3"/>
        <v>0</v>
      </c>
      <c r="Q16" s="276">
        <f t="shared" si="4"/>
        <v>1</v>
      </c>
      <c r="R16" s="275">
        <f t="shared" si="5"/>
        <v>3450.8419999999996</v>
      </c>
      <c r="S16" s="274"/>
      <c r="T16" s="275">
        <f t="shared" si="6"/>
        <v>3450.8419999999996</v>
      </c>
      <c r="U16" s="274"/>
      <c r="V16" s="275">
        <f t="shared" si="7"/>
        <v>2460.9857819999997</v>
      </c>
      <c r="W16" s="274"/>
      <c r="X16" s="275">
        <f t="shared" si="8"/>
        <v>0</v>
      </c>
      <c r="Y16" s="276">
        <f t="shared" si="9"/>
        <v>1</v>
      </c>
      <c r="Z16" s="275">
        <f>Лист1!Z17+Лист1!Z19+Лист1!Z20</f>
        <v>1186.9179999999999</v>
      </c>
      <c r="AA16" s="274"/>
      <c r="AB16" s="275">
        <f>Лист1!AB17+Лист1!AB19+Лист1!AB20</f>
        <v>1186.9179999999999</v>
      </c>
      <c r="AC16" s="274"/>
      <c r="AD16" s="275">
        <f>Лист1!AD17+Лист1!AD19+Лист1!AD20</f>
        <v>882.73090500000001</v>
      </c>
      <c r="AE16" s="274"/>
      <c r="AF16" s="275">
        <f t="shared" si="10"/>
        <v>0</v>
      </c>
      <c r="AG16" s="276">
        <f t="shared" si="11"/>
        <v>1</v>
      </c>
      <c r="AH16" s="275">
        <f>Лист1!AH17+Лист1!AH19+Лист1!AH20</f>
        <v>1074.9070000000002</v>
      </c>
      <c r="AI16" s="274"/>
      <c r="AJ16" s="275">
        <f>Лист1!AJ17+Лист1!AJ19+Лист1!AJ20</f>
        <v>1074.9070000000002</v>
      </c>
      <c r="AK16" s="274"/>
      <c r="AL16" s="275">
        <f>Лист1!AL17+Лист1!AL19+Лист1!AL20</f>
        <v>694.34137399999997</v>
      </c>
      <c r="AM16" s="274"/>
      <c r="AN16" s="275">
        <f t="shared" si="12"/>
        <v>0</v>
      </c>
      <c r="AO16" s="276">
        <f t="shared" si="13"/>
        <v>1</v>
      </c>
      <c r="AP16" s="275">
        <f>Лист1!AP17+Лист1!AP19+Лист1!AP20</f>
        <v>1189.0170000000001</v>
      </c>
      <c r="AQ16" s="274"/>
      <c r="AR16" s="275">
        <f>Лист1!AR17+Лист1!AR19+Лист1!AR20</f>
        <v>1189.0170000000001</v>
      </c>
      <c r="AS16" s="274"/>
      <c r="AT16" s="275">
        <f>Лист1!AT17+Лист1!AT19+Лист1!AT20</f>
        <v>883.91350299999999</v>
      </c>
      <c r="AU16" s="274"/>
      <c r="AV16" s="275">
        <f t="shared" si="14"/>
        <v>0</v>
      </c>
      <c r="AW16" s="276">
        <f t="shared" si="15"/>
        <v>1</v>
      </c>
      <c r="AX16" s="275">
        <f t="shared" si="16"/>
        <v>2665.7690000000002</v>
      </c>
      <c r="AY16" s="274"/>
      <c r="AZ16" s="275">
        <f t="shared" si="17"/>
        <v>2665.7690000000002</v>
      </c>
      <c r="BA16" s="274"/>
      <c r="BB16" s="275">
        <f t="shared" si="18"/>
        <v>1408.4387409999999</v>
      </c>
      <c r="BC16" s="274"/>
      <c r="BD16" s="275">
        <f t="shared" si="19"/>
        <v>0</v>
      </c>
      <c r="BE16" s="276">
        <f t="shared" si="20"/>
        <v>1</v>
      </c>
      <c r="BF16" s="275">
        <f>Лист1!BF17+Лист1!BF19+Лист1!BF20</f>
        <v>1168.8420000000001</v>
      </c>
      <c r="BG16" s="274"/>
      <c r="BH16" s="275">
        <f>Лист1!BH17+Лист1!BH19+Лист1!BH20</f>
        <v>1168.8420000000001</v>
      </c>
      <c r="BI16" s="274"/>
      <c r="BJ16" s="275">
        <f>Лист1!BJ17+Лист1!BJ19+Лист1!BJ20</f>
        <v>834.79660899999999</v>
      </c>
      <c r="BK16" s="274"/>
      <c r="BL16" s="275">
        <f t="shared" si="21"/>
        <v>0</v>
      </c>
      <c r="BM16" s="276">
        <f t="shared" si="22"/>
        <v>1</v>
      </c>
      <c r="BN16" s="275">
        <f>Лист1!BN17+Лист1!BN19+Лист1!BN20</f>
        <v>829.02699999999993</v>
      </c>
      <c r="BO16" s="274"/>
      <c r="BP16" s="275">
        <f>Лист1!BP17+Лист1!BP19+Лист1!BP20</f>
        <v>829.02699999999993</v>
      </c>
      <c r="BQ16" s="274"/>
      <c r="BR16" s="275">
        <f>Лист1!BR17+Лист1!BR19+Лист1!BR20</f>
        <v>340.30800000000005</v>
      </c>
      <c r="BS16" s="274"/>
      <c r="BT16" s="275">
        <f t="shared" si="23"/>
        <v>0</v>
      </c>
      <c r="BU16" s="276">
        <f t="shared" si="24"/>
        <v>1</v>
      </c>
      <c r="BV16" s="275">
        <f>Лист1!BV17+Лист1!BV19+Лист1!BV20</f>
        <v>667.90000000000009</v>
      </c>
      <c r="BW16" s="274"/>
      <c r="BX16" s="275">
        <f>Лист1!BX17+Лист1!BX19+Лист1!BX20</f>
        <v>667.90000000000009</v>
      </c>
      <c r="BY16" s="274"/>
      <c r="BZ16" s="275">
        <f>Лист1!BZ17+Лист1!BZ19+Лист1!BZ20</f>
        <v>233.33413200000001</v>
      </c>
      <c r="CA16" s="274"/>
      <c r="CB16" s="275">
        <f t="shared" si="25"/>
        <v>0</v>
      </c>
      <c r="CC16" s="276">
        <f t="shared" si="26"/>
        <v>1</v>
      </c>
      <c r="CD16" s="275">
        <f t="shared" si="27"/>
        <v>3849.8630000000003</v>
      </c>
      <c r="CE16" s="274"/>
      <c r="CF16" s="275">
        <f t="shared" si="28"/>
        <v>3849.8630000000003</v>
      </c>
      <c r="CG16" s="274"/>
      <c r="CH16" s="275">
        <f t="shared" si="29"/>
        <v>0</v>
      </c>
      <c r="CI16" s="274"/>
      <c r="CJ16" s="275">
        <f t="shared" si="30"/>
        <v>0</v>
      </c>
      <c r="CK16" s="276">
        <f t="shared" si="31"/>
        <v>1</v>
      </c>
      <c r="CL16" s="275">
        <f>Лист1!CL17+Лист1!CL19+Лист1!CL20</f>
        <v>1265.9720000000002</v>
      </c>
      <c r="CM16" s="274"/>
      <c r="CN16" s="275">
        <f>Лист1!CN17+Лист1!CN19+Лист1!CN20</f>
        <v>1265.9720000000002</v>
      </c>
      <c r="CO16" s="274"/>
      <c r="CP16" s="275">
        <f>Лист1!CP17+Лист1!CP19+Лист1!CP20</f>
        <v>0</v>
      </c>
      <c r="CQ16" s="274"/>
      <c r="CR16" s="275">
        <f t="shared" si="32"/>
        <v>0</v>
      </c>
      <c r="CS16" s="276">
        <f t="shared" si="33"/>
        <v>1</v>
      </c>
      <c r="CT16" s="275">
        <f>Лист1!CT17+Лист1!CT19+Лист1!CT20</f>
        <v>1290.1470000000002</v>
      </c>
      <c r="CU16" s="274"/>
      <c r="CV16" s="275">
        <f>Лист1!CV17+Лист1!CV19+Лист1!CV20</f>
        <v>1290.1470000000002</v>
      </c>
      <c r="CW16" s="274"/>
      <c r="CX16" s="275">
        <f>Лист1!CX17+Лист1!CX19+Лист1!CX20</f>
        <v>0</v>
      </c>
      <c r="CY16" s="274"/>
      <c r="CZ16" s="275">
        <f t="shared" si="34"/>
        <v>0</v>
      </c>
      <c r="DA16" s="276">
        <f t="shared" si="35"/>
        <v>1</v>
      </c>
      <c r="DB16" s="275">
        <f>Лист1!DB17+Лист1!DB19+Лист1!DB20</f>
        <v>1293.7439999999999</v>
      </c>
      <c r="DC16" s="274"/>
      <c r="DD16" s="275">
        <f>Лист1!DD17+Лист1!DD19+Лист1!DD20</f>
        <v>1293.7439999999999</v>
      </c>
      <c r="DE16" s="274"/>
      <c r="DF16" s="275">
        <f>Лист1!DF17+Лист1!DF19+Лист1!DF20</f>
        <v>0</v>
      </c>
      <c r="DG16" s="274"/>
      <c r="DH16" s="275">
        <f t="shared" si="36"/>
        <v>0</v>
      </c>
      <c r="DI16" s="276">
        <f t="shared" si="37"/>
        <v>1</v>
      </c>
      <c r="DJ16" s="275">
        <f t="shared" si="38"/>
        <v>3904.6279999999997</v>
      </c>
      <c r="DK16" s="274"/>
      <c r="DL16" s="275">
        <f t="shared" si="39"/>
        <v>3904.6279999999997</v>
      </c>
      <c r="DM16" s="274"/>
      <c r="DN16" s="275">
        <f t="shared" si="40"/>
        <v>0</v>
      </c>
      <c r="DO16" s="274"/>
      <c r="DP16" s="275">
        <f t="shared" si="41"/>
        <v>0</v>
      </c>
      <c r="DQ16" s="276">
        <f t="shared" si="42"/>
        <v>1</v>
      </c>
      <c r="DR16" s="275">
        <f>Лист1!DR17+Лист1!DR19+Лист1!DR20</f>
        <v>1317.8969999999999</v>
      </c>
      <c r="DS16" s="274"/>
      <c r="DT16" s="275">
        <f>Лист1!DT17+Лист1!DT19+Лист1!DT20</f>
        <v>1317.8969999999999</v>
      </c>
      <c r="DU16" s="274"/>
      <c r="DV16" s="275">
        <f>Лист1!DV17+Лист1!DV19+Лист1!DV20</f>
        <v>0</v>
      </c>
      <c r="DW16" s="274"/>
      <c r="DX16" s="275">
        <f t="shared" si="43"/>
        <v>0</v>
      </c>
      <c r="DY16" s="276">
        <f t="shared" si="44"/>
        <v>1</v>
      </c>
      <c r="DZ16" s="275">
        <f>Лист1!DZ17+Лист1!DZ19+Лист1!DZ20</f>
        <v>1276.213</v>
      </c>
      <c r="EA16" s="274"/>
      <c r="EB16" s="275">
        <f>Лист1!EB17+Лист1!EB19+Лист1!EB20</f>
        <v>1276.213</v>
      </c>
      <c r="EC16" s="274"/>
      <c r="ED16" s="275">
        <f>Лист1!ED17+Лист1!ED19+Лист1!ED20</f>
        <v>0</v>
      </c>
      <c r="EE16" s="274"/>
      <c r="EF16" s="275">
        <f t="shared" si="45"/>
        <v>0</v>
      </c>
      <c r="EG16" s="276">
        <f t="shared" si="46"/>
        <v>1</v>
      </c>
      <c r="EH16" s="275">
        <f>Лист1!EH17+Лист1!EH19+Лист1!EH20</f>
        <v>1310.518</v>
      </c>
      <c r="EI16" s="274"/>
      <c r="EJ16" s="275">
        <f>Лист1!EJ17+Лист1!EJ19+Лист1!EJ20</f>
        <v>1310.518</v>
      </c>
      <c r="EK16" s="274"/>
      <c r="EL16" s="275">
        <f>Лист1!EL17+Лист1!EL19+Лист1!EL20</f>
        <v>0</v>
      </c>
      <c r="EM16" s="274"/>
      <c r="EN16" s="275">
        <f t="shared" si="47"/>
        <v>0</v>
      </c>
      <c r="EO16" s="276">
        <f t="shared" si="48"/>
        <v>1</v>
      </c>
    </row>
    <row r="17" spans="1:145" ht="18.75" x14ac:dyDescent="0.3">
      <c r="A17" s="319" t="s">
        <v>1549</v>
      </c>
      <c r="B17" s="320" t="s">
        <v>1550</v>
      </c>
      <c r="C17" s="234" t="s">
        <v>1551</v>
      </c>
      <c r="D17" s="234"/>
      <c r="E17" s="235"/>
      <c r="F17" s="232"/>
      <c r="G17" s="236"/>
      <c r="H17" s="243"/>
      <c r="I17" s="252"/>
      <c r="J17" s="275">
        <f t="shared" si="0"/>
        <v>10315.1</v>
      </c>
      <c r="K17" s="274"/>
      <c r="L17" s="275">
        <f t="shared" si="1"/>
        <v>10315.1</v>
      </c>
      <c r="M17" s="274"/>
      <c r="N17" s="275">
        <f t="shared" si="2"/>
        <v>2827.2599999999998</v>
      </c>
      <c r="O17" s="274"/>
      <c r="P17" s="275">
        <f t="shared" si="3"/>
        <v>0</v>
      </c>
      <c r="Q17" s="276">
        <f t="shared" si="4"/>
        <v>1</v>
      </c>
      <c r="R17" s="275">
        <f t="shared" si="5"/>
        <v>2587.8000000000002</v>
      </c>
      <c r="S17" s="274"/>
      <c r="T17" s="275">
        <f t="shared" si="6"/>
        <v>2587.8000000000002</v>
      </c>
      <c r="U17" s="274"/>
      <c r="V17" s="275">
        <f t="shared" si="7"/>
        <v>1794.3539999999998</v>
      </c>
      <c r="W17" s="274"/>
      <c r="X17" s="275">
        <f t="shared" si="8"/>
        <v>0</v>
      </c>
      <c r="Y17" s="276">
        <f t="shared" si="9"/>
        <v>1</v>
      </c>
      <c r="Z17" s="274">
        <v>891.3</v>
      </c>
      <c r="AA17" s="274"/>
      <c r="AB17" s="274">
        <v>891.3</v>
      </c>
      <c r="AC17" s="274"/>
      <c r="AD17" s="274">
        <v>647.36699999999996</v>
      </c>
      <c r="AE17" s="274"/>
      <c r="AF17" s="275">
        <f t="shared" si="10"/>
        <v>0</v>
      </c>
      <c r="AG17" s="276">
        <f t="shared" si="11"/>
        <v>1</v>
      </c>
      <c r="AH17" s="274">
        <v>805.1</v>
      </c>
      <c r="AI17" s="274"/>
      <c r="AJ17" s="274">
        <v>805.1</v>
      </c>
      <c r="AK17" s="274"/>
      <c r="AL17" s="274">
        <v>504.10500000000002</v>
      </c>
      <c r="AM17" s="274"/>
      <c r="AN17" s="275">
        <f t="shared" si="12"/>
        <v>0</v>
      </c>
      <c r="AO17" s="276">
        <f t="shared" si="13"/>
        <v>1</v>
      </c>
      <c r="AP17" s="274">
        <v>891.4</v>
      </c>
      <c r="AQ17" s="274"/>
      <c r="AR17" s="274">
        <v>891.4</v>
      </c>
      <c r="AS17" s="274"/>
      <c r="AT17" s="274">
        <v>642.88199999999995</v>
      </c>
      <c r="AU17" s="274"/>
      <c r="AV17" s="275">
        <f t="shared" si="14"/>
        <v>0</v>
      </c>
      <c r="AW17" s="276">
        <f t="shared" si="15"/>
        <v>1</v>
      </c>
      <c r="AX17" s="275">
        <f t="shared" si="16"/>
        <v>1973.7</v>
      </c>
      <c r="AY17" s="274"/>
      <c r="AZ17" s="275">
        <f t="shared" si="17"/>
        <v>1973.7</v>
      </c>
      <c r="BA17" s="274"/>
      <c r="BB17" s="275">
        <f t="shared" si="18"/>
        <v>1032.9059999999999</v>
      </c>
      <c r="BC17" s="274"/>
      <c r="BD17" s="275">
        <f t="shared" si="19"/>
        <v>0</v>
      </c>
      <c r="BE17" s="276">
        <f t="shared" si="20"/>
        <v>1</v>
      </c>
      <c r="BF17" s="274">
        <v>862.6</v>
      </c>
      <c r="BG17" s="274"/>
      <c r="BH17" s="274">
        <v>862.6</v>
      </c>
      <c r="BI17" s="274"/>
      <c r="BJ17" s="274">
        <v>612.15200000000004</v>
      </c>
      <c r="BK17" s="274"/>
      <c r="BL17" s="275">
        <f t="shared" si="21"/>
        <v>0</v>
      </c>
      <c r="BM17" s="276">
        <f t="shared" si="22"/>
        <v>1</v>
      </c>
      <c r="BN17" s="274">
        <v>612.79999999999995</v>
      </c>
      <c r="BO17" s="274"/>
      <c r="BP17" s="274">
        <v>612.79999999999995</v>
      </c>
      <c r="BQ17" s="274"/>
      <c r="BR17" s="274">
        <v>249.18700000000001</v>
      </c>
      <c r="BS17" s="274"/>
      <c r="BT17" s="275">
        <f t="shared" si="23"/>
        <v>0</v>
      </c>
      <c r="BU17" s="276">
        <f t="shared" si="24"/>
        <v>1</v>
      </c>
      <c r="BV17" s="274">
        <v>498.3</v>
      </c>
      <c r="BW17" s="274"/>
      <c r="BX17" s="274">
        <v>498.3</v>
      </c>
      <c r="BY17" s="274"/>
      <c r="BZ17" s="274">
        <v>171.56700000000001</v>
      </c>
      <c r="CA17" s="274"/>
      <c r="CB17" s="275">
        <f t="shared" si="25"/>
        <v>0</v>
      </c>
      <c r="CC17" s="276">
        <f t="shared" si="26"/>
        <v>1</v>
      </c>
      <c r="CD17" s="275">
        <f t="shared" si="27"/>
        <v>2816.2</v>
      </c>
      <c r="CE17" s="274"/>
      <c r="CF17" s="275">
        <f t="shared" si="28"/>
        <v>2816.2</v>
      </c>
      <c r="CG17" s="274"/>
      <c r="CH17" s="275">
        <f t="shared" si="29"/>
        <v>0</v>
      </c>
      <c r="CI17" s="274"/>
      <c r="CJ17" s="275">
        <f t="shared" si="30"/>
        <v>0</v>
      </c>
      <c r="CK17" s="276">
        <f t="shared" si="31"/>
        <v>1</v>
      </c>
      <c r="CL17" s="274">
        <v>926.8</v>
      </c>
      <c r="CM17" s="274"/>
      <c r="CN17" s="274">
        <v>926.8</v>
      </c>
      <c r="CO17" s="274"/>
      <c r="CP17" s="274"/>
      <c r="CQ17" s="274"/>
      <c r="CR17" s="275">
        <f t="shared" si="32"/>
        <v>0</v>
      </c>
      <c r="CS17" s="276">
        <f t="shared" si="33"/>
        <v>1</v>
      </c>
      <c r="CT17" s="274">
        <v>931</v>
      </c>
      <c r="CU17" s="274"/>
      <c r="CV17" s="274">
        <v>931</v>
      </c>
      <c r="CW17" s="274"/>
      <c r="CX17" s="274"/>
      <c r="CY17" s="274"/>
      <c r="CZ17" s="275">
        <f t="shared" si="34"/>
        <v>0</v>
      </c>
      <c r="DA17" s="276">
        <f t="shared" si="35"/>
        <v>1</v>
      </c>
      <c r="DB17" s="274">
        <v>958.4</v>
      </c>
      <c r="DC17" s="274"/>
      <c r="DD17" s="274">
        <v>958.4</v>
      </c>
      <c r="DE17" s="274"/>
      <c r="DF17" s="274"/>
      <c r="DG17" s="274"/>
      <c r="DH17" s="275">
        <f t="shared" si="36"/>
        <v>0</v>
      </c>
      <c r="DI17" s="276">
        <f t="shared" si="37"/>
        <v>1</v>
      </c>
      <c r="DJ17" s="275">
        <f t="shared" si="38"/>
        <v>2937.4</v>
      </c>
      <c r="DK17" s="274"/>
      <c r="DL17" s="275">
        <f t="shared" si="39"/>
        <v>2937.4</v>
      </c>
      <c r="DM17" s="274"/>
      <c r="DN17" s="275">
        <f t="shared" si="40"/>
        <v>0</v>
      </c>
      <c r="DO17" s="274"/>
      <c r="DP17" s="275">
        <f t="shared" si="41"/>
        <v>0</v>
      </c>
      <c r="DQ17" s="276">
        <f t="shared" si="42"/>
        <v>1</v>
      </c>
      <c r="DR17" s="274">
        <v>990.4</v>
      </c>
      <c r="DS17" s="274"/>
      <c r="DT17" s="274">
        <v>990.4</v>
      </c>
      <c r="DU17" s="274"/>
      <c r="DV17" s="274"/>
      <c r="DW17" s="274"/>
      <c r="DX17" s="275">
        <f t="shared" si="43"/>
        <v>0</v>
      </c>
      <c r="DY17" s="276">
        <f t="shared" si="44"/>
        <v>1</v>
      </c>
      <c r="DZ17" s="274">
        <v>958.4</v>
      </c>
      <c r="EA17" s="274"/>
      <c r="EB17" s="274">
        <v>958.4</v>
      </c>
      <c r="EC17" s="274"/>
      <c r="ED17" s="274"/>
      <c r="EE17" s="274"/>
      <c r="EF17" s="275">
        <f t="shared" si="45"/>
        <v>0</v>
      </c>
      <c r="EG17" s="276">
        <f t="shared" si="46"/>
        <v>1</v>
      </c>
      <c r="EH17" s="274">
        <v>988.6</v>
      </c>
      <c r="EI17" s="274"/>
      <c r="EJ17" s="274">
        <v>988.6</v>
      </c>
      <c r="EK17" s="274"/>
      <c r="EL17" s="274"/>
      <c r="EM17" s="274"/>
      <c r="EN17" s="275">
        <f t="shared" si="47"/>
        <v>0</v>
      </c>
      <c r="EO17" s="276">
        <f t="shared" si="48"/>
        <v>1</v>
      </c>
    </row>
    <row r="18" spans="1:145" ht="18.75" x14ac:dyDescent="0.3">
      <c r="A18" s="280"/>
      <c r="B18" s="280"/>
      <c r="C18" s="234" t="s">
        <v>1552</v>
      </c>
      <c r="D18" s="234"/>
      <c r="E18" s="235"/>
      <c r="F18" s="232"/>
      <c r="G18" s="236"/>
      <c r="H18" s="243"/>
      <c r="I18" s="252"/>
      <c r="J18" s="275">
        <f t="shared" si="0"/>
        <v>0</v>
      </c>
      <c r="K18" s="274"/>
      <c r="L18" s="275">
        <f t="shared" si="1"/>
        <v>0</v>
      </c>
      <c r="M18" s="274"/>
      <c r="N18" s="275">
        <f t="shared" si="2"/>
        <v>0</v>
      </c>
      <c r="O18" s="274"/>
      <c r="P18" s="275">
        <f t="shared" si="3"/>
        <v>0</v>
      </c>
      <c r="Q18" s="276" t="str">
        <f t="shared" si="4"/>
        <v>-</v>
      </c>
      <c r="R18" s="275">
        <f t="shared" si="5"/>
        <v>0</v>
      </c>
      <c r="S18" s="274"/>
      <c r="T18" s="275">
        <f t="shared" si="6"/>
        <v>0</v>
      </c>
      <c r="U18" s="274"/>
      <c r="V18" s="275">
        <f t="shared" si="7"/>
        <v>0</v>
      </c>
      <c r="W18" s="274"/>
      <c r="X18" s="275">
        <f t="shared" si="8"/>
        <v>0</v>
      </c>
      <c r="Y18" s="276" t="str">
        <f t="shared" si="9"/>
        <v>-</v>
      </c>
      <c r="Z18" s="274"/>
      <c r="AA18" s="274"/>
      <c r="AB18" s="274"/>
      <c r="AC18" s="274"/>
      <c r="AD18" s="274"/>
      <c r="AE18" s="274"/>
      <c r="AF18" s="275">
        <f t="shared" si="10"/>
        <v>0</v>
      </c>
      <c r="AG18" s="276" t="str">
        <f t="shared" si="11"/>
        <v>-</v>
      </c>
      <c r="AH18" s="274"/>
      <c r="AI18" s="274"/>
      <c r="AJ18" s="274"/>
      <c r="AK18" s="274"/>
      <c r="AL18" s="274"/>
      <c r="AM18" s="274"/>
      <c r="AN18" s="275">
        <f t="shared" si="12"/>
        <v>0</v>
      </c>
      <c r="AO18" s="276" t="str">
        <f t="shared" si="13"/>
        <v>-</v>
      </c>
      <c r="AP18" s="274"/>
      <c r="AQ18" s="274"/>
      <c r="AR18" s="274"/>
      <c r="AS18" s="274"/>
      <c r="AT18" s="274"/>
      <c r="AU18" s="274"/>
      <c r="AV18" s="275">
        <f t="shared" si="14"/>
        <v>0</v>
      </c>
      <c r="AW18" s="276" t="str">
        <f t="shared" si="15"/>
        <v>-</v>
      </c>
      <c r="AX18" s="275">
        <f t="shared" si="16"/>
        <v>0</v>
      </c>
      <c r="AY18" s="274"/>
      <c r="AZ18" s="275">
        <f t="shared" si="17"/>
        <v>0</v>
      </c>
      <c r="BA18" s="274"/>
      <c r="BB18" s="275">
        <f t="shared" si="18"/>
        <v>0</v>
      </c>
      <c r="BC18" s="274"/>
      <c r="BD18" s="275">
        <f t="shared" si="19"/>
        <v>0</v>
      </c>
      <c r="BE18" s="276" t="str">
        <f t="shared" si="20"/>
        <v>-</v>
      </c>
      <c r="BF18" s="274"/>
      <c r="BG18" s="274"/>
      <c r="BH18" s="274"/>
      <c r="BI18" s="274"/>
      <c r="BJ18" s="274"/>
      <c r="BK18" s="274"/>
      <c r="BL18" s="275">
        <f t="shared" si="21"/>
        <v>0</v>
      </c>
      <c r="BM18" s="276" t="str">
        <f t="shared" si="22"/>
        <v>-</v>
      </c>
      <c r="BN18" s="274"/>
      <c r="BO18" s="274"/>
      <c r="BP18" s="274"/>
      <c r="BQ18" s="274"/>
      <c r="BR18" s="274"/>
      <c r="BS18" s="274"/>
      <c r="BT18" s="275">
        <f t="shared" si="23"/>
        <v>0</v>
      </c>
      <c r="BU18" s="276" t="str">
        <f t="shared" si="24"/>
        <v>-</v>
      </c>
      <c r="BV18" s="274"/>
      <c r="BW18" s="274"/>
      <c r="BX18" s="274"/>
      <c r="BY18" s="274"/>
      <c r="BZ18" s="274"/>
      <c r="CA18" s="274"/>
      <c r="CB18" s="275">
        <f t="shared" si="25"/>
        <v>0</v>
      </c>
      <c r="CC18" s="276" t="str">
        <f t="shared" si="26"/>
        <v>-</v>
      </c>
      <c r="CD18" s="275">
        <f t="shared" si="27"/>
        <v>0</v>
      </c>
      <c r="CE18" s="274"/>
      <c r="CF18" s="275">
        <f t="shared" si="28"/>
        <v>0</v>
      </c>
      <c r="CG18" s="274"/>
      <c r="CH18" s="275">
        <f t="shared" si="29"/>
        <v>0</v>
      </c>
      <c r="CI18" s="274"/>
      <c r="CJ18" s="275">
        <f t="shared" si="30"/>
        <v>0</v>
      </c>
      <c r="CK18" s="276" t="str">
        <f t="shared" si="31"/>
        <v>-</v>
      </c>
      <c r="CL18" s="274"/>
      <c r="CM18" s="274"/>
      <c r="CN18" s="274"/>
      <c r="CO18" s="274"/>
      <c r="CP18" s="274"/>
      <c r="CQ18" s="274"/>
      <c r="CR18" s="275">
        <f t="shared" si="32"/>
        <v>0</v>
      </c>
      <c r="CS18" s="276" t="str">
        <f t="shared" si="33"/>
        <v>-</v>
      </c>
      <c r="CT18" s="274"/>
      <c r="CU18" s="274"/>
      <c r="CV18" s="274"/>
      <c r="CW18" s="274"/>
      <c r="CX18" s="274"/>
      <c r="CY18" s="274"/>
      <c r="CZ18" s="275">
        <f t="shared" si="34"/>
        <v>0</v>
      </c>
      <c r="DA18" s="276" t="str">
        <f t="shared" si="35"/>
        <v>-</v>
      </c>
      <c r="DB18" s="274"/>
      <c r="DC18" s="274"/>
      <c r="DD18" s="274"/>
      <c r="DE18" s="274"/>
      <c r="DF18" s="274"/>
      <c r="DG18" s="274"/>
      <c r="DH18" s="275">
        <f t="shared" si="36"/>
        <v>0</v>
      </c>
      <c r="DI18" s="276" t="str">
        <f t="shared" si="37"/>
        <v>-</v>
      </c>
      <c r="DJ18" s="275">
        <f t="shared" si="38"/>
        <v>0</v>
      </c>
      <c r="DK18" s="274"/>
      <c r="DL18" s="275">
        <f t="shared" si="39"/>
        <v>0</v>
      </c>
      <c r="DM18" s="274"/>
      <c r="DN18" s="275">
        <f t="shared" si="40"/>
        <v>0</v>
      </c>
      <c r="DO18" s="274"/>
      <c r="DP18" s="275">
        <f t="shared" si="41"/>
        <v>0</v>
      </c>
      <c r="DQ18" s="276" t="str">
        <f t="shared" si="42"/>
        <v>-</v>
      </c>
      <c r="DR18" s="274"/>
      <c r="DS18" s="274"/>
      <c r="DT18" s="274"/>
      <c r="DU18" s="274"/>
      <c r="DV18" s="274"/>
      <c r="DW18" s="274"/>
      <c r="DX18" s="275">
        <f t="shared" si="43"/>
        <v>0</v>
      </c>
      <c r="DY18" s="276" t="str">
        <f t="shared" si="44"/>
        <v>-</v>
      </c>
      <c r="DZ18" s="274"/>
      <c r="EA18" s="274"/>
      <c r="EB18" s="274"/>
      <c r="EC18" s="274"/>
      <c r="ED18" s="274"/>
      <c r="EE18" s="274"/>
      <c r="EF18" s="275">
        <f t="shared" si="45"/>
        <v>0</v>
      </c>
      <c r="EG18" s="276" t="str">
        <f t="shared" si="46"/>
        <v>-</v>
      </c>
      <c r="EH18" s="274"/>
      <c r="EI18" s="274"/>
      <c r="EJ18" s="274"/>
      <c r="EK18" s="274"/>
      <c r="EL18" s="274"/>
      <c r="EM18" s="274"/>
      <c r="EN18" s="275">
        <f t="shared" si="47"/>
        <v>0</v>
      </c>
      <c r="EO18" s="276" t="str">
        <f t="shared" si="48"/>
        <v>-</v>
      </c>
    </row>
    <row r="19" spans="1:145" ht="56.25" customHeight="1" x14ac:dyDescent="0.3">
      <c r="A19" s="264" t="s">
        <v>1553</v>
      </c>
      <c r="B19" s="220" t="s">
        <v>1554</v>
      </c>
      <c r="C19" s="234" t="s">
        <v>1555</v>
      </c>
      <c r="D19" s="234"/>
      <c r="E19" s="235"/>
      <c r="F19" s="232"/>
      <c r="G19" s="236"/>
      <c r="H19" s="243"/>
      <c r="I19" s="252"/>
      <c r="J19" s="275">
        <f t="shared" si="0"/>
        <v>3245.5</v>
      </c>
      <c r="K19" s="274"/>
      <c r="L19" s="275">
        <f t="shared" si="1"/>
        <v>3245.5</v>
      </c>
      <c r="M19" s="274"/>
      <c r="N19" s="275">
        <f t="shared" si="2"/>
        <v>894.58770199999992</v>
      </c>
      <c r="O19" s="274"/>
      <c r="P19" s="275">
        <f t="shared" si="3"/>
        <v>0</v>
      </c>
      <c r="Q19" s="276">
        <f t="shared" si="4"/>
        <v>1</v>
      </c>
      <c r="R19" s="275">
        <f t="shared" si="5"/>
        <v>814.2</v>
      </c>
      <c r="S19" s="274"/>
      <c r="T19" s="275">
        <f t="shared" si="6"/>
        <v>814.2</v>
      </c>
      <c r="U19" s="274"/>
      <c r="V19" s="275">
        <f t="shared" si="7"/>
        <v>566.87278199999992</v>
      </c>
      <c r="W19" s="274"/>
      <c r="X19" s="275">
        <f t="shared" si="8"/>
        <v>0</v>
      </c>
      <c r="Y19" s="276">
        <f t="shared" si="9"/>
        <v>1</v>
      </c>
      <c r="Z19" s="274">
        <v>280.39999999999998</v>
      </c>
      <c r="AA19" s="274"/>
      <c r="AB19" s="274">
        <v>280.39999999999998</v>
      </c>
      <c r="AC19" s="274"/>
      <c r="AD19" s="274">
        <v>203.99590499999999</v>
      </c>
      <c r="AE19" s="274"/>
      <c r="AF19" s="275">
        <f t="shared" si="10"/>
        <v>0</v>
      </c>
      <c r="AG19" s="276">
        <f t="shared" si="11"/>
        <v>1</v>
      </c>
      <c r="AH19" s="274">
        <v>253.3</v>
      </c>
      <c r="AI19" s="274"/>
      <c r="AJ19" s="274">
        <v>253.3</v>
      </c>
      <c r="AK19" s="274"/>
      <c r="AL19" s="274">
        <v>159.00037399999999</v>
      </c>
      <c r="AM19" s="274"/>
      <c r="AN19" s="275">
        <f t="shared" si="12"/>
        <v>0</v>
      </c>
      <c r="AO19" s="276">
        <f t="shared" si="13"/>
        <v>1</v>
      </c>
      <c r="AP19" s="274">
        <v>280.5</v>
      </c>
      <c r="AQ19" s="274"/>
      <c r="AR19" s="274">
        <v>280.5</v>
      </c>
      <c r="AS19" s="274"/>
      <c r="AT19" s="274">
        <v>203.87650300000001</v>
      </c>
      <c r="AU19" s="274"/>
      <c r="AV19" s="275">
        <f t="shared" si="14"/>
        <v>0</v>
      </c>
      <c r="AW19" s="276">
        <f t="shared" si="15"/>
        <v>1</v>
      </c>
      <c r="AX19" s="275">
        <f t="shared" si="16"/>
        <v>621.1</v>
      </c>
      <c r="AY19" s="274"/>
      <c r="AZ19" s="275">
        <f t="shared" si="17"/>
        <v>621.1</v>
      </c>
      <c r="BA19" s="274"/>
      <c r="BB19" s="275">
        <f t="shared" si="18"/>
        <v>327.71492000000001</v>
      </c>
      <c r="BC19" s="274"/>
      <c r="BD19" s="275">
        <f t="shared" si="19"/>
        <v>0</v>
      </c>
      <c r="BE19" s="276">
        <f t="shared" si="20"/>
        <v>1</v>
      </c>
      <c r="BF19" s="274">
        <v>271.39999999999998</v>
      </c>
      <c r="BG19" s="274"/>
      <c r="BH19" s="274">
        <v>271.39999999999998</v>
      </c>
      <c r="BI19" s="274"/>
      <c r="BJ19" s="274">
        <v>195.005788</v>
      </c>
      <c r="BK19" s="274"/>
      <c r="BL19" s="275">
        <f t="shared" si="21"/>
        <v>0</v>
      </c>
      <c r="BM19" s="276">
        <f t="shared" si="22"/>
        <v>1</v>
      </c>
      <c r="BN19" s="274">
        <v>192.8</v>
      </c>
      <c r="BO19" s="274"/>
      <c r="BP19" s="274">
        <v>192.8</v>
      </c>
      <c r="BQ19" s="274"/>
      <c r="BR19" s="274">
        <v>78.698999999999998</v>
      </c>
      <c r="BS19" s="274"/>
      <c r="BT19" s="275">
        <f t="shared" si="23"/>
        <v>0</v>
      </c>
      <c r="BU19" s="276">
        <f t="shared" si="24"/>
        <v>1</v>
      </c>
      <c r="BV19" s="274">
        <v>156.9</v>
      </c>
      <c r="BW19" s="274"/>
      <c r="BX19" s="274">
        <v>156.9</v>
      </c>
      <c r="BY19" s="274"/>
      <c r="BZ19" s="274">
        <v>54.010131999999999</v>
      </c>
      <c r="CA19" s="274"/>
      <c r="CB19" s="275">
        <f t="shared" si="25"/>
        <v>0</v>
      </c>
      <c r="CC19" s="276">
        <f t="shared" si="26"/>
        <v>1</v>
      </c>
      <c r="CD19" s="275">
        <f t="shared" si="27"/>
        <v>886.1</v>
      </c>
      <c r="CE19" s="274"/>
      <c r="CF19" s="275">
        <f t="shared" si="28"/>
        <v>886.1</v>
      </c>
      <c r="CG19" s="274"/>
      <c r="CH19" s="275">
        <f t="shared" si="29"/>
        <v>0</v>
      </c>
      <c r="CI19" s="274"/>
      <c r="CJ19" s="275">
        <f t="shared" si="30"/>
        <v>0</v>
      </c>
      <c r="CK19" s="276">
        <f t="shared" si="31"/>
        <v>1</v>
      </c>
      <c r="CL19" s="274">
        <v>291.60000000000002</v>
      </c>
      <c r="CM19" s="274"/>
      <c r="CN19" s="274">
        <v>291.60000000000002</v>
      </c>
      <c r="CO19" s="274"/>
      <c r="CP19" s="274"/>
      <c r="CQ19" s="274"/>
      <c r="CR19" s="275">
        <f t="shared" si="32"/>
        <v>0</v>
      </c>
      <c r="CS19" s="276">
        <f t="shared" si="33"/>
        <v>1</v>
      </c>
      <c r="CT19" s="274">
        <v>292.89999999999998</v>
      </c>
      <c r="CU19" s="274"/>
      <c r="CV19" s="274">
        <v>292.89999999999998</v>
      </c>
      <c r="CW19" s="274"/>
      <c r="CX19" s="274"/>
      <c r="CY19" s="274"/>
      <c r="CZ19" s="275">
        <f t="shared" si="34"/>
        <v>0</v>
      </c>
      <c r="DA19" s="276">
        <f t="shared" si="35"/>
        <v>1</v>
      </c>
      <c r="DB19" s="274">
        <v>301.60000000000002</v>
      </c>
      <c r="DC19" s="274"/>
      <c r="DD19" s="274">
        <v>301.60000000000002</v>
      </c>
      <c r="DE19" s="274"/>
      <c r="DF19" s="274"/>
      <c r="DG19" s="274"/>
      <c r="DH19" s="275">
        <f t="shared" si="36"/>
        <v>0</v>
      </c>
      <c r="DI19" s="276">
        <f t="shared" si="37"/>
        <v>1</v>
      </c>
      <c r="DJ19" s="275">
        <f t="shared" si="38"/>
        <v>924.1</v>
      </c>
      <c r="DK19" s="274"/>
      <c r="DL19" s="275">
        <f t="shared" si="39"/>
        <v>924.1</v>
      </c>
      <c r="DM19" s="274"/>
      <c r="DN19" s="275">
        <f t="shared" si="40"/>
        <v>0</v>
      </c>
      <c r="DO19" s="274"/>
      <c r="DP19" s="275">
        <f t="shared" si="41"/>
        <v>0</v>
      </c>
      <c r="DQ19" s="276">
        <f t="shared" si="42"/>
        <v>1</v>
      </c>
      <c r="DR19" s="274">
        <v>311.60000000000002</v>
      </c>
      <c r="DS19" s="274"/>
      <c r="DT19" s="274">
        <v>311.60000000000002</v>
      </c>
      <c r="DU19" s="274"/>
      <c r="DV19" s="274"/>
      <c r="DW19" s="274"/>
      <c r="DX19" s="275">
        <f t="shared" si="43"/>
        <v>0</v>
      </c>
      <c r="DY19" s="276">
        <f t="shared" si="44"/>
        <v>1</v>
      </c>
      <c r="DZ19" s="274">
        <v>301.60000000000002</v>
      </c>
      <c r="EA19" s="274"/>
      <c r="EB19" s="274">
        <v>301.60000000000002</v>
      </c>
      <c r="EC19" s="274"/>
      <c r="ED19" s="274"/>
      <c r="EE19" s="274"/>
      <c r="EF19" s="275">
        <f t="shared" si="45"/>
        <v>0</v>
      </c>
      <c r="EG19" s="276">
        <f t="shared" si="46"/>
        <v>1</v>
      </c>
      <c r="EH19" s="274">
        <v>310.89999999999998</v>
      </c>
      <c r="EI19" s="274"/>
      <c r="EJ19" s="274">
        <v>310.89999999999998</v>
      </c>
      <c r="EK19" s="274"/>
      <c r="EL19" s="274"/>
      <c r="EM19" s="274"/>
      <c r="EN19" s="275">
        <f t="shared" si="47"/>
        <v>0</v>
      </c>
      <c r="EO19" s="276">
        <f t="shared" si="48"/>
        <v>1</v>
      </c>
    </row>
    <row r="20" spans="1:145" ht="18.75" customHeight="1" x14ac:dyDescent="0.3">
      <c r="A20" s="8" t="s">
        <v>1556</v>
      </c>
      <c r="B20" s="265" t="s">
        <v>1557</v>
      </c>
      <c r="C20" s="234" t="s">
        <v>1558</v>
      </c>
      <c r="D20" s="234"/>
      <c r="E20" s="235"/>
      <c r="F20" s="232"/>
      <c r="G20" s="236"/>
      <c r="H20" s="243"/>
      <c r="I20" s="252"/>
      <c r="J20" s="275">
        <f t="shared" si="0"/>
        <v>310.50199999999995</v>
      </c>
      <c r="K20" s="274"/>
      <c r="L20" s="275">
        <f t="shared" si="1"/>
        <v>310.50199999999995</v>
      </c>
      <c r="M20" s="274"/>
      <c r="N20" s="275">
        <f t="shared" si="2"/>
        <v>147.576821</v>
      </c>
      <c r="O20" s="274"/>
      <c r="P20" s="275">
        <f t="shared" si="3"/>
        <v>0</v>
      </c>
      <c r="Q20" s="276">
        <f t="shared" si="4"/>
        <v>1</v>
      </c>
      <c r="R20" s="275">
        <f t="shared" si="5"/>
        <v>48.841999999999999</v>
      </c>
      <c r="S20" s="274"/>
      <c r="T20" s="275">
        <f t="shared" si="6"/>
        <v>48.841999999999999</v>
      </c>
      <c r="U20" s="274"/>
      <c r="V20" s="275">
        <f t="shared" si="7"/>
        <v>99.759</v>
      </c>
      <c r="W20" s="274"/>
      <c r="X20" s="275">
        <f t="shared" si="8"/>
        <v>0</v>
      </c>
      <c r="Y20" s="276">
        <f t="shared" si="9"/>
        <v>1</v>
      </c>
      <c r="Z20" s="274">
        <v>15.218</v>
      </c>
      <c r="AA20" s="274"/>
      <c r="AB20" s="274">
        <v>15.218</v>
      </c>
      <c r="AC20" s="274"/>
      <c r="AD20" s="274">
        <v>31.367999999999999</v>
      </c>
      <c r="AE20" s="274"/>
      <c r="AF20" s="275">
        <f t="shared" si="10"/>
        <v>0</v>
      </c>
      <c r="AG20" s="276">
        <f t="shared" si="11"/>
        <v>1</v>
      </c>
      <c r="AH20" s="274">
        <v>16.507000000000001</v>
      </c>
      <c r="AI20" s="274"/>
      <c r="AJ20" s="274">
        <v>16.507000000000001</v>
      </c>
      <c r="AK20" s="274"/>
      <c r="AL20" s="274">
        <v>31.236000000000001</v>
      </c>
      <c r="AM20" s="274"/>
      <c r="AN20" s="275">
        <f t="shared" si="12"/>
        <v>0</v>
      </c>
      <c r="AO20" s="276">
        <f t="shared" si="13"/>
        <v>1</v>
      </c>
      <c r="AP20" s="274">
        <v>17.117000000000001</v>
      </c>
      <c r="AQ20" s="274"/>
      <c r="AR20" s="274">
        <v>17.117000000000001</v>
      </c>
      <c r="AS20" s="274"/>
      <c r="AT20" s="274">
        <v>37.155000000000001</v>
      </c>
      <c r="AU20" s="274"/>
      <c r="AV20" s="275">
        <f t="shared" si="14"/>
        <v>0</v>
      </c>
      <c r="AW20" s="276">
        <f t="shared" si="15"/>
        <v>1</v>
      </c>
      <c r="AX20" s="275">
        <f t="shared" si="16"/>
        <v>70.968999999999994</v>
      </c>
      <c r="AY20" s="274"/>
      <c r="AZ20" s="275">
        <f t="shared" si="17"/>
        <v>70.968999999999994</v>
      </c>
      <c r="BA20" s="274"/>
      <c r="BB20" s="275">
        <f t="shared" si="18"/>
        <v>47.817821000000002</v>
      </c>
      <c r="BC20" s="274"/>
      <c r="BD20" s="275">
        <f t="shared" si="19"/>
        <v>0</v>
      </c>
      <c r="BE20" s="276">
        <f t="shared" si="20"/>
        <v>1</v>
      </c>
      <c r="BF20" s="274">
        <v>34.841999999999999</v>
      </c>
      <c r="BG20" s="274"/>
      <c r="BH20" s="274">
        <v>34.841999999999999</v>
      </c>
      <c r="BI20" s="274"/>
      <c r="BJ20" s="274">
        <v>27.638821</v>
      </c>
      <c r="BK20" s="274"/>
      <c r="BL20" s="275">
        <f t="shared" si="21"/>
        <v>0</v>
      </c>
      <c r="BM20" s="276">
        <f t="shared" si="22"/>
        <v>1</v>
      </c>
      <c r="BN20" s="274">
        <v>23.427</v>
      </c>
      <c r="BO20" s="274"/>
      <c r="BP20" s="274">
        <v>23.427</v>
      </c>
      <c r="BQ20" s="274"/>
      <c r="BR20" s="274">
        <v>12.422000000000001</v>
      </c>
      <c r="BS20" s="274"/>
      <c r="BT20" s="275">
        <f t="shared" si="23"/>
        <v>0</v>
      </c>
      <c r="BU20" s="276">
        <f t="shared" si="24"/>
        <v>1</v>
      </c>
      <c r="BV20" s="274">
        <v>12.7</v>
      </c>
      <c r="BW20" s="274"/>
      <c r="BX20" s="274">
        <v>12.7</v>
      </c>
      <c r="BY20" s="274"/>
      <c r="BZ20" s="274">
        <v>7.7569999999999997</v>
      </c>
      <c r="CA20" s="274"/>
      <c r="CB20" s="275">
        <f t="shared" si="25"/>
        <v>0</v>
      </c>
      <c r="CC20" s="276">
        <f t="shared" si="26"/>
        <v>1</v>
      </c>
      <c r="CD20" s="275">
        <f t="shared" si="27"/>
        <v>147.56299999999999</v>
      </c>
      <c r="CE20" s="274"/>
      <c r="CF20" s="275">
        <f t="shared" si="28"/>
        <v>147.56299999999999</v>
      </c>
      <c r="CG20" s="274"/>
      <c r="CH20" s="275">
        <f t="shared" si="29"/>
        <v>0</v>
      </c>
      <c r="CI20" s="274"/>
      <c r="CJ20" s="275">
        <f t="shared" si="30"/>
        <v>0</v>
      </c>
      <c r="CK20" s="276">
        <f t="shared" si="31"/>
        <v>1</v>
      </c>
      <c r="CL20" s="274">
        <v>47.572000000000003</v>
      </c>
      <c r="CM20" s="274"/>
      <c r="CN20" s="274">
        <v>47.572000000000003</v>
      </c>
      <c r="CO20" s="274"/>
      <c r="CP20" s="274"/>
      <c r="CQ20" s="274"/>
      <c r="CR20" s="275">
        <f t="shared" si="32"/>
        <v>0</v>
      </c>
      <c r="CS20" s="276">
        <f t="shared" si="33"/>
        <v>1</v>
      </c>
      <c r="CT20" s="274">
        <v>66.247</v>
      </c>
      <c r="CU20" s="274"/>
      <c r="CV20" s="274">
        <v>66.247</v>
      </c>
      <c r="CW20" s="274"/>
      <c r="CX20" s="274"/>
      <c r="CY20" s="274"/>
      <c r="CZ20" s="275">
        <f t="shared" si="34"/>
        <v>0</v>
      </c>
      <c r="DA20" s="276">
        <f t="shared" si="35"/>
        <v>1</v>
      </c>
      <c r="DB20" s="274">
        <v>33.744</v>
      </c>
      <c r="DC20" s="274"/>
      <c r="DD20" s="274">
        <v>33.744</v>
      </c>
      <c r="DE20" s="274"/>
      <c r="DF20" s="274"/>
      <c r="DG20" s="274"/>
      <c r="DH20" s="275">
        <f t="shared" si="36"/>
        <v>0</v>
      </c>
      <c r="DI20" s="276">
        <f t="shared" si="37"/>
        <v>1</v>
      </c>
      <c r="DJ20" s="275">
        <f t="shared" si="38"/>
        <v>43.128</v>
      </c>
      <c r="DK20" s="274"/>
      <c r="DL20" s="275">
        <f t="shared" si="39"/>
        <v>43.128</v>
      </c>
      <c r="DM20" s="274"/>
      <c r="DN20" s="275">
        <f t="shared" si="40"/>
        <v>0</v>
      </c>
      <c r="DO20" s="274"/>
      <c r="DP20" s="275">
        <f t="shared" si="41"/>
        <v>0</v>
      </c>
      <c r="DQ20" s="276">
        <f t="shared" si="42"/>
        <v>1</v>
      </c>
      <c r="DR20" s="274">
        <v>15.897</v>
      </c>
      <c r="DS20" s="274"/>
      <c r="DT20" s="274">
        <v>15.897</v>
      </c>
      <c r="DU20" s="274"/>
      <c r="DV20" s="274"/>
      <c r="DW20" s="274"/>
      <c r="DX20" s="275">
        <f t="shared" si="43"/>
        <v>0</v>
      </c>
      <c r="DY20" s="276">
        <f t="shared" si="44"/>
        <v>1</v>
      </c>
      <c r="DZ20" s="274">
        <v>16.213000000000001</v>
      </c>
      <c r="EA20" s="274"/>
      <c r="EB20" s="274">
        <v>16.213000000000001</v>
      </c>
      <c r="EC20" s="274"/>
      <c r="ED20" s="274"/>
      <c r="EE20" s="274"/>
      <c r="EF20" s="275">
        <f t="shared" si="45"/>
        <v>0</v>
      </c>
      <c r="EG20" s="276">
        <f t="shared" si="46"/>
        <v>1</v>
      </c>
      <c r="EH20" s="274">
        <v>11.018000000000001</v>
      </c>
      <c r="EI20" s="274"/>
      <c r="EJ20" s="274">
        <v>11.018000000000001</v>
      </c>
      <c r="EK20" s="274"/>
      <c r="EL20" s="274"/>
      <c r="EM20" s="274"/>
      <c r="EN20" s="275">
        <f t="shared" si="47"/>
        <v>0</v>
      </c>
      <c r="EO20" s="276">
        <f t="shared" si="48"/>
        <v>1</v>
      </c>
    </row>
    <row r="21" spans="1:145" ht="37.5" customHeight="1" x14ac:dyDescent="0.3">
      <c r="A21" s="266" t="s">
        <v>1559</v>
      </c>
      <c r="B21" s="221" t="s">
        <v>1560</v>
      </c>
      <c r="C21" s="234" t="s">
        <v>1561</v>
      </c>
      <c r="D21" s="234"/>
      <c r="E21" s="235"/>
      <c r="F21" s="232" t="s">
        <v>1562</v>
      </c>
      <c r="G21" s="236"/>
      <c r="H21" s="243"/>
      <c r="I21" s="252"/>
      <c r="J21" s="275">
        <f t="shared" si="0"/>
        <v>17116.601999999999</v>
      </c>
      <c r="K21" s="274"/>
      <c r="L21" s="275">
        <f t="shared" si="1"/>
        <v>17116.601999999999</v>
      </c>
      <c r="M21" s="274"/>
      <c r="N21" s="275">
        <f t="shared" si="2"/>
        <v>4764.0122250000004</v>
      </c>
      <c r="O21" s="274"/>
      <c r="P21" s="275">
        <f t="shared" si="3"/>
        <v>0</v>
      </c>
      <c r="Q21" s="276">
        <f t="shared" si="4"/>
        <v>1</v>
      </c>
      <c r="R21" s="275">
        <f t="shared" si="5"/>
        <v>4265.0419999999995</v>
      </c>
      <c r="S21" s="274"/>
      <c r="T21" s="275">
        <f t="shared" si="6"/>
        <v>4265.0419999999995</v>
      </c>
      <c r="U21" s="274"/>
      <c r="V21" s="275">
        <f t="shared" si="7"/>
        <v>3027.8585640000001</v>
      </c>
      <c r="W21" s="274"/>
      <c r="X21" s="275">
        <f t="shared" si="8"/>
        <v>0</v>
      </c>
      <c r="Y21" s="276">
        <f t="shared" si="9"/>
        <v>1</v>
      </c>
      <c r="Z21" s="275">
        <f>SUM(Лист1!Z16+Лист1!Z15)</f>
        <v>1467.3179999999998</v>
      </c>
      <c r="AA21" s="274"/>
      <c r="AB21" s="275">
        <f>SUM(Лист1!AB16+Лист1!AB15)</f>
        <v>1467.3179999999998</v>
      </c>
      <c r="AC21" s="274"/>
      <c r="AD21" s="275">
        <f>SUM(Лист1!AD16+Лист1!AD15)</f>
        <v>1086.7268100000001</v>
      </c>
      <c r="AE21" s="274"/>
      <c r="AF21" s="275">
        <f t="shared" si="10"/>
        <v>0</v>
      </c>
      <c r="AG21" s="276">
        <f t="shared" si="11"/>
        <v>1</v>
      </c>
      <c r="AH21" s="275">
        <f>SUM(Лист1!AH16+Лист1!AH15)</f>
        <v>1328.2070000000001</v>
      </c>
      <c r="AI21" s="274"/>
      <c r="AJ21" s="275">
        <f>SUM(Лист1!AJ16+Лист1!AJ15)</f>
        <v>1328.2070000000001</v>
      </c>
      <c r="AK21" s="274"/>
      <c r="AL21" s="275">
        <f>SUM(Лист1!AL16+Лист1!AL15)</f>
        <v>853.34174799999994</v>
      </c>
      <c r="AM21" s="274"/>
      <c r="AN21" s="275">
        <f t="shared" si="12"/>
        <v>0</v>
      </c>
      <c r="AO21" s="276">
        <f t="shared" si="13"/>
        <v>1</v>
      </c>
      <c r="AP21" s="275">
        <f>SUM(Лист1!AP16+Лист1!AP15)</f>
        <v>1469.5170000000001</v>
      </c>
      <c r="AQ21" s="274"/>
      <c r="AR21" s="275">
        <f>SUM(Лист1!AR16+Лист1!AR15)</f>
        <v>1469.5170000000001</v>
      </c>
      <c r="AS21" s="274"/>
      <c r="AT21" s="275">
        <f>SUM(Лист1!AT16+Лист1!AT15)</f>
        <v>1087.7900059999999</v>
      </c>
      <c r="AU21" s="274"/>
      <c r="AV21" s="275">
        <f t="shared" si="14"/>
        <v>0</v>
      </c>
      <c r="AW21" s="276">
        <f t="shared" si="15"/>
        <v>1</v>
      </c>
      <c r="AX21" s="275">
        <f t="shared" si="16"/>
        <v>3286.8690000000006</v>
      </c>
      <c r="AY21" s="274"/>
      <c r="AZ21" s="275">
        <f t="shared" si="17"/>
        <v>3286.8690000000006</v>
      </c>
      <c r="BA21" s="274"/>
      <c r="BB21" s="275">
        <f t="shared" si="18"/>
        <v>1736.1536610000001</v>
      </c>
      <c r="BC21" s="274"/>
      <c r="BD21" s="275">
        <f t="shared" si="19"/>
        <v>0</v>
      </c>
      <c r="BE21" s="276">
        <f t="shared" si="20"/>
        <v>1</v>
      </c>
      <c r="BF21" s="275">
        <f>SUM(Лист1!BF16+Лист1!BF15)</f>
        <v>1440.2420000000002</v>
      </c>
      <c r="BG21" s="274"/>
      <c r="BH21" s="275">
        <f>SUM(Лист1!BH16+Лист1!BH15)</f>
        <v>1440.2420000000002</v>
      </c>
      <c r="BI21" s="274"/>
      <c r="BJ21" s="275">
        <f>SUM(Лист1!BJ16+Лист1!BJ15)</f>
        <v>1029.8023969999999</v>
      </c>
      <c r="BK21" s="274"/>
      <c r="BL21" s="275">
        <f t="shared" si="21"/>
        <v>0</v>
      </c>
      <c r="BM21" s="276">
        <f t="shared" si="22"/>
        <v>1</v>
      </c>
      <c r="BN21" s="275">
        <f>SUM(Лист1!BN16+Лист1!BN15)</f>
        <v>1021.827</v>
      </c>
      <c r="BO21" s="274"/>
      <c r="BP21" s="275">
        <f>SUM(Лист1!BP16+Лист1!BP15)</f>
        <v>1021.827</v>
      </c>
      <c r="BQ21" s="274"/>
      <c r="BR21" s="275">
        <f>SUM(Лист1!BR16+Лист1!BR15)</f>
        <v>419.00700000000006</v>
      </c>
      <c r="BS21" s="274"/>
      <c r="BT21" s="275">
        <f t="shared" si="23"/>
        <v>0</v>
      </c>
      <c r="BU21" s="276">
        <f t="shared" si="24"/>
        <v>1</v>
      </c>
      <c r="BV21" s="275">
        <f>SUM(Лист1!BV16+Лист1!BV15)</f>
        <v>824.80000000000007</v>
      </c>
      <c r="BW21" s="274"/>
      <c r="BX21" s="275">
        <f>SUM(Лист1!BX16+Лист1!BX15)</f>
        <v>824.80000000000007</v>
      </c>
      <c r="BY21" s="274"/>
      <c r="BZ21" s="275">
        <f>SUM(Лист1!BZ16+Лист1!BZ15)</f>
        <v>287.34426400000001</v>
      </c>
      <c r="CA21" s="274"/>
      <c r="CB21" s="275">
        <f t="shared" si="25"/>
        <v>0</v>
      </c>
      <c r="CC21" s="276">
        <f t="shared" si="26"/>
        <v>1</v>
      </c>
      <c r="CD21" s="275">
        <f t="shared" si="27"/>
        <v>4735.9629999999997</v>
      </c>
      <c r="CE21" s="274"/>
      <c r="CF21" s="275">
        <f t="shared" si="28"/>
        <v>4735.9629999999997</v>
      </c>
      <c r="CG21" s="274"/>
      <c r="CH21" s="275">
        <f t="shared" si="29"/>
        <v>0</v>
      </c>
      <c r="CI21" s="274"/>
      <c r="CJ21" s="275">
        <f t="shared" si="30"/>
        <v>0</v>
      </c>
      <c r="CK21" s="276">
        <f t="shared" si="31"/>
        <v>1</v>
      </c>
      <c r="CL21" s="275">
        <f>SUM(Лист1!CL16+Лист1!CL15)</f>
        <v>1557.5720000000001</v>
      </c>
      <c r="CM21" s="274"/>
      <c r="CN21" s="275">
        <f>SUM(Лист1!CN16+Лист1!CN15)</f>
        <v>1557.5720000000001</v>
      </c>
      <c r="CO21" s="274"/>
      <c r="CP21" s="275">
        <f>SUM(Лист1!CP16+Лист1!CP15)</f>
        <v>0</v>
      </c>
      <c r="CQ21" s="274"/>
      <c r="CR21" s="275">
        <f t="shared" si="32"/>
        <v>0</v>
      </c>
      <c r="CS21" s="276">
        <f t="shared" si="33"/>
        <v>1</v>
      </c>
      <c r="CT21" s="275">
        <f>SUM(Лист1!CT16+Лист1!CT15)</f>
        <v>1583.047</v>
      </c>
      <c r="CU21" s="274"/>
      <c r="CV21" s="275">
        <f>SUM(Лист1!CV16+Лист1!CV15)</f>
        <v>1583.047</v>
      </c>
      <c r="CW21" s="274"/>
      <c r="CX21" s="275">
        <f>SUM(Лист1!CX16+Лист1!CX15)</f>
        <v>0</v>
      </c>
      <c r="CY21" s="274"/>
      <c r="CZ21" s="275">
        <f t="shared" si="34"/>
        <v>0</v>
      </c>
      <c r="DA21" s="276">
        <f t="shared" si="35"/>
        <v>1</v>
      </c>
      <c r="DB21" s="275">
        <f>SUM(Лист1!DB16+Лист1!DB15)</f>
        <v>1595.3440000000001</v>
      </c>
      <c r="DC21" s="274"/>
      <c r="DD21" s="275">
        <f>SUM(Лист1!DD16+Лист1!DD15)</f>
        <v>1595.3440000000001</v>
      </c>
      <c r="DE21" s="274"/>
      <c r="DF21" s="275">
        <f>SUM(Лист1!DF16+Лист1!DF15)</f>
        <v>0</v>
      </c>
      <c r="DG21" s="274"/>
      <c r="DH21" s="275">
        <f t="shared" si="36"/>
        <v>0</v>
      </c>
      <c r="DI21" s="276">
        <f t="shared" si="37"/>
        <v>1</v>
      </c>
      <c r="DJ21" s="275">
        <f t="shared" si="38"/>
        <v>4828.7280000000001</v>
      </c>
      <c r="DK21" s="274"/>
      <c r="DL21" s="275">
        <f t="shared" si="39"/>
        <v>4828.7280000000001</v>
      </c>
      <c r="DM21" s="274"/>
      <c r="DN21" s="275">
        <f t="shared" si="40"/>
        <v>0</v>
      </c>
      <c r="DO21" s="274"/>
      <c r="DP21" s="275">
        <f t="shared" si="41"/>
        <v>0</v>
      </c>
      <c r="DQ21" s="276">
        <f t="shared" si="42"/>
        <v>1</v>
      </c>
      <c r="DR21" s="275">
        <f>SUM(Лист1!DR16+Лист1!DR15)</f>
        <v>1629.4969999999998</v>
      </c>
      <c r="DS21" s="274"/>
      <c r="DT21" s="275">
        <f>SUM(Лист1!DT16+Лист1!DT15)</f>
        <v>1629.4969999999998</v>
      </c>
      <c r="DU21" s="274"/>
      <c r="DV21" s="275">
        <f>SUM(Лист1!DV16+Лист1!DV15)</f>
        <v>0</v>
      </c>
      <c r="DW21" s="274"/>
      <c r="DX21" s="275">
        <f t="shared" si="43"/>
        <v>0</v>
      </c>
      <c r="DY21" s="276">
        <f t="shared" si="44"/>
        <v>1</v>
      </c>
      <c r="DZ21" s="275">
        <f>SUM(Лист1!DZ16+Лист1!DZ15)</f>
        <v>1577.8130000000001</v>
      </c>
      <c r="EA21" s="274"/>
      <c r="EB21" s="275">
        <f>SUM(Лист1!EB16+Лист1!EB15)</f>
        <v>1577.8130000000001</v>
      </c>
      <c r="EC21" s="274"/>
      <c r="ED21" s="275">
        <f>SUM(Лист1!ED16+Лист1!ED15)</f>
        <v>0</v>
      </c>
      <c r="EE21" s="274"/>
      <c r="EF21" s="275">
        <f t="shared" si="45"/>
        <v>0</v>
      </c>
      <c r="EG21" s="276">
        <f t="shared" si="46"/>
        <v>1</v>
      </c>
      <c r="EH21" s="275">
        <f>SUM(Лист1!EH16+Лист1!EH15)</f>
        <v>1621.4180000000001</v>
      </c>
      <c r="EI21" s="274"/>
      <c r="EJ21" s="275">
        <f>SUM(Лист1!EJ16+Лист1!EJ15)</f>
        <v>1621.4180000000001</v>
      </c>
      <c r="EK21" s="274"/>
      <c r="EL21" s="275">
        <f>SUM(Лист1!EL16+Лист1!EL15)</f>
        <v>0</v>
      </c>
      <c r="EM21" s="274"/>
      <c r="EN21" s="275">
        <f t="shared" si="47"/>
        <v>0</v>
      </c>
      <c r="EO21" s="276">
        <f t="shared" si="48"/>
        <v>1</v>
      </c>
    </row>
    <row r="22" spans="1:145" ht="18.75" customHeight="1" x14ac:dyDescent="0.3">
      <c r="A22" s="266" t="s">
        <v>1563</v>
      </c>
      <c r="B22" s="222" t="s">
        <v>1564</v>
      </c>
      <c r="C22" s="234" t="s">
        <v>1565</v>
      </c>
      <c r="D22" s="234"/>
      <c r="E22" s="235"/>
      <c r="F22" s="232"/>
      <c r="G22" s="236"/>
      <c r="H22" s="243"/>
      <c r="I22" s="252"/>
      <c r="J22" s="275">
        <f t="shared" si="0"/>
        <v>20.650000000000002</v>
      </c>
      <c r="K22" s="274"/>
      <c r="L22" s="275">
        <f t="shared" si="1"/>
        <v>20.650000000000002</v>
      </c>
      <c r="M22" s="274"/>
      <c r="N22" s="275">
        <f t="shared" si="2"/>
        <v>0.55900000000000005</v>
      </c>
      <c r="O22" s="274"/>
      <c r="P22" s="275">
        <f t="shared" si="3"/>
        <v>0</v>
      </c>
      <c r="Q22" s="276">
        <f t="shared" si="4"/>
        <v>1</v>
      </c>
      <c r="R22" s="275">
        <f t="shared" si="5"/>
        <v>6.3000000000000007</v>
      </c>
      <c r="S22" s="274"/>
      <c r="T22" s="275">
        <f t="shared" si="6"/>
        <v>6.3000000000000007</v>
      </c>
      <c r="U22" s="274"/>
      <c r="V22" s="275">
        <f t="shared" si="7"/>
        <v>0</v>
      </c>
      <c r="W22" s="274"/>
      <c r="X22" s="275">
        <f t="shared" si="8"/>
        <v>0</v>
      </c>
      <c r="Y22" s="276">
        <f t="shared" si="9"/>
        <v>1</v>
      </c>
      <c r="Z22" s="274">
        <v>2.1</v>
      </c>
      <c r="AA22" s="274"/>
      <c r="AB22" s="274">
        <v>2.1</v>
      </c>
      <c r="AC22" s="274"/>
      <c r="AD22" s="274">
        <v>0</v>
      </c>
      <c r="AE22" s="274"/>
      <c r="AF22" s="275">
        <f t="shared" si="10"/>
        <v>0</v>
      </c>
      <c r="AG22" s="276">
        <f t="shared" si="11"/>
        <v>1</v>
      </c>
      <c r="AH22" s="274">
        <v>2.1</v>
      </c>
      <c r="AI22" s="274"/>
      <c r="AJ22" s="274">
        <v>2.1</v>
      </c>
      <c r="AK22" s="274"/>
      <c r="AL22" s="274">
        <v>0</v>
      </c>
      <c r="AM22" s="274"/>
      <c r="AN22" s="275">
        <f t="shared" si="12"/>
        <v>0</v>
      </c>
      <c r="AO22" s="276">
        <f t="shared" si="13"/>
        <v>1</v>
      </c>
      <c r="AP22" s="274">
        <v>2.1</v>
      </c>
      <c r="AQ22" s="274"/>
      <c r="AR22" s="274">
        <v>2.1</v>
      </c>
      <c r="AS22" s="274"/>
      <c r="AT22" s="274">
        <v>0</v>
      </c>
      <c r="AU22" s="274"/>
      <c r="AV22" s="275">
        <f t="shared" si="14"/>
        <v>0</v>
      </c>
      <c r="AW22" s="276">
        <f t="shared" si="15"/>
        <v>1</v>
      </c>
      <c r="AX22" s="275">
        <f t="shared" si="16"/>
        <v>3.1500000000000004</v>
      </c>
      <c r="AY22" s="274"/>
      <c r="AZ22" s="275">
        <f t="shared" si="17"/>
        <v>3.1500000000000004</v>
      </c>
      <c r="BA22" s="274"/>
      <c r="BB22" s="275">
        <f t="shared" si="18"/>
        <v>0.55900000000000005</v>
      </c>
      <c r="BC22" s="274"/>
      <c r="BD22" s="275">
        <f t="shared" si="19"/>
        <v>0</v>
      </c>
      <c r="BE22" s="276">
        <f t="shared" si="20"/>
        <v>1</v>
      </c>
      <c r="BF22" s="274">
        <v>2.4500000000000002</v>
      </c>
      <c r="BG22" s="274"/>
      <c r="BH22" s="274">
        <v>2.4500000000000002</v>
      </c>
      <c r="BI22" s="274"/>
      <c r="BJ22" s="274">
        <v>0</v>
      </c>
      <c r="BK22" s="274"/>
      <c r="BL22" s="275">
        <f t="shared" si="21"/>
        <v>0</v>
      </c>
      <c r="BM22" s="276">
        <f t="shared" si="22"/>
        <v>1</v>
      </c>
      <c r="BN22" s="274">
        <v>0.7</v>
      </c>
      <c r="BO22" s="274"/>
      <c r="BP22" s="274">
        <v>0.7</v>
      </c>
      <c r="BQ22" s="274"/>
      <c r="BR22" s="274">
        <v>0.55900000000000005</v>
      </c>
      <c r="BS22" s="274"/>
      <c r="BT22" s="275">
        <f t="shared" si="23"/>
        <v>0</v>
      </c>
      <c r="BU22" s="276">
        <f t="shared" si="24"/>
        <v>1</v>
      </c>
      <c r="BV22" s="274">
        <v>0</v>
      </c>
      <c r="BW22" s="274"/>
      <c r="BX22" s="274">
        <v>0</v>
      </c>
      <c r="BY22" s="274"/>
      <c r="BZ22" s="274">
        <v>0</v>
      </c>
      <c r="CA22" s="274"/>
      <c r="CB22" s="275">
        <f t="shared" si="25"/>
        <v>0</v>
      </c>
      <c r="CC22" s="276" t="str">
        <f t="shared" si="26"/>
        <v>-</v>
      </c>
      <c r="CD22" s="275">
        <f t="shared" si="27"/>
        <v>4.9000000000000004</v>
      </c>
      <c r="CE22" s="274"/>
      <c r="CF22" s="275">
        <f t="shared" si="28"/>
        <v>4.9000000000000004</v>
      </c>
      <c r="CG22" s="274"/>
      <c r="CH22" s="275">
        <f t="shared" si="29"/>
        <v>0</v>
      </c>
      <c r="CI22" s="274"/>
      <c r="CJ22" s="275">
        <f t="shared" si="30"/>
        <v>0</v>
      </c>
      <c r="CK22" s="276">
        <f t="shared" si="31"/>
        <v>1</v>
      </c>
      <c r="CL22" s="274">
        <v>0</v>
      </c>
      <c r="CM22" s="274"/>
      <c r="CN22" s="274">
        <v>0</v>
      </c>
      <c r="CO22" s="274"/>
      <c r="CP22" s="274"/>
      <c r="CQ22" s="274"/>
      <c r="CR22" s="275">
        <f t="shared" si="32"/>
        <v>0</v>
      </c>
      <c r="CS22" s="276" t="str">
        <f t="shared" si="33"/>
        <v>-</v>
      </c>
      <c r="CT22" s="274">
        <v>2.4500000000000002</v>
      </c>
      <c r="CU22" s="274"/>
      <c r="CV22" s="274">
        <v>2.4500000000000002</v>
      </c>
      <c r="CW22" s="274"/>
      <c r="CX22" s="274"/>
      <c r="CY22" s="274"/>
      <c r="CZ22" s="275">
        <f t="shared" si="34"/>
        <v>0</v>
      </c>
      <c r="DA22" s="276">
        <f t="shared" si="35"/>
        <v>1</v>
      </c>
      <c r="DB22" s="274">
        <v>2.4500000000000002</v>
      </c>
      <c r="DC22" s="274"/>
      <c r="DD22" s="274">
        <v>2.4500000000000002</v>
      </c>
      <c r="DE22" s="274"/>
      <c r="DF22" s="274"/>
      <c r="DG22" s="274"/>
      <c r="DH22" s="275">
        <f t="shared" si="36"/>
        <v>0</v>
      </c>
      <c r="DI22" s="276">
        <f t="shared" si="37"/>
        <v>1</v>
      </c>
      <c r="DJ22" s="275">
        <f t="shared" si="38"/>
        <v>6.3000000000000007</v>
      </c>
      <c r="DK22" s="274"/>
      <c r="DL22" s="275">
        <f t="shared" si="39"/>
        <v>6.3000000000000007</v>
      </c>
      <c r="DM22" s="274"/>
      <c r="DN22" s="275">
        <f t="shared" si="40"/>
        <v>0</v>
      </c>
      <c r="DO22" s="274"/>
      <c r="DP22" s="275">
        <f t="shared" si="41"/>
        <v>0</v>
      </c>
      <c r="DQ22" s="276">
        <f t="shared" si="42"/>
        <v>1</v>
      </c>
      <c r="DR22" s="274">
        <v>2.1</v>
      </c>
      <c r="DS22" s="274"/>
      <c r="DT22" s="274">
        <v>2.1</v>
      </c>
      <c r="DU22" s="274"/>
      <c r="DV22" s="274"/>
      <c r="DW22" s="274"/>
      <c r="DX22" s="275">
        <f t="shared" si="43"/>
        <v>0</v>
      </c>
      <c r="DY22" s="276">
        <f t="shared" si="44"/>
        <v>1</v>
      </c>
      <c r="DZ22" s="274">
        <v>2.1</v>
      </c>
      <c r="EA22" s="274"/>
      <c r="EB22" s="274">
        <v>2.1</v>
      </c>
      <c r="EC22" s="274"/>
      <c r="ED22" s="274"/>
      <c r="EE22" s="274"/>
      <c r="EF22" s="275">
        <f t="shared" si="45"/>
        <v>0</v>
      </c>
      <c r="EG22" s="276">
        <f t="shared" si="46"/>
        <v>1</v>
      </c>
      <c r="EH22" s="274">
        <v>2.1</v>
      </c>
      <c r="EI22" s="274"/>
      <c r="EJ22" s="274">
        <v>2.1</v>
      </c>
      <c r="EK22" s="274"/>
      <c r="EL22" s="274"/>
      <c r="EM22" s="274"/>
      <c r="EN22" s="275">
        <f t="shared" si="47"/>
        <v>0</v>
      </c>
      <c r="EO22" s="276">
        <f t="shared" si="48"/>
        <v>1</v>
      </c>
    </row>
    <row r="23" spans="1:145" ht="37.5" customHeight="1" x14ac:dyDescent="0.3">
      <c r="A23" s="266" t="s">
        <v>1566</v>
      </c>
      <c r="B23" s="221" t="s">
        <v>1567</v>
      </c>
      <c r="C23" s="234" t="s">
        <v>1568</v>
      </c>
      <c r="D23" s="234"/>
      <c r="E23" s="235"/>
      <c r="F23" s="232"/>
      <c r="G23" s="236"/>
      <c r="H23" s="243"/>
      <c r="I23" s="252"/>
      <c r="J23" s="275">
        <f t="shared" si="0"/>
        <v>2.5</v>
      </c>
      <c r="K23" s="274"/>
      <c r="L23" s="275">
        <f t="shared" si="1"/>
        <v>2.5</v>
      </c>
      <c r="M23" s="274"/>
      <c r="N23" s="275">
        <f t="shared" si="2"/>
        <v>2.1840000000000002</v>
      </c>
      <c r="O23" s="274"/>
      <c r="P23" s="275">
        <f t="shared" si="3"/>
        <v>0</v>
      </c>
      <c r="Q23" s="276">
        <f t="shared" si="4"/>
        <v>1</v>
      </c>
      <c r="R23" s="275">
        <f t="shared" si="5"/>
        <v>0.9</v>
      </c>
      <c r="S23" s="274"/>
      <c r="T23" s="275">
        <f t="shared" si="6"/>
        <v>0.9</v>
      </c>
      <c r="U23" s="274"/>
      <c r="V23" s="275">
        <f t="shared" si="7"/>
        <v>0.46</v>
      </c>
      <c r="W23" s="274"/>
      <c r="X23" s="275">
        <f t="shared" si="8"/>
        <v>0</v>
      </c>
      <c r="Y23" s="276">
        <f t="shared" si="9"/>
        <v>1</v>
      </c>
      <c r="Z23" s="274">
        <v>0</v>
      </c>
      <c r="AA23" s="274"/>
      <c r="AB23" s="274">
        <v>0</v>
      </c>
      <c r="AC23" s="274"/>
      <c r="AD23" s="274">
        <v>0</v>
      </c>
      <c r="AE23" s="274"/>
      <c r="AF23" s="275">
        <f t="shared" si="10"/>
        <v>0</v>
      </c>
      <c r="AG23" s="276" t="str">
        <f t="shared" si="11"/>
        <v>-</v>
      </c>
      <c r="AH23" s="274">
        <v>0</v>
      </c>
      <c r="AI23" s="274"/>
      <c r="AJ23" s="274">
        <v>0</v>
      </c>
      <c r="AK23" s="274"/>
      <c r="AL23" s="274">
        <v>0</v>
      </c>
      <c r="AM23" s="274"/>
      <c r="AN23" s="275">
        <f t="shared" si="12"/>
        <v>0</v>
      </c>
      <c r="AO23" s="276" t="str">
        <f t="shared" si="13"/>
        <v>-</v>
      </c>
      <c r="AP23" s="274">
        <v>0.9</v>
      </c>
      <c r="AQ23" s="274"/>
      <c r="AR23" s="274">
        <v>0.9</v>
      </c>
      <c r="AS23" s="274"/>
      <c r="AT23" s="274">
        <v>0.46</v>
      </c>
      <c r="AU23" s="274"/>
      <c r="AV23" s="275">
        <f t="shared" si="14"/>
        <v>0</v>
      </c>
      <c r="AW23" s="276">
        <f t="shared" si="15"/>
        <v>1</v>
      </c>
      <c r="AX23" s="275">
        <f t="shared" si="16"/>
        <v>0.9</v>
      </c>
      <c r="AY23" s="274"/>
      <c r="AZ23" s="275">
        <f t="shared" si="17"/>
        <v>0.9</v>
      </c>
      <c r="BA23" s="274"/>
      <c r="BB23" s="275">
        <f t="shared" si="18"/>
        <v>1.724</v>
      </c>
      <c r="BC23" s="274"/>
      <c r="BD23" s="275">
        <f t="shared" si="19"/>
        <v>0</v>
      </c>
      <c r="BE23" s="276">
        <f t="shared" si="20"/>
        <v>1</v>
      </c>
      <c r="BF23" s="274">
        <v>0.9</v>
      </c>
      <c r="BG23" s="274"/>
      <c r="BH23" s="274">
        <v>0.9</v>
      </c>
      <c r="BI23" s="274"/>
      <c r="BJ23" s="274">
        <v>0.84299999999999997</v>
      </c>
      <c r="BK23" s="274"/>
      <c r="BL23" s="275">
        <f t="shared" si="21"/>
        <v>0</v>
      </c>
      <c r="BM23" s="276">
        <f t="shared" si="22"/>
        <v>1</v>
      </c>
      <c r="BN23" s="274">
        <v>0</v>
      </c>
      <c r="BO23" s="274"/>
      <c r="BP23" s="274">
        <v>0</v>
      </c>
      <c r="BQ23" s="274"/>
      <c r="BR23" s="274">
        <v>0.36299999999999999</v>
      </c>
      <c r="BS23" s="274"/>
      <c r="BT23" s="275">
        <f t="shared" si="23"/>
        <v>0</v>
      </c>
      <c r="BU23" s="276" t="str">
        <f t="shared" si="24"/>
        <v>-</v>
      </c>
      <c r="BV23" s="274">
        <v>0</v>
      </c>
      <c r="BW23" s="274"/>
      <c r="BX23" s="274">
        <v>0</v>
      </c>
      <c r="BY23" s="274"/>
      <c r="BZ23" s="274">
        <v>0.51800000000000002</v>
      </c>
      <c r="CA23" s="274"/>
      <c r="CB23" s="275">
        <f t="shared" si="25"/>
        <v>0</v>
      </c>
      <c r="CC23" s="276" t="str">
        <f t="shared" si="26"/>
        <v>-</v>
      </c>
      <c r="CD23" s="275">
        <f t="shared" si="27"/>
        <v>0.7</v>
      </c>
      <c r="CE23" s="274"/>
      <c r="CF23" s="275">
        <f t="shared" si="28"/>
        <v>0.7</v>
      </c>
      <c r="CG23" s="274"/>
      <c r="CH23" s="275">
        <f t="shared" si="29"/>
        <v>0</v>
      </c>
      <c r="CI23" s="274"/>
      <c r="CJ23" s="275">
        <f t="shared" si="30"/>
        <v>0</v>
      </c>
      <c r="CK23" s="276">
        <f t="shared" si="31"/>
        <v>1</v>
      </c>
      <c r="CL23" s="274">
        <v>0.7</v>
      </c>
      <c r="CM23" s="274"/>
      <c r="CN23" s="274">
        <v>0.7</v>
      </c>
      <c r="CO23" s="274"/>
      <c r="CP23" s="274"/>
      <c r="CQ23" s="274"/>
      <c r="CR23" s="275">
        <f t="shared" si="32"/>
        <v>0</v>
      </c>
      <c r="CS23" s="276">
        <f t="shared" si="33"/>
        <v>1</v>
      </c>
      <c r="CT23" s="274">
        <v>0</v>
      </c>
      <c r="CU23" s="274"/>
      <c r="CV23" s="274">
        <v>0</v>
      </c>
      <c r="CW23" s="274"/>
      <c r="CX23" s="274"/>
      <c r="CY23" s="274"/>
      <c r="CZ23" s="275">
        <f t="shared" si="34"/>
        <v>0</v>
      </c>
      <c r="DA23" s="276" t="str">
        <f t="shared" si="35"/>
        <v>-</v>
      </c>
      <c r="DB23" s="274">
        <v>0</v>
      </c>
      <c r="DC23" s="274"/>
      <c r="DD23" s="274">
        <v>0</v>
      </c>
      <c r="DE23" s="274"/>
      <c r="DF23" s="274"/>
      <c r="DG23" s="274"/>
      <c r="DH23" s="275">
        <f t="shared" si="36"/>
        <v>0</v>
      </c>
      <c r="DI23" s="276" t="str">
        <f t="shared" si="37"/>
        <v>-</v>
      </c>
      <c r="DJ23" s="275">
        <f t="shared" si="38"/>
        <v>0</v>
      </c>
      <c r="DK23" s="274"/>
      <c r="DL23" s="275">
        <f t="shared" si="39"/>
        <v>0</v>
      </c>
      <c r="DM23" s="274"/>
      <c r="DN23" s="275">
        <f t="shared" si="40"/>
        <v>0</v>
      </c>
      <c r="DO23" s="274"/>
      <c r="DP23" s="275">
        <f t="shared" si="41"/>
        <v>0</v>
      </c>
      <c r="DQ23" s="276" t="str">
        <f t="shared" si="42"/>
        <v>-</v>
      </c>
      <c r="DR23" s="274">
        <v>0</v>
      </c>
      <c r="DS23" s="274"/>
      <c r="DT23" s="274">
        <v>0</v>
      </c>
      <c r="DU23" s="274"/>
      <c r="DV23" s="274"/>
      <c r="DW23" s="274"/>
      <c r="DX23" s="275">
        <f t="shared" si="43"/>
        <v>0</v>
      </c>
      <c r="DY23" s="276" t="str">
        <f t="shared" si="44"/>
        <v>-</v>
      </c>
      <c r="DZ23" s="274">
        <v>0</v>
      </c>
      <c r="EA23" s="274"/>
      <c r="EB23" s="274">
        <v>0</v>
      </c>
      <c r="EC23" s="274"/>
      <c r="ED23" s="274"/>
      <c r="EE23" s="274"/>
      <c r="EF23" s="275">
        <f t="shared" si="45"/>
        <v>0</v>
      </c>
      <c r="EG23" s="276" t="str">
        <f t="shared" si="46"/>
        <v>-</v>
      </c>
      <c r="EH23" s="274">
        <v>0</v>
      </c>
      <c r="EI23" s="274"/>
      <c r="EJ23" s="274">
        <v>0</v>
      </c>
      <c r="EK23" s="274"/>
      <c r="EL23" s="274"/>
      <c r="EM23" s="274"/>
      <c r="EN23" s="275">
        <f t="shared" si="47"/>
        <v>0</v>
      </c>
      <c r="EO23" s="276" t="str">
        <f t="shared" si="48"/>
        <v>-</v>
      </c>
    </row>
    <row r="24" spans="1:145" ht="18.75" customHeight="1" x14ac:dyDescent="0.3">
      <c r="A24" s="266" t="s">
        <v>1569</v>
      </c>
      <c r="B24" s="221" t="s">
        <v>1570</v>
      </c>
      <c r="C24" s="234" t="s">
        <v>1571</v>
      </c>
      <c r="D24" s="234"/>
      <c r="E24" s="235"/>
      <c r="F24" s="232"/>
      <c r="G24" s="236"/>
      <c r="H24" s="243"/>
      <c r="I24" s="252"/>
      <c r="J24" s="275">
        <f t="shared" si="0"/>
        <v>286.29999999999995</v>
      </c>
      <c r="K24" s="274"/>
      <c r="L24" s="275">
        <f t="shared" si="1"/>
        <v>286.29999999999995</v>
      </c>
      <c r="M24" s="274"/>
      <c r="N24" s="275">
        <f t="shared" si="2"/>
        <v>144.82900000000001</v>
      </c>
      <c r="O24" s="274"/>
      <c r="P24" s="275">
        <f t="shared" si="3"/>
        <v>0</v>
      </c>
      <c r="Q24" s="276">
        <f t="shared" si="4"/>
        <v>1</v>
      </c>
      <c r="R24" s="275">
        <f t="shared" si="5"/>
        <v>41.3</v>
      </c>
      <c r="S24" s="274"/>
      <c r="T24" s="275">
        <f t="shared" si="6"/>
        <v>41.3</v>
      </c>
      <c r="U24" s="274"/>
      <c r="V24" s="275">
        <f t="shared" si="7"/>
        <v>99.299000000000007</v>
      </c>
      <c r="W24" s="274"/>
      <c r="X24" s="275">
        <f t="shared" si="8"/>
        <v>0</v>
      </c>
      <c r="Y24" s="276">
        <f t="shared" si="9"/>
        <v>1</v>
      </c>
      <c r="Z24" s="274">
        <v>13</v>
      </c>
      <c r="AA24" s="274"/>
      <c r="AB24" s="274">
        <v>13</v>
      </c>
      <c r="AC24" s="274"/>
      <c r="AD24" s="274">
        <v>31.367999999999999</v>
      </c>
      <c r="AE24" s="274"/>
      <c r="AF24" s="275">
        <f t="shared" si="10"/>
        <v>0</v>
      </c>
      <c r="AG24" s="276">
        <f t="shared" si="11"/>
        <v>1</v>
      </c>
      <c r="AH24" s="274">
        <v>14.3</v>
      </c>
      <c r="AI24" s="274"/>
      <c r="AJ24" s="274">
        <v>14.3</v>
      </c>
      <c r="AK24" s="274"/>
      <c r="AL24" s="274">
        <v>31.236000000000001</v>
      </c>
      <c r="AM24" s="274"/>
      <c r="AN24" s="275">
        <f t="shared" si="12"/>
        <v>0</v>
      </c>
      <c r="AO24" s="276">
        <f t="shared" si="13"/>
        <v>1</v>
      </c>
      <c r="AP24" s="274">
        <v>14</v>
      </c>
      <c r="AQ24" s="274"/>
      <c r="AR24" s="274">
        <v>14</v>
      </c>
      <c r="AS24" s="274"/>
      <c r="AT24" s="274">
        <v>36.695</v>
      </c>
      <c r="AU24" s="274"/>
      <c r="AV24" s="275">
        <f t="shared" si="14"/>
        <v>0</v>
      </c>
      <c r="AW24" s="276">
        <f t="shared" si="15"/>
        <v>1</v>
      </c>
      <c r="AX24" s="275">
        <f t="shared" si="16"/>
        <v>66.8</v>
      </c>
      <c r="AY24" s="274"/>
      <c r="AZ24" s="275">
        <f t="shared" si="17"/>
        <v>66.8</v>
      </c>
      <c r="BA24" s="274"/>
      <c r="BB24" s="275">
        <f t="shared" si="18"/>
        <v>45.529999999999994</v>
      </c>
      <c r="BC24" s="274"/>
      <c r="BD24" s="275">
        <f t="shared" si="19"/>
        <v>0</v>
      </c>
      <c r="BE24" s="276">
        <f t="shared" si="20"/>
        <v>1</v>
      </c>
      <c r="BF24" s="274">
        <v>31.4</v>
      </c>
      <c r="BG24" s="274"/>
      <c r="BH24" s="274">
        <v>31.4</v>
      </c>
      <c r="BI24" s="274"/>
      <c r="BJ24" s="274">
        <v>26.794</v>
      </c>
      <c r="BK24" s="274"/>
      <c r="BL24" s="275">
        <f t="shared" si="21"/>
        <v>0</v>
      </c>
      <c r="BM24" s="276">
        <f t="shared" si="22"/>
        <v>1</v>
      </c>
      <c r="BN24" s="274">
        <v>22.7</v>
      </c>
      <c r="BO24" s="274"/>
      <c r="BP24" s="274">
        <v>22.7</v>
      </c>
      <c r="BQ24" s="274"/>
      <c r="BR24" s="274">
        <v>11.497</v>
      </c>
      <c r="BS24" s="274"/>
      <c r="BT24" s="275">
        <f t="shared" si="23"/>
        <v>0</v>
      </c>
      <c r="BU24" s="276">
        <f t="shared" si="24"/>
        <v>1</v>
      </c>
      <c r="BV24" s="274">
        <v>12.7</v>
      </c>
      <c r="BW24" s="274"/>
      <c r="BX24" s="274">
        <v>12.7</v>
      </c>
      <c r="BY24" s="274"/>
      <c r="BZ24" s="274">
        <v>7.2389999999999999</v>
      </c>
      <c r="CA24" s="274"/>
      <c r="CB24" s="275">
        <f t="shared" si="25"/>
        <v>0</v>
      </c>
      <c r="CC24" s="276">
        <f t="shared" si="26"/>
        <v>1</v>
      </c>
      <c r="CD24" s="275">
        <f t="shared" si="27"/>
        <v>141.69999999999999</v>
      </c>
      <c r="CE24" s="274"/>
      <c r="CF24" s="275">
        <f t="shared" si="28"/>
        <v>141.69999999999999</v>
      </c>
      <c r="CG24" s="274"/>
      <c r="CH24" s="275">
        <f t="shared" si="29"/>
        <v>0</v>
      </c>
      <c r="CI24" s="274"/>
      <c r="CJ24" s="275">
        <f t="shared" si="30"/>
        <v>0</v>
      </c>
      <c r="CK24" s="276">
        <f t="shared" si="31"/>
        <v>1</v>
      </c>
      <c r="CL24" s="274">
        <v>46.8</v>
      </c>
      <c r="CM24" s="274"/>
      <c r="CN24" s="274">
        <v>46.8</v>
      </c>
      <c r="CO24" s="274"/>
      <c r="CP24" s="274"/>
      <c r="CQ24" s="274"/>
      <c r="CR24" s="275">
        <f t="shared" si="32"/>
        <v>0</v>
      </c>
      <c r="CS24" s="276">
        <f t="shared" si="33"/>
        <v>1</v>
      </c>
      <c r="CT24" s="274">
        <v>63.7</v>
      </c>
      <c r="CU24" s="274"/>
      <c r="CV24" s="274">
        <v>63.7</v>
      </c>
      <c r="CW24" s="274"/>
      <c r="CX24" s="274"/>
      <c r="CY24" s="274"/>
      <c r="CZ24" s="275">
        <f t="shared" si="34"/>
        <v>0</v>
      </c>
      <c r="DA24" s="276">
        <f t="shared" si="35"/>
        <v>1</v>
      </c>
      <c r="DB24" s="274">
        <v>31.2</v>
      </c>
      <c r="DC24" s="274"/>
      <c r="DD24" s="274">
        <v>31.2</v>
      </c>
      <c r="DE24" s="274"/>
      <c r="DF24" s="274"/>
      <c r="DG24" s="274"/>
      <c r="DH24" s="275">
        <f t="shared" si="36"/>
        <v>0</v>
      </c>
      <c r="DI24" s="276">
        <f t="shared" si="37"/>
        <v>1</v>
      </c>
      <c r="DJ24" s="275">
        <f t="shared" si="38"/>
        <v>36.5</v>
      </c>
      <c r="DK24" s="274"/>
      <c r="DL24" s="275">
        <f t="shared" si="39"/>
        <v>36.5</v>
      </c>
      <c r="DM24" s="274"/>
      <c r="DN24" s="275">
        <f t="shared" si="40"/>
        <v>0</v>
      </c>
      <c r="DO24" s="274"/>
      <c r="DP24" s="275">
        <f t="shared" si="41"/>
        <v>0</v>
      </c>
      <c r="DQ24" s="276">
        <f t="shared" si="42"/>
        <v>1</v>
      </c>
      <c r="DR24" s="274">
        <v>13.7</v>
      </c>
      <c r="DS24" s="274"/>
      <c r="DT24" s="274">
        <v>13.7</v>
      </c>
      <c r="DU24" s="274"/>
      <c r="DV24" s="274"/>
      <c r="DW24" s="274"/>
      <c r="DX24" s="275">
        <f t="shared" si="43"/>
        <v>0</v>
      </c>
      <c r="DY24" s="276">
        <f t="shared" si="44"/>
        <v>1</v>
      </c>
      <c r="DZ24" s="274">
        <v>14</v>
      </c>
      <c r="EA24" s="274"/>
      <c r="EB24" s="274">
        <v>14</v>
      </c>
      <c r="EC24" s="274"/>
      <c r="ED24" s="274"/>
      <c r="EE24" s="274"/>
      <c r="EF24" s="275">
        <f t="shared" si="45"/>
        <v>0</v>
      </c>
      <c r="EG24" s="276">
        <f t="shared" si="46"/>
        <v>1</v>
      </c>
      <c r="EH24" s="274">
        <v>8.8000000000000007</v>
      </c>
      <c r="EI24" s="274"/>
      <c r="EJ24" s="274">
        <v>8.8000000000000007</v>
      </c>
      <c r="EK24" s="274"/>
      <c r="EL24" s="274"/>
      <c r="EM24" s="274"/>
      <c r="EN24" s="275">
        <f t="shared" si="47"/>
        <v>0</v>
      </c>
      <c r="EO24" s="276">
        <f t="shared" si="48"/>
        <v>1</v>
      </c>
    </row>
    <row r="25" spans="1:145" ht="19.5" customHeight="1" x14ac:dyDescent="0.3">
      <c r="A25" s="263"/>
      <c r="B25" s="223" t="s">
        <v>815</v>
      </c>
      <c r="C25" s="234"/>
      <c r="D25" s="234"/>
      <c r="E25" s="235">
        <v>1</v>
      </c>
      <c r="F25" s="232"/>
      <c r="G25" s="236"/>
      <c r="H25" s="243"/>
      <c r="I25" s="252"/>
      <c r="J25" s="275">
        <f t="shared" si="0"/>
        <v>0</v>
      </c>
      <c r="K25" s="274"/>
      <c r="L25" s="275">
        <f t="shared" si="1"/>
        <v>0</v>
      </c>
      <c r="M25" s="274"/>
      <c r="N25" s="275">
        <f t="shared" si="2"/>
        <v>0</v>
      </c>
      <c r="O25" s="274"/>
      <c r="P25" s="275">
        <f t="shared" si="3"/>
        <v>0</v>
      </c>
      <c r="Q25" s="276" t="str">
        <f t="shared" si="4"/>
        <v>-</v>
      </c>
      <c r="R25" s="275">
        <f t="shared" si="5"/>
        <v>0</v>
      </c>
      <c r="S25" s="274"/>
      <c r="T25" s="275">
        <f t="shared" si="6"/>
        <v>0</v>
      </c>
      <c r="U25" s="274"/>
      <c r="V25" s="275">
        <f t="shared" si="7"/>
        <v>0</v>
      </c>
      <c r="W25" s="274"/>
      <c r="X25" s="275">
        <f t="shared" si="8"/>
        <v>0</v>
      </c>
      <c r="Y25" s="276" t="str">
        <f t="shared" si="9"/>
        <v>-</v>
      </c>
      <c r="Z25" s="277"/>
      <c r="AA25" s="274"/>
      <c r="AB25" s="277"/>
      <c r="AC25" s="274"/>
      <c r="AD25" s="277"/>
      <c r="AE25" s="274"/>
      <c r="AF25" s="275">
        <f t="shared" si="10"/>
        <v>0</v>
      </c>
      <c r="AG25" s="276" t="str">
        <f t="shared" si="11"/>
        <v>-</v>
      </c>
      <c r="AH25" s="277"/>
      <c r="AI25" s="274"/>
      <c r="AJ25" s="277"/>
      <c r="AK25" s="274"/>
      <c r="AL25" s="277"/>
      <c r="AM25" s="274"/>
      <c r="AN25" s="275">
        <f t="shared" si="12"/>
        <v>0</v>
      </c>
      <c r="AO25" s="276" t="str">
        <f t="shared" si="13"/>
        <v>-</v>
      </c>
      <c r="AP25" s="277"/>
      <c r="AQ25" s="274"/>
      <c r="AR25" s="277"/>
      <c r="AS25" s="274"/>
      <c r="AT25" s="277"/>
      <c r="AU25" s="274"/>
      <c r="AV25" s="275">
        <f t="shared" si="14"/>
        <v>0</v>
      </c>
      <c r="AW25" s="276" t="str">
        <f t="shared" si="15"/>
        <v>-</v>
      </c>
      <c r="AX25" s="275">
        <f t="shared" si="16"/>
        <v>0</v>
      </c>
      <c r="AY25" s="274"/>
      <c r="AZ25" s="275">
        <f t="shared" si="17"/>
        <v>0</v>
      </c>
      <c r="BA25" s="274"/>
      <c r="BB25" s="275">
        <f t="shared" si="18"/>
        <v>0</v>
      </c>
      <c r="BC25" s="274"/>
      <c r="BD25" s="275">
        <f t="shared" si="19"/>
        <v>0</v>
      </c>
      <c r="BE25" s="276" t="str">
        <f t="shared" si="20"/>
        <v>-</v>
      </c>
      <c r="BF25" s="277"/>
      <c r="BG25" s="274"/>
      <c r="BH25" s="277"/>
      <c r="BI25" s="274"/>
      <c r="BJ25" s="277"/>
      <c r="BK25" s="274"/>
      <c r="BL25" s="275">
        <f t="shared" si="21"/>
        <v>0</v>
      </c>
      <c r="BM25" s="276" t="str">
        <f t="shared" si="22"/>
        <v>-</v>
      </c>
      <c r="BN25" s="277"/>
      <c r="BO25" s="274"/>
      <c r="BP25" s="277"/>
      <c r="BQ25" s="274"/>
      <c r="BR25" s="277"/>
      <c r="BS25" s="274"/>
      <c r="BT25" s="275">
        <f t="shared" si="23"/>
        <v>0</v>
      </c>
      <c r="BU25" s="276" t="str">
        <f t="shared" si="24"/>
        <v>-</v>
      </c>
      <c r="BV25" s="277"/>
      <c r="BW25" s="274"/>
      <c r="BX25" s="277"/>
      <c r="BY25" s="274"/>
      <c r="BZ25" s="277"/>
      <c r="CA25" s="274"/>
      <c r="CB25" s="275">
        <f t="shared" si="25"/>
        <v>0</v>
      </c>
      <c r="CC25" s="276" t="str">
        <f t="shared" si="26"/>
        <v>-</v>
      </c>
      <c r="CD25" s="275">
        <f t="shared" si="27"/>
        <v>0</v>
      </c>
      <c r="CE25" s="274"/>
      <c r="CF25" s="275">
        <f t="shared" si="28"/>
        <v>0</v>
      </c>
      <c r="CG25" s="274"/>
      <c r="CH25" s="275">
        <f t="shared" si="29"/>
        <v>0</v>
      </c>
      <c r="CI25" s="274"/>
      <c r="CJ25" s="275">
        <f t="shared" si="30"/>
        <v>0</v>
      </c>
      <c r="CK25" s="276" t="str">
        <f t="shared" si="31"/>
        <v>-</v>
      </c>
      <c r="CL25" s="277"/>
      <c r="CM25" s="274"/>
      <c r="CN25" s="277"/>
      <c r="CO25" s="274"/>
      <c r="CP25" s="277"/>
      <c r="CQ25" s="274"/>
      <c r="CR25" s="275">
        <f t="shared" si="32"/>
        <v>0</v>
      </c>
      <c r="CS25" s="276" t="str">
        <f t="shared" si="33"/>
        <v>-</v>
      </c>
      <c r="CT25" s="277"/>
      <c r="CU25" s="274"/>
      <c r="CV25" s="277"/>
      <c r="CW25" s="274"/>
      <c r="CX25" s="277"/>
      <c r="CY25" s="274"/>
      <c r="CZ25" s="275">
        <f t="shared" si="34"/>
        <v>0</v>
      </c>
      <c r="DA25" s="276" t="str">
        <f t="shared" si="35"/>
        <v>-</v>
      </c>
      <c r="DB25" s="277"/>
      <c r="DC25" s="274"/>
      <c r="DD25" s="277"/>
      <c r="DE25" s="274"/>
      <c r="DF25" s="277"/>
      <c r="DG25" s="274"/>
      <c r="DH25" s="275">
        <f t="shared" si="36"/>
        <v>0</v>
      </c>
      <c r="DI25" s="276" t="str">
        <f t="shared" si="37"/>
        <v>-</v>
      </c>
      <c r="DJ25" s="275">
        <f t="shared" si="38"/>
        <v>0</v>
      </c>
      <c r="DK25" s="274"/>
      <c r="DL25" s="275">
        <f t="shared" si="39"/>
        <v>0</v>
      </c>
      <c r="DM25" s="274"/>
      <c r="DN25" s="275">
        <f t="shared" si="40"/>
        <v>0</v>
      </c>
      <c r="DO25" s="274"/>
      <c r="DP25" s="275">
        <f t="shared" si="41"/>
        <v>0</v>
      </c>
      <c r="DQ25" s="276" t="str">
        <f t="shared" si="42"/>
        <v>-</v>
      </c>
      <c r="DR25" s="277"/>
      <c r="DS25" s="274"/>
      <c r="DT25" s="277"/>
      <c r="DU25" s="274"/>
      <c r="DV25" s="277"/>
      <c r="DW25" s="274"/>
      <c r="DX25" s="275">
        <f t="shared" si="43"/>
        <v>0</v>
      </c>
      <c r="DY25" s="276" t="str">
        <f t="shared" si="44"/>
        <v>-</v>
      </c>
      <c r="DZ25" s="277"/>
      <c r="EA25" s="274"/>
      <c r="EB25" s="277"/>
      <c r="EC25" s="274"/>
      <c r="ED25" s="277"/>
      <c r="EE25" s="274"/>
      <c r="EF25" s="275">
        <f t="shared" si="45"/>
        <v>0</v>
      </c>
      <c r="EG25" s="276" t="str">
        <f t="shared" si="46"/>
        <v>-</v>
      </c>
      <c r="EH25" s="277"/>
      <c r="EI25" s="274"/>
      <c r="EJ25" s="277"/>
      <c r="EK25" s="274"/>
      <c r="EL25" s="277"/>
      <c r="EM25" s="274"/>
      <c r="EN25" s="275">
        <f t="shared" si="47"/>
        <v>0</v>
      </c>
      <c r="EO25" s="276" t="str">
        <f t="shared" si="48"/>
        <v>-</v>
      </c>
    </row>
    <row r="26" spans="1:145" ht="39" customHeight="1" x14ac:dyDescent="0.3">
      <c r="A26" s="6">
        <v>3</v>
      </c>
      <c r="B26" s="223" t="s">
        <v>1572</v>
      </c>
      <c r="C26" s="234" t="s">
        <v>1573</v>
      </c>
      <c r="D26" s="234"/>
      <c r="E26" s="235"/>
      <c r="F26" s="232"/>
      <c r="G26" s="236"/>
      <c r="H26" s="243"/>
      <c r="I26" s="252"/>
      <c r="J26" s="275">
        <f t="shared" si="0"/>
        <v>3610.7</v>
      </c>
      <c r="K26" s="274"/>
      <c r="L26" s="275">
        <f t="shared" si="1"/>
        <v>3610.7</v>
      </c>
      <c r="M26" s="274"/>
      <c r="N26" s="275">
        <f t="shared" si="2"/>
        <v>1147.899717</v>
      </c>
      <c r="O26" s="274"/>
      <c r="P26" s="275">
        <f t="shared" si="3"/>
        <v>0</v>
      </c>
      <c r="Q26" s="276">
        <f t="shared" si="4"/>
        <v>1</v>
      </c>
      <c r="R26" s="275">
        <f t="shared" si="5"/>
        <v>902.5</v>
      </c>
      <c r="S26" s="274"/>
      <c r="T26" s="275">
        <f t="shared" si="6"/>
        <v>902.5</v>
      </c>
      <c r="U26" s="274"/>
      <c r="V26" s="275">
        <f t="shared" si="7"/>
        <v>815.88847299999998</v>
      </c>
      <c r="W26" s="274"/>
      <c r="X26" s="275">
        <f t="shared" si="8"/>
        <v>0</v>
      </c>
      <c r="Y26" s="276">
        <f t="shared" si="9"/>
        <v>1</v>
      </c>
      <c r="Z26" s="274">
        <v>308.7</v>
      </c>
      <c r="AA26" s="274"/>
      <c r="AB26" s="274">
        <v>308.7</v>
      </c>
      <c r="AC26" s="274"/>
      <c r="AD26" s="274">
        <v>262.098883</v>
      </c>
      <c r="AE26" s="274"/>
      <c r="AF26" s="275">
        <f t="shared" si="10"/>
        <v>0</v>
      </c>
      <c r="AG26" s="276">
        <f t="shared" si="11"/>
        <v>1</v>
      </c>
      <c r="AH26" s="274">
        <v>281.7</v>
      </c>
      <c r="AI26" s="274"/>
      <c r="AJ26" s="274">
        <v>281.7</v>
      </c>
      <c r="AK26" s="274"/>
      <c r="AL26" s="274">
        <v>315.56417099999999</v>
      </c>
      <c r="AM26" s="274"/>
      <c r="AN26" s="275">
        <f t="shared" si="12"/>
        <v>0</v>
      </c>
      <c r="AO26" s="276">
        <f t="shared" si="13"/>
        <v>1</v>
      </c>
      <c r="AP26" s="274">
        <v>312.10000000000002</v>
      </c>
      <c r="AQ26" s="274"/>
      <c r="AR26" s="274">
        <v>312.10000000000002</v>
      </c>
      <c r="AS26" s="274"/>
      <c r="AT26" s="274">
        <v>238.22541899999999</v>
      </c>
      <c r="AU26" s="274"/>
      <c r="AV26" s="275">
        <f t="shared" si="14"/>
        <v>0</v>
      </c>
      <c r="AW26" s="276">
        <f t="shared" si="15"/>
        <v>1</v>
      </c>
      <c r="AX26" s="275">
        <f t="shared" si="16"/>
        <v>676.7</v>
      </c>
      <c r="AY26" s="274"/>
      <c r="AZ26" s="275">
        <f t="shared" si="17"/>
        <v>676.7</v>
      </c>
      <c r="BA26" s="274"/>
      <c r="BB26" s="275">
        <f t="shared" si="18"/>
        <v>332.01124400000003</v>
      </c>
      <c r="BC26" s="274"/>
      <c r="BD26" s="275">
        <f t="shared" si="19"/>
        <v>0</v>
      </c>
      <c r="BE26" s="276">
        <f t="shared" si="20"/>
        <v>1</v>
      </c>
      <c r="BF26" s="274">
        <v>302.89999999999998</v>
      </c>
      <c r="BG26" s="274"/>
      <c r="BH26" s="274">
        <v>302.89999999999998</v>
      </c>
      <c r="BI26" s="274"/>
      <c r="BJ26" s="274">
        <v>186.703789</v>
      </c>
      <c r="BK26" s="274"/>
      <c r="BL26" s="275">
        <f t="shared" si="21"/>
        <v>0</v>
      </c>
      <c r="BM26" s="276">
        <f t="shared" si="22"/>
        <v>1</v>
      </c>
      <c r="BN26" s="274">
        <v>210.5</v>
      </c>
      <c r="BO26" s="274"/>
      <c r="BP26" s="274">
        <v>210.5</v>
      </c>
      <c r="BQ26" s="274"/>
      <c r="BR26" s="274">
        <v>80.474000000000004</v>
      </c>
      <c r="BS26" s="274"/>
      <c r="BT26" s="275">
        <f t="shared" si="23"/>
        <v>0</v>
      </c>
      <c r="BU26" s="276">
        <f t="shared" si="24"/>
        <v>1</v>
      </c>
      <c r="BV26" s="274">
        <v>163.30000000000001</v>
      </c>
      <c r="BW26" s="274"/>
      <c r="BX26" s="274">
        <v>163.30000000000001</v>
      </c>
      <c r="BY26" s="274"/>
      <c r="BZ26" s="274">
        <v>64.833455000000001</v>
      </c>
      <c r="CA26" s="274"/>
      <c r="CB26" s="275">
        <f t="shared" si="25"/>
        <v>0</v>
      </c>
      <c r="CC26" s="276">
        <f t="shared" si="26"/>
        <v>1</v>
      </c>
      <c r="CD26" s="275">
        <f t="shared" si="27"/>
        <v>1027.8</v>
      </c>
      <c r="CE26" s="274"/>
      <c r="CF26" s="275">
        <f t="shared" si="28"/>
        <v>1027.8</v>
      </c>
      <c r="CG26" s="274"/>
      <c r="CH26" s="275">
        <f t="shared" si="29"/>
        <v>0</v>
      </c>
      <c r="CI26" s="274"/>
      <c r="CJ26" s="275">
        <f t="shared" si="30"/>
        <v>0</v>
      </c>
      <c r="CK26" s="276">
        <f t="shared" si="31"/>
        <v>1</v>
      </c>
      <c r="CL26" s="274">
        <v>332.5</v>
      </c>
      <c r="CM26" s="274"/>
      <c r="CN26" s="274">
        <v>332.5</v>
      </c>
      <c r="CO26" s="274"/>
      <c r="CP26" s="274"/>
      <c r="CQ26" s="274"/>
      <c r="CR26" s="275">
        <f t="shared" si="32"/>
        <v>0</v>
      </c>
      <c r="CS26" s="276">
        <f t="shared" si="33"/>
        <v>1</v>
      </c>
      <c r="CT26" s="274">
        <v>359</v>
      </c>
      <c r="CU26" s="274"/>
      <c r="CV26" s="274">
        <v>359</v>
      </c>
      <c r="CW26" s="274"/>
      <c r="CX26" s="274"/>
      <c r="CY26" s="274"/>
      <c r="CZ26" s="275">
        <f t="shared" si="34"/>
        <v>0</v>
      </c>
      <c r="DA26" s="276">
        <f t="shared" si="35"/>
        <v>1</v>
      </c>
      <c r="DB26" s="274">
        <v>336.3</v>
      </c>
      <c r="DC26" s="274"/>
      <c r="DD26" s="274">
        <v>336.3</v>
      </c>
      <c r="DE26" s="274"/>
      <c r="DF26" s="274"/>
      <c r="DG26" s="274"/>
      <c r="DH26" s="275">
        <f t="shared" si="36"/>
        <v>0</v>
      </c>
      <c r="DI26" s="276">
        <f t="shared" si="37"/>
        <v>1</v>
      </c>
      <c r="DJ26" s="275">
        <f t="shared" si="38"/>
        <v>1003.7</v>
      </c>
      <c r="DK26" s="274"/>
      <c r="DL26" s="275">
        <f t="shared" si="39"/>
        <v>1003.7</v>
      </c>
      <c r="DM26" s="274"/>
      <c r="DN26" s="275">
        <f t="shared" si="40"/>
        <v>0</v>
      </c>
      <c r="DO26" s="274"/>
      <c r="DP26" s="275">
        <f t="shared" si="41"/>
        <v>0</v>
      </c>
      <c r="DQ26" s="276">
        <f t="shared" si="42"/>
        <v>1</v>
      </c>
      <c r="DR26" s="274">
        <v>332.5</v>
      </c>
      <c r="DS26" s="274"/>
      <c r="DT26" s="274">
        <v>332.5</v>
      </c>
      <c r="DU26" s="274"/>
      <c r="DV26" s="274"/>
      <c r="DW26" s="274"/>
      <c r="DX26" s="275">
        <f t="shared" si="43"/>
        <v>0</v>
      </c>
      <c r="DY26" s="276">
        <f t="shared" si="44"/>
        <v>1</v>
      </c>
      <c r="DZ26" s="274">
        <v>336.7</v>
      </c>
      <c r="EA26" s="274"/>
      <c r="EB26" s="274">
        <v>336.7</v>
      </c>
      <c r="EC26" s="274"/>
      <c r="ED26" s="274"/>
      <c r="EE26" s="274"/>
      <c r="EF26" s="275">
        <f t="shared" si="45"/>
        <v>0</v>
      </c>
      <c r="EG26" s="276">
        <f t="shared" si="46"/>
        <v>1</v>
      </c>
      <c r="EH26" s="274">
        <v>334.5</v>
      </c>
      <c r="EI26" s="274"/>
      <c r="EJ26" s="274">
        <v>334.5</v>
      </c>
      <c r="EK26" s="274"/>
      <c r="EL26" s="274"/>
      <c r="EM26" s="274"/>
      <c r="EN26" s="275">
        <f t="shared" si="47"/>
        <v>0</v>
      </c>
      <c r="EO26" s="276">
        <f t="shared" si="48"/>
        <v>1</v>
      </c>
    </row>
    <row r="27" spans="1:145" ht="18.75" customHeight="1" x14ac:dyDescent="0.3">
      <c r="A27" s="14" t="s">
        <v>1574</v>
      </c>
      <c r="B27" s="224" t="s">
        <v>1367</v>
      </c>
      <c r="C27" s="234" t="s">
        <v>1575</v>
      </c>
      <c r="D27" s="234"/>
      <c r="E27" s="235"/>
      <c r="F27" s="232"/>
      <c r="G27" s="236"/>
      <c r="H27" s="243"/>
      <c r="I27" s="252"/>
      <c r="J27" s="275">
        <f t="shared" si="0"/>
        <v>3541.5</v>
      </c>
      <c r="K27" s="274"/>
      <c r="L27" s="275">
        <f t="shared" si="1"/>
        <v>3541.5</v>
      </c>
      <c r="M27" s="274"/>
      <c r="N27" s="275">
        <f t="shared" si="2"/>
        <v>1141.0189500000001</v>
      </c>
      <c r="O27" s="274"/>
      <c r="P27" s="275">
        <f t="shared" si="3"/>
        <v>0</v>
      </c>
      <c r="Q27" s="276">
        <f t="shared" si="4"/>
        <v>1</v>
      </c>
      <c r="R27" s="275">
        <f t="shared" si="5"/>
        <v>882.9</v>
      </c>
      <c r="S27" s="274"/>
      <c r="T27" s="275">
        <f t="shared" si="6"/>
        <v>882.9</v>
      </c>
      <c r="U27" s="274"/>
      <c r="V27" s="275">
        <f t="shared" si="7"/>
        <v>813.15497400000004</v>
      </c>
      <c r="W27" s="274"/>
      <c r="X27" s="275">
        <f t="shared" si="8"/>
        <v>0</v>
      </c>
      <c r="Y27" s="276">
        <f t="shared" si="9"/>
        <v>1</v>
      </c>
      <c r="Z27" s="274">
        <v>301.89999999999998</v>
      </c>
      <c r="AA27" s="274"/>
      <c r="AB27" s="274">
        <v>301.89999999999998</v>
      </c>
      <c r="AC27" s="274"/>
      <c r="AD27" s="274">
        <v>261.24288300000001</v>
      </c>
      <c r="AE27" s="274"/>
      <c r="AF27" s="275">
        <f t="shared" si="10"/>
        <v>0</v>
      </c>
      <c r="AG27" s="276">
        <f t="shared" si="11"/>
        <v>1</v>
      </c>
      <c r="AH27" s="274">
        <v>275.5</v>
      </c>
      <c r="AI27" s="274"/>
      <c r="AJ27" s="274">
        <v>275.5</v>
      </c>
      <c r="AK27" s="274"/>
      <c r="AL27" s="274">
        <v>314.88717100000002</v>
      </c>
      <c r="AM27" s="274"/>
      <c r="AN27" s="275">
        <f t="shared" si="12"/>
        <v>0</v>
      </c>
      <c r="AO27" s="276">
        <f t="shared" si="13"/>
        <v>1</v>
      </c>
      <c r="AP27" s="274">
        <v>305.5</v>
      </c>
      <c r="AQ27" s="274"/>
      <c r="AR27" s="274">
        <v>305.5</v>
      </c>
      <c r="AS27" s="274"/>
      <c r="AT27" s="274">
        <v>237.02492000000001</v>
      </c>
      <c r="AU27" s="274"/>
      <c r="AV27" s="275">
        <f t="shared" si="14"/>
        <v>0</v>
      </c>
      <c r="AW27" s="276">
        <f t="shared" si="15"/>
        <v>1</v>
      </c>
      <c r="AX27" s="275">
        <f t="shared" si="16"/>
        <v>666.9</v>
      </c>
      <c r="AY27" s="274"/>
      <c r="AZ27" s="275">
        <f t="shared" si="17"/>
        <v>666.9</v>
      </c>
      <c r="BA27" s="274"/>
      <c r="BB27" s="275">
        <f t="shared" si="18"/>
        <v>327.86397599999998</v>
      </c>
      <c r="BC27" s="274"/>
      <c r="BD27" s="275">
        <f t="shared" si="19"/>
        <v>0</v>
      </c>
      <c r="BE27" s="276">
        <f t="shared" si="20"/>
        <v>1</v>
      </c>
      <c r="BF27" s="274">
        <v>296.39999999999998</v>
      </c>
      <c r="BG27" s="274"/>
      <c r="BH27" s="274">
        <v>296.39999999999998</v>
      </c>
      <c r="BI27" s="274"/>
      <c r="BJ27" s="274">
        <v>184.615521</v>
      </c>
      <c r="BK27" s="274"/>
      <c r="BL27" s="275">
        <f t="shared" si="21"/>
        <v>0</v>
      </c>
      <c r="BM27" s="276">
        <f t="shared" si="22"/>
        <v>1</v>
      </c>
      <c r="BN27" s="274">
        <v>208</v>
      </c>
      <c r="BO27" s="274"/>
      <c r="BP27" s="274">
        <v>208</v>
      </c>
      <c r="BQ27" s="274"/>
      <c r="BR27" s="274">
        <v>78.649000000000001</v>
      </c>
      <c r="BS27" s="274"/>
      <c r="BT27" s="275">
        <f t="shared" si="23"/>
        <v>0</v>
      </c>
      <c r="BU27" s="276">
        <f t="shared" si="24"/>
        <v>1</v>
      </c>
      <c r="BV27" s="274">
        <v>162.5</v>
      </c>
      <c r="BW27" s="274"/>
      <c r="BX27" s="274">
        <v>162.5</v>
      </c>
      <c r="BY27" s="274"/>
      <c r="BZ27" s="274">
        <v>64.599455000000006</v>
      </c>
      <c r="CA27" s="274"/>
      <c r="CB27" s="275">
        <f t="shared" si="25"/>
        <v>0</v>
      </c>
      <c r="CC27" s="276">
        <f t="shared" si="26"/>
        <v>1</v>
      </c>
      <c r="CD27" s="275">
        <f t="shared" si="27"/>
        <v>1009.5</v>
      </c>
      <c r="CE27" s="274"/>
      <c r="CF27" s="275">
        <f t="shared" si="28"/>
        <v>1009.5</v>
      </c>
      <c r="CG27" s="274"/>
      <c r="CH27" s="275">
        <f t="shared" si="29"/>
        <v>0</v>
      </c>
      <c r="CI27" s="274"/>
      <c r="CJ27" s="275">
        <f t="shared" si="30"/>
        <v>0</v>
      </c>
      <c r="CK27" s="276">
        <f t="shared" si="31"/>
        <v>1</v>
      </c>
      <c r="CL27" s="274">
        <v>327.39999999999998</v>
      </c>
      <c r="CM27" s="274"/>
      <c r="CN27" s="274">
        <v>327.39999999999998</v>
      </c>
      <c r="CO27" s="274"/>
      <c r="CP27" s="274"/>
      <c r="CQ27" s="274"/>
      <c r="CR27" s="275">
        <f t="shared" si="32"/>
        <v>0</v>
      </c>
      <c r="CS27" s="276">
        <f t="shared" si="33"/>
        <v>1</v>
      </c>
      <c r="CT27" s="274">
        <v>352.3</v>
      </c>
      <c r="CU27" s="274"/>
      <c r="CV27" s="274">
        <v>352.3</v>
      </c>
      <c r="CW27" s="274"/>
      <c r="CX27" s="274"/>
      <c r="CY27" s="274"/>
      <c r="CZ27" s="275">
        <f t="shared" si="34"/>
        <v>0</v>
      </c>
      <c r="DA27" s="276">
        <f t="shared" si="35"/>
        <v>1</v>
      </c>
      <c r="DB27" s="274">
        <v>329.8</v>
      </c>
      <c r="DC27" s="274"/>
      <c r="DD27" s="274">
        <v>329.8</v>
      </c>
      <c r="DE27" s="274"/>
      <c r="DF27" s="274"/>
      <c r="DG27" s="274"/>
      <c r="DH27" s="275">
        <f t="shared" si="36"/>
        <v>0</v>
      </c>
      <c r="DI27" s="276">
        <f t="shared" si="37"/>
        <v>1</v>
      </c>
      <c r="DJ27" s="275">
        <f t="shared" si="38"/>
        <v>982.19999999999993</v>
      </c>
      <c r="DK27" s="274"/>
      <c r="DL27" s="275">
        <f t="shared" si="39"/>
        <v>982.19999999999993</v>
      </c>
      <c r="DM27" s="274"/>
      <c r="DN27" s="275">
        <f t="shared" si="40"/>
        <v>0</v>
      </c>
      <c r="DO27" s="274"/>
      <c r="DP27" s="275">
        <f t="shared" si="41"/>
        <v>0</v>
      </c>
      <c r="DQ27" s="276">
        <f t="shared" si="42"/>
        <v>1</v>
      </c>
      <c r="DR27" s="274">
        <v>325.5</v>
      </c>
      <c r="DS27" s="274"/>
      <c r="DT27" s="274">
        <v>325.5</v>
      </c>
      <c r="DU27" s="274"/>
      <c r="DV27" s="274"/>
      <c r="DW27" s="274"/>
      <c r="DX27" s="275">
        <f t="shared" si="43"/>
        <v>0</v>
      </c>
      <c r="DY27" s="276">
        <f t="shared" si="44"/>
        <v>1</v>
      </c>
      <c r="DZ27" s="274">
        <v>329.8</v>
      </c>
      <c r="EA27" s="274"/>
      <c r="EB27" s="274">
        <v>329.8</v>
      </c>
      <c r="EC27" s="274"/>
      <c r="ED27" s="274"/>
      <c r="EE27" s="274"/>
      <c r="EF27" s="275">
        <f t="shared" si="45"/>
        <v>0</v>
      </c>
      <c r="EG27" s="276">
        <f t="shared" si="46"/>
        <v>1</v>
      </c>
      <c r="EH27" s="274">
        <v>326.89999999999998</v>
      </c>
      <c r="EI27" s="274"/>
      <c r="EJ27" s="274">
        <v>326.89999999999998</v>
      </c>
      <c r="EK27" s="274"/>
      <c r="EL27" s="274"/>
      <c r="EM27" s="274"/>
      <c r="EN27" s="275">
        <f t="shared" si="47"/>
        <v>0</v>
      </c>
      <c r="EO27" s="276">
        <f t="shared" si="48"/>
        <v>1</v>
      </c>
    </row>
    <row r="28" spans="1:145" ht="18.75" customHeight="1" x14ac:dyDescent="0.3">
      <c r="A28" s="14" t="s">
        <v>1576</v>
      </c>
      <c r="B28" s="24" t="s">
        <v>1577</v>
      </c>
      <c r="C28" s="234"/>
      <c r="D28" s="234"/>
      <c r="E28" s="235">
        <v>6</v>
      </c>
      <c r="F28" s="232"/>
      <c r="G28" s="236"/>
      <c r="H28" s="243"/>
      <c r="I28" s="252"/>
      <c r="J28" s="275">
        <f t="shared" si="0"/>
        <v>0</v>
      </c>
      <c r="K28" s="274"/>
      <c r="L28" s="275">
        <f t="shared" si="1"/>
        <v>0</v>
      </c>
      <c r="M28" s="274"/>
      <c r="N28" s="275">
        <f t="shared" si="2"/>
        <v>0</v>
      </c>
      <c r="O28" s="274"/>
      <c r="P28" s="275">
        <f t="shared" si="3"/>
        <v>0</v>
      </c>
      <c r="Q28" s="276" t="str">
        <f t="shared" si="4"/>
        <v>-</v>
      </c>
      <c r="R28" s="275">
        <f t="shared" si="5"/>
        <v>0</v>
      </c>
      <c r="S28" s="274"/>
      <c r="T28" s="275">
        <f t="shared" si="6"/>
        <v>0</v>
      </c>
      <c r="U28" s="274"/>
      <c r="V28" s="275">
        <f t="shared" si="7"/>
        <v>0</v>
      </c>
      <c r="W28" s="274"/>
      <c r="X28" s="275">
        <f t="shared" si="8"/>
        <v>0</v>
      </c>
      <c r="Y28" s="276" t="str">
        <f t="shared" si="9"/>
        <v>-</v>
      </c>
      <c r="Z28" s="277"/>
      <c r="AA28" s="274"/>
      <c r="AB28" s="277"/>
      <c r="AC28" s="274"/>
      <c r="AD28" s="277"/>
      <c r="AE28" s="274"/>
      <c r="AF28" s="275">
        <f t="shared" si="10"/>
        <v>0</v>
      </c>
      <c r="AG28" s="276" t="str">
        <f t="shared" si="11"/>
        <v>-</v>
      </c>
      <c r="AH28" s="277"/>
      <c r="AI28" s="274"/>
      <c r="AJ28" s="277"/>
      <c r="AK28" s="274"/>
      <c r="AL28" s="277"/>
      <c r="AM28" s="274"/>
      <c r="AN28" s="275">
        <f t="shared" si="12"/>
        <v>0</v>
      </c>
      <c r="AO28" s="276" t="str">
        <f t="shared" si="13"/>
        <v>-</v>
      </c>
      <c r="AP28" s="277"/>
      <c r="AQ28" s="274"/>
      <c r="AR28" s="277"/>
      <c r="AS28" s="274"/>
      <c r="AT28" s="277"/>
      <c r="AU28" s="274"/>
      <c r="AV28" s="275">
        <f t="shared" si="14"/>
        <v>0</v>
      </c>
      <c r="AW28" s="276" t="str">
        <f t="shared" si="15"/>
        <v>-</v>
      </c>
      <c r="AX28" s="275">
        <f t="shared" si="16"/>
        <v>0</v>
      </c>
      <c r="AY28" s="274"/>
      <c r="AZ28" s="275">
        <f t="shared" si="17"/>
        <v>0</v>
      </c>
      <c r="BA28" s="274"/>
      <c r="BB28" s="275">
        <f t="shared" si="18"/>
        <v>0</v>
      </c>
      <c r="BC28" s="274"/>
      <c r="BD28" s="275">
        <f t="shared" si="19"/>
        <v>0</v>
      </c>
      <c r="BE28" s="276" t="str">
        <f t="shared" si="20"/>
        <v>-</v>
      </c>
      <c r="BF28" s="277"/>
      <c r="BG28" s="274"/>
      <c r="BH28" s="277"/>
      <c r="BI28" s="274"/>
      <c r="BJ28" s="277"/>
      <c r="BK28" s="274"/>
      <c r="BL28" s="275">
        <f t="shared" si="21"/>
        <v>0</v>
      </c>
      <c r="BM28" s="276" t="str">
        <f t="shared" si="22"/>
        <v>-</v>
      </c>
      <c r="BN28" s="277"/>
      <c r="BO28" s="274"/>
      <c r="BP28" s="277"/>
      <c r="BQ28" s="274"/>
      <c r="BR28" s="277"/>
      <c r="BS28" s="274"/>
      <c r="BT28" s="275">
        <f t="shared" si="23"/>
        <v>0</v>
      </c>
      <c r="BU28" s="276" t="str">
        <f t="shared" si="24"/>
        <v>-</v>
      </c>
      <c r="BV28" s="277"/>
      <c r="BW28" s="274"/>
      <c r="BX28" s="277"/>
      <c r="BY28" s="274"/>
      <c r="BZ28" s="277"/>
      <c r="CA28" s="274"/>
      <c r="CB28" s="275">
        <f t="shared" si="25"/>
        <v>0</v>
      </c>
      <c r="CC28" s="276" t="str">
        <f t="shared" si="26"/>
        <v>-</v>
      </c>
      <c r="CD28" s="275">
        <f t="shared" si="27"/>
        <v>0</v>
      </c>
      <c r="CE28" s="274"/>
      <c r="CF28" s="275">
        <f t="shared" si="28"/>
        <v>0</v>
      </c>
      <c r="CG28" s="274"/>
      <c r="CH28" s="275">
        <f t="shared" si="29"/>
        <v>0</v>
      </c>
      <c r="CI28" s="274"/>
      <c r="CJ28" s="275">
        <f t="shared" si="30"/>
        <v>0</v>
      </c>
      <c r="CK28" s="276" t="str">
        <f t="shared" si="31"/>
        <v>-</v>
      </c>
      <c r="CL28" s="277"/>
      <c r="CM28" s="274"/>
      <c r="CN28" s="277"/>
      <c r="CO28" s="274"/>
      <c r="CP28" s="277"/>
      <c r="CQ28" s="274"/>
      <c r="CR28" s="275">
        <f t="shared" si="32"/>
        <v>0</v>
      </c>
      <c r="CS28" s="276" t="str">
        <f t="shared" si="33"/>
        <v>-</v>
      </c>
      <c r="CT28" s="277"/>
      <c r="CU28" s="274"/>
      <c r="CV28" s="277"/>
      <c r="CW28" s="274"/>
      <c r="CX28" s="277"/>
      <c r="CY28" s="274"/>
      <c r="CZ28" s="275">
        <f t="shared" si="34"/>
        <v>0</v>
      </c>
      <c r="DA28" s="276" t="str">
        <f t="shared" si="35"/>
        <v>-</v>
      </c>
      <c r="DB28" s="277"/>
      <c r="DC28" s="274"/>
      <c r="DD28" s="277"/>
      <c r="DE28" s="274"/>
      <c r="DF28" s="277"/>
      <c r="DG28" s="274"/>
      <c r="DH28" s="275">
        <f t="shared" si="36"/>
        <v>0</v>
      </c>
      <c r="DI28" s="276" t="str">
        <f t="shared" si="37"/>
        <v>-</v>
      </c>
      <c r="DJ28" s="275">
        <f t="shared" si="38"/>
        <v>0</v>
      </c>
      <c r="DK28" s="274"/>
      <c r="DL28" s="275">
        <f t="shared" si="39"/>
        <v>0</v>
      </c>
      <c r="DM28" s="274"/>
      <c r="DN28" s="275">
        <f t="shared" si="40"/>
        <v>0</v>
      </c>
      <c r="DO28" s="274"/>
      <c r="DP28" s="275">
        <f t="shared" si="41"/>
        <v>0</v>
      </c>
      <c r="DQ28" s="276" t="str">
        <f t="shared" si="42"/>
        <v>-</v>
      </c>
      <c r="DR28" s="277"/>
      <c r="DS28" s="274"/>
      <c r="DT28" s="277"/>
      <c r="DU28" s="274"/>
      <c r="DV28" s="277"/>
      <c r="DW28" s="274"/>
      <c r="DX28" s="275">
        <f t="shared" si="43"/>
        <v>0</v>
      </c>
      <c r="DY28" s="276" t="str">
        <f t="shared" si="44"/>
        <v>-</v>
      </c>
      <c r="DZ28" s="277"/>
      <c r="EA28" s="274"/>
      <c r="EB28" s="277"/>
      <c r="EC28" s="274"/>
      <c r="ED28" s="277"/>
      <c r="EE28" s="274"/>
      <c r="EF28" s="275">
        <f t="shared" si="45"/>
        <v>0</v>
      </c>
      <c r="EG28" s="276" t="str">
        <f t="shared" si="46"/>
        <v>-</v>
      </c>
      <c r="EH28" s="277"/>
      <c r="EI28" s="274"/>
      <c r="EJ28" s="277"/>
      <c r="EK28" s="274"/>
      <c r="EL28" s="277"/>
      <c r="EM28" s="274"/>
      <c r="EN28" s="275">
        <f t="shared" si="47"/>
        <v>0</v>
      </c>
      <c r="EO28" s="276" t="str">
        <f t="shared" si="48"/>
        <v>-</v>
      </c>
    </row>
    <row r="29" spans="1:145" ht="37.5" customHeight="1" x14ac:dyDescent="0.3">
      <c r="A29" s="4">
        <v>4</v>
      </c>
      <c r="B29" s="265" t="s">
        <v>1578</v>
      </c>
      <c r="C29" s="234" t="s">
        <v>1579</v>
      </c>
      <c r="D29" s="234"/>
      <c r="E29" s="235"/>
      <c r="F29" s="232"/>
      <c r="G29" s="236"/>
      <c r="H29" s="243"/>
      <c r="I29" s="252"/>
      <c r="J29" s="275">
        <f t="shared" si="0"/>
        <v>10260.200000000001</v>
      </c>
      <c r="K29" s="274"/>
      <c r="L29" s="275">
        <f t="shared" si="1"/>
        <v>10260.200000000001</v>
      </c>
      <c r="M29" s="274"/>
      <c r="N29" s="275">
        <f t="shared" si="2"/>
        <v>2757.677377</v>
      </c>
      <c r="O29" s="274"/>
      <c r="P29" s="275">
        <f t="shared" si="3"/>
        <v>0</v>
      </c>
      <c r="Q29" s="276">
        <f t="shared" si="4"/>
        <v>1</v>
      </c>
      <c r="R29" s="275">
        <f t="shared" si="5"/>
        <v>2548.3000000000002</v>
      </c>
      <c r="S29" s="274"/>
      <c r="T29" s="275">
        <f t="shared" si="6"/>
        <v>2548.3000000000002</v>
      </c>
      <c r="U29" s="274"/>
      <c r="V29" s="275">
        <f t="shared" si="7"/>
        <v>1645.097309</v>
      </c>
      <c r="W29" s="274"/>
      <c r="X29" s="275">
        <f t="shared" si="8"/>
        <v>0</v>
      </c>
      <c r="Y29" s="276">
        <f t="shared" si="9"/>
        <v>1</v>
      </c>
      <c r="Z29" s="274">
        <v>878.2</v>
      </c>
      <c r="AA29" s="274"/>
      <c r="AB29" s="274">
        <v>878.2</v>
      </c>
      <c r="AC29" s="274"/>
      <c r="AD29" s="274">
        <v>620.63202200000001</v>
      </c>
      <c r="AE29" s="274"/>
      <c r="AF29" s="275">
        <f t="shared" si="10"/>
        <v>0</v>
      </c>
      <c r="AG29" s="276">
        <f t="shared" si="11"/>
        <v>1</v>
      </c>
      <c r="AH29" s="274">
        <v>793.2</v>
      </c>
      <c r="AI29" s="274"/>
      <c r="AJ29" s="274">
        <v>793.2</v>
      </c>
      <c r="AK29" s="274"/>
      <c r="AL29" s="274">
        <v>378.77720299999999</v>
      </c>
      <c r="AM29" s="274"/>
      <c r="AN29" s="275">
        <f t="shared" si="12"/>
        <v>0</v>
      </c>
      <c r="AO29" s="276">
        <f t="shared" si="13"/>
        <v>1</v>
      </c>
      <c r="AP29" s="274">
        <v>876.9</v>
      </c>
      <c r="AQ29" s="274"/>
      <c r="AR29" s="274">
        <v>876.9</v>
      </c>
      <c r="AS29" s="274"/>
      <c r="AT29" s="274">
        <v>645.688084</v>
      </c>
      <c r="AU29" s="274"/>
      <c r="AV29" s="275">
        <f t="shared" si="14"/>
        <v>0</v>
      </c>
      <c r="AW29" s="276">
        <f t="shared" si="15"/>
        <v>1</v>
      </c>
      <c r="AX29" s="275">
        <f t="shared" si="16"/>
        <v>1989</v>
      </c>
      <c r="AY29" s="274"/>
      <c r="AZ29" s="275">
        <f t="shared" si="17"/>
        <v>1989</v>
      </c>
      <c r="BA29" s="274"/>
      <c r="BB29" s="275">
        <f t="shared" si="18"/>
        <v>1112.580068</v>
      </c>
      <c r="BC29" s="274"/>
      <c r="BD29" s="275">
        <f t="shared" si="19"/>
        <v>0</v>
      </c>
      <c r="BE29" s="276">
        <f t="shared" si="20"/>
        <v>1</v>
      </c>
      <c r="BF29" s="274">
        <v>865.9</v>
      </c>
      <c r="BG29" s="274"/>
      <c r="BH29" s="274">
        <v>865.9</v>
      </c>
      <c r="BI29" s="274"/>
      <c r="BJ29" s="274">
        <v>648.09281999999996</v>
      </c>
      <c r="BK29" s="274"/>
      <c r="BL29" s="275">
        <f t="shared" si="21"/>
        <v>0</v>
      </c>
      <c r="BM29" s="276">
        <f t="shared" si="22"/>
        <v>1</v>
      </c>
      <c r="BN29" s="274">
        <v>618.5</v>
      </c>
      <c r="BO29" s="274"/>
      <c r="BP29" s="274">
        <v>618.5</v>
      </c>
      <c r="BQ29" s="274"/>
      <c r="BR29" s="274">
        <v>271.36383599999999</v>
      </c>
      <c r="BS29" s="274"/>
      <c r="BT29" s="275">
        <f t="shared" si="23"/>
        <v>0</v>
      </c>
      <c r="BU29" s="276">
        <f t="shared" si="24"/>
        <v>1</v>
      </c>
      <c r="BV29" s="274">
        <v>504.6</v>
      </c>
      <c r="BW29" s="274"/>
      <c r="BX29" s="274">
        <v>504.6</v>
      </c>
      <c r="BY29" s="274"/>
      <c r="BZ29" s="274">
        <v>193.123412</v>
      </c>
      <c r="CA29" s="274"/>
      <c r="CB29" s="275">
        <f t="shared" si="25"/>
        <v>0</v>
      </c>
      <c r="CC29" s="276">
        <f t="shared" si="26"/>
        <v>1</v>
      </c>
      <c r="CD29" s="275">
        <f t="shared" si="27"/>
        <v>2822</v>
      </c>
      <c r="CE29" s="274"/>
      <c r="CF29" s="275">
        <f t="shared" si="28"/>
        <v>2822</v>
      </c>
      <c r="CG29" s="274"/>
      <c r="CH29" s="275">
        <f t="shared" si="29"/>
        <v>0</v>
      </c>
      <c r="CI29" s="274"/>
      <c r="CJ29" s="275">
        <f t="shared" si="30"/>
        <v>0</v>
      </c>
      <c r="CK29" s="276">
        <f t="shared" si="31"/>
        <v>1</v>
      </c>
      <c r="CL29" s="274">
        <v>933.5</v>
      </c>
      <c r="CM29" s="274"/>
      <c r="CN29" s="274">
        <v>933.5</v>
      </c>
      <c r="CO29" s="274"/>
      <c r="CP29" s="274"/>
      <c r="CQ29" s="274"/>
      <c r="CR29" s="275">
        <f t="shared" si="32"/>
        <v>0</v>
      </c>
      <c r="CS29" s="276">
        <f t="shared" si="33"/>
        <v>1</v>
      </c>
      <c r="CT29" s="274">
        <v>931.1</v>
      </c>
      <c r="CU29" s="274"/>
      <c r="CV29" s="274">
        <v>931.1</v>
      </c>
      <c r="CW29" s="274"/>
      <c r="CX29" s="274"/>
      <c r="CY29" s="274"/>
      <c r="CZ29" s="275">
        <f t="shared" si="34"/>
        <v>0</v>
      </c>
      <c r="DA29" s="276">
        <f t="shared" si="35"/>
        <v>1</v>
      </c>
      <c r="DB29" s="274">
        <v>957.4</v>
      </c>
      <c r="DC29" s="274"/>
      <c r="DD29" s="274">
        <v>957.4</v>
      </c>
      <c r="DE29" s="274"/>
      <c r="DF29" s="274"/>
      <c r="DG29" s="274"/>
      <c r="DH29" s="275">
        <f t="shared" si="36"/>
        <v>0</v>
      </c>
      <c r="DI29" s="276">
        <f t="shared" si="37"/>
        <v>1</v>
      </c>
      <c r="DJ29" s="275">
        <f t="shared" si="38"/>
        <v>2900.9</v>
      </c>
      <c r="DK29" s="274"/>
      <c r="DL29" s="275">
        <f t="shared" si="39"/>
        <v>2900.9</v>
      </c>
      <c r="DM29" s="274"/>
      <c r="DN29" s="275">
        <f t="shared" si="40"/>
        <v>0</v>
      </c>
      <c r="DO29" s="274"/>
      <c r="DP29" s="275">
        <f t="shared" si="41"/>
        <v>0</v>
      </c>
      <c r="DQ29" s="276">
        <f t="shared" si="42"/>
        <v>1</v>
      </c>
      <c r="DR29" s="274">
        <v>985.4</v>
      </c>
      <c r="DS29" s="274"/>
      <c r="DT29" s="274">
        <v>985.4</v>
      </c>
      <c r="DU29" s="274"/>
      <c r="DV29" s="274"/>
      <c r="DW29" s="274"/>
      <c r="DX29" s="275">
        <f t="shared" si="43"/>
        <v>0</v>
      </c>
      <c r="DY29" s="276">
        <f t="shared" si="44"/>
        <v>1</v>
      </c>
      <c r="DZ29" s="274">
        <v>939.5</v>
      </c>
      <c r="EA29" s="274"/>
      <c r="EB29" s="274">
        <v>939.5</v>
      </c>
      <c r="EC29" s="274"/>
      <c r="ED29" s="274"/>
      <c r="EE29" s="274"/>
      <c r="EF29" s="275">
        <f t="shared" si="45"/>
        <v>0</v>
      </c>
      <c r="EG29" s="276">
        <f t="shared" si="46"/>
        <v>1</v>
      </c>
      <c r="EH29" s="274">
        <v>976</v>
      </c>
      <c r="EI29" s="274"/>
      <c r="EJ29" s="274">
        <v>976</v>
      </c>
      <c r="EK29" s="274"/>
      <c r="EL29" s="274"/>
      <c r="EM29" s="274"/>
      <c r="EN29" s="275">
        <f t="shared" si="47"/>
        <v>0</v>
      </c>
      <c r="EO29" s="276">
        <f t="shared" si="48"/>
        <v>1</v>
      </c>
    </row>
    <row r="30" spans="1:145" ht="18.75" x14ac:dyDescent="0.3">
      <c r="A30" s="319" t="s">
        <v>1580</v>
      </c>
      <c r="B30" s="320" t="s">
        <v>1581</v>
      </c>
      <c r="C30" s="234" t="s">
        <v>1582</v>
      </c>
      <c r="D30" s="234"/>
      <c r="E30" s="235"/>
      <c r="F30" s="232"/>
      <c r="G30" s="236"/>
      <c r="H30" s="243"/>
      <c r="I30" s="252"/>
      <c r="J30" s="275">
        <f t="shared" si="0"/>
        <v>3682.1000000000004</v>
      </c>
      <c r="K30" s="274"/>
      <c r="L30" s="275">
        <f t="shared" si="1"/>
        <v>3682.1000000000004</v>
      </c>
      <c r="M30" s="274"/>
      <c r="N30" s="275">
        <f t="shared" si="2"/>
        <v>883.97644300000002</v>
      </c>
      <c r="O30" s="274"/>
      <c r="P30" s="275">
        <f t="shared" si="3"/>
        <v>0</v>
      </c>
      <c r="Q30" s="276">
        <f t="shared" si="4"/>
        <v>1</v>
      </c>
      <c r="R30" s="275">
        <f t="shared" si="5"/>
        <v>900.5</v>
      </c>
      <c r="S30" s="274"/>
      <c r="T30" s="275">
        <f t="shared" si="6"/>
        <v>900.5</v>
      </c>
      <c r="U30" s="274"/>
      <c r="V30" s="275">
        <f t="shared" si="7"/>
        <v>498.25885899999997</v>
      </c>
      <c r="W30" s="274"/>
      <c r="X30" s="275">
        <f t="shared" si="8"/>
        <v>0</v>
      </c>
      <c r="Y30" s="276">
        <f t="shared" si="9"/>
        <v>1</v>
      </c>
      <c r="Z30" s="274">
        <v>311</v>
      </c>
      <c r="AA30" s="274"/>
      <c r="AB30" s="274">
        <v>311</v>
      </c>
      <c r="AC30" s="274"/>
      <c r="AD30" s="274">
        <v>203.70835299999999</v>
      </c>
      <c r="AE30" s="274"/>
      <c r="AF30" s="275">
        <f t="shared" si="10"/>
        <v>0</v>
      </c>
      <c r="AG30" s="276">
        <f t="shared" si="11"/>
        <v>1</v>
      </c>
      <c r="AH30" s="274">
        <v>280.7</v>
      </c>
      <c r="AI30" s="274"/>
      <c r="AJ30" s="274">
        <v>280.7</v>
      </c>
      <c r="AK30" s="274"/>
      <c r="AL30" s="274">
        <v>63.946823000000002</v>
      </c>
      <c r="AM30" s="274"/>
      <c r="AN30" s="275">
        <f t="shared" si="12"/>
        <v>0</v>
      </c>
      <c r="AO30" s="276">
        <f t="shared" si="13"/>
        <v>1</v>
      </c>
      <c r="AP30" s="274">
        <v>308.8</v>
      </c>
      <c r="AQ30" s="274"/>
      <c r="AR30" s="274">
        <v>308.8</v>
      </c>
      <c r="AS30" s="274"/>
      <c r="AT30" s="274">
        <v>230.60368299999999</v>
      </c>
      <c r="AU30" s="274"/>
      <c r="AV30" s="275">
        <f t="shared" si="14"/>
        <v>0</v>
      </c>
      <c r="AW30" s="276">
        <f t="shared" si="15"/>
        <v>1</v>
      </c>
      <c r="AX30" s="275">
        <f t="shared" si="16"/>
        <v>724.00000000000011</v>
      </c>
      <c r="AY30" s="274"/>
      <c r="AZ30" s="275">
        <f t="shared" si="17"/>
        <v>724.00000000000011</v>
      </c>
      <c r="BA30" s="274"/>
      <c r="BB30" s="275">
        <f t="shared" si="18"/>
        <v>385.71758399999999</v>
      </c>
      <c r="BC30" s="274"/>
      <c r="BD30" s="275">
        <f t="shared" si="19"/>
        <v>0</v>
      </c>
      <c r="BE30" s="276">
        <f t="shared" si="20"/>
        <v>1</v>
      </c>
      <c r="BF30" s="274">
        <v>314.10000000000002</v>
      </c>
      <c r="BG30" s="274"/>
      <c r="BH30" s="274">
        <v>314.10000000000002</v>
      </c>
      <c r="BI30" s="274"/>
      <c r="BJ30" s="274">
        <v>240.61238599999999</v>
      </c>
      <c r="BK30" s="274"/>
      <c r="BL30" s="275">
        <f t="shared" si="21"/>
        <v>0</v>
      </c>
      <c r="BM30" s="276">
        <f t="shared" si="22"/>
        <v>1</v>
      </c>
      <c r="BN30" s="274">
        <v>225.8</v>
      </c>
      <c r="BO30" s="274"/>
      <c r="BP30" s="274">
        <v>225.8</v>
      </c>
      <c r="BQ30" s="274"/>
      <c r="BR30" s="274">
        <v>89.595836000000006</v>
      </c>
      <c r="BS30" s="274"/>
      <c r="BT30" s="275">
        <f t="shared" si="23"/>
        <v>0</v>
      </c>
      <c r="BU30" s="276">
        <f t="shared" si="24"/>
        <v>1</v>
      </c>
      <c r="BV30" s="274">
        <v>184.1</v>
      </c>
      <c r="BW30" s="274"/>
      <c r="BX30" s="274">
        <v>184.1</v>
      </c>
      <c r="BY30" s="274"/>
      <c r="BZ30" s="274">
        <v>55.509362000000003</v>
      </c>
      <c r="CA30" s="274"/>
      <c r="CB30" s="275">
        <f t="shared" si="25"/>
        <v>0</v>
      </c>
      <c r="CC30" s="276">
        <f t="shared" si="26"/>
        <v>1</v>
      </c>
      <c r="CD30" s="275">
        <f t="shared" si="27"/>
        <v>1027.6000000000001</v>
      </c>
      <c r="CE30" s="274"/>
      <c r="CF30" s="275">
        <f t="shared" si="28"/>
        <v>1027.6000000000001</v>
      </c>
      <c r="CG30" s="274"/>
      <c r="CH30" s="275">
        <f t="shared" si="29"/>
        <v>0</v>
      </c>
      <c r="CI30" s="274"/>
      <c r="CJ30" s="275">
        <f t="shared" si="30"/>
        <v>0</v>
      </c>
      <c r="CK30" s="276">
        <f t="shared" si="31"/>
        <v>1</v>
      </c>
      <c r="CL30" s="274">
        <v>342.1</v>
      </c>
      <c r="CM30" s="274"/>
      <c r="CN30" s="274">
        <v>342.1</v>
      </c>
      <c r="CO30" s="274"/>
      <c r="CP30" s="274"/>
      <c r="CQ30" s="274"/>
      <c r="CR30" s="275">
        <f t="shared" si="32"/>
        <v>0</v>
      </c>
      <c r="CS30" s="276">
        <f t="shared" si="33"/>
        <v>1</v>
      </c>
      <c r="CT30" s="274">
        <v>338.3</v>
      </c>
      <c r="CU30" s="274"/>
      <c r="CV30" s="274">
        <v>338.3</v>
      </c>
      <c r="CW30" s="274"/>
      <c r="CX30" s="274"/>
      <c r="CY30" s="274"/>
      <c r="CZ30" s="275">
        <f t="shared" si="34"/>
        <v>0</v>
      </c>
      <c r="DA30" s="276">
        <f t="shared" si="35"/>
        <v>1</v>
      </c>
      <c r="DB30" s="274">
        <v>347.2</v>
      </c>
      <c r="DC30" s="274"/>
      <c r="DD30" s="274">
        <v>347.2</v>
      </c>
      <c r="DE30" s="274"/>
      <c r="DF30" s="274"/>
      <c r="DG30" s="274"/>
      <c r="DH30" s="275">
        <f t="shared" si="36"/>
        <v>0</v>
      </c>
      <c r="DI30" s="276">
        <f t="shared" si="37"/>
        <v>1</v>
      </c>
      <c r="DJ30" s="275">
        <f t="shared" si="38"/>
        <v>1030</v>
      </c>
      <c r="DK30" s="274"/>
      <c r="DL30" s="275">
        <f t="shared" si="39"/>
        <v>1030</v>
      </c>
      <c r="DM30" s="274"/>
      <c r="DN30" s="275">
        <f t="shared" si="40"/>
        <v>0</v>
      </c>
      <c r="DO30" s="274"/>
      <c r="DP30" s="275">
        <f t="shared" si="41"/>
        <v>0</v>
      </c>
      <c r="DQ30" s="276">
        <f t="shared" si="42"/>
        <v>1</v>
      </c>
      <c r="DR30" s="274">
        <v>354.3</v>
      </c>
      <c r="DS30" s="274"/>
      <c r="DT30" s="274">
        <v>354.3</v>
      </c>
      <c r="DU30" s="274"/>
      <c r="DV30" s="274"/>
      <c r="DW30" s="274"/>
      <c r="DX30" s="275">
        <f t="shared" si="43"/>
        <v>0</v>
      </c>
      <c r="DY30" s="276">
        <f t="shared" si="44"/>
        <v>1</v>
      </c>
      <c r="DZ30" s="274">
        <v>328.6</v>
      </c>
      <c r="EA30" s="274"/>
      <c r="EB30" s="274">
        <v>328.6</v>
      </c>
      <c r="EC30" s="274"/>
      <c r="ED30" s="274"/>
      <c r="EE30" s="274"/>
      <c r="EF30" s="275">
        <f t="shared" si="45"/>
        <v>0</v>
      </c>
      <c r="EG30" s="276">
        <f t="shared" si="46"/>
        <v>1</v>
      </c>
      <c r="EH30" s="274">
        <v>347.1</v>
      </c>
      <c r="EI30" s="274"/>
      <c r="EJ30" s="274">
        <v>347.1</v>
      </c>
      <c r="EK30" s="274"/>
      <c r="EL30" s="274"/>
      <c r="EM30" s="274"/>
      <c r="EN30" s="275">
        <f t="shared" si="47"/>
        <v>0</v>
      </c>
      <c r="EO30" s="276">
        <f t="shared" si="48"/>
        <v>1</v>
      </c>
    </row>
    <row r="31" spans="1:145" ht="18.75" x14ac:dyDescent="0.3">
      <c r="A31" s="280"/>
      <c r="B31" s="280"/>
      <c r="C31" s="234" t="s">
        <v>1583</v>
      </c>
      <c r="D31" s="234"/>
      <c r="E31" s="235"/>
      <c r="F31" s="232"/>
      <c r="G31" s="236"/>
      <c r="H31" s="243"/>
      <c r="I31" s="252"/>
      <c r="J31" s="275">
        <f t="shared" si="0"/>
        <v>5308.6</v>
      </c>
      <c r="K31" s="274"/>
      <c r="L31" s="275">
        <f t="shared" si="1"/>
        <v>5308.6</v>
      </c>
      <c r="M31" s="274"/>
      <c r="N31" s="275">
        <f t="shared" si="2"/>
        <v>1270.4963230000001</v>
      </c>
      <c r="O31" s="274"/>
      <c r="P31" s="275">
        <f t="shared" si="3"/>
        <v>0</v>
      </c>
      <c r="Q31" s="276">
        <f t="shared" si="4"/>
        <v>1</v>
      </c>
      <c r="R31" s="275">
        <f t="shared" si="5"/>
        <v>1298.3999999999999</v>
      </c>
      <c r="S31" s="274"/>
      <c r="T31" s="275">
        <f t="shared" si="6"/>
        <v>1298.3999999999999</v>
      </c>
      <c r="U31" s="274"/>
      <c r="V31" s="275">
        <f t="shared" si="7"/>
        <v>715.07832400000007</v>
      </c>
      <c r="W31" s="274"/>
      <c r="X31" s="275">
        <f t="shared" si="8"/>
        <v>0</v>
      </c>
      <c r="Y31" s="276">
        <f t="shared" si="9"/>
        <v>1</v>
      </c>
      <c r="Z31" s="274">
        <v>448.4</v>
      </c>
      <c r="AA31" s="274"/>
      <c r="AB31" s="274">
        <v>448.4</v>
      </c>
      <c r="AC31" s="274"/>
      <c r="AD31" s="274">
        <v>293.06337600000001</v>
      </c>
      <c r="AE31" s="274"/>
      <c r="AF31" s="275">
        <f t="shared" si="10"/>
        <v>0</v>
      </c>
      <c r="AG31" s="276">
        <f t="shared" si="11"/>
        <v>1</v>
      </c>
      <c r="AH31" s="274">
        <v>404.7</v>
      </c>
      <c r="AI31" s="274"/>
      <c r="AJ31" s="274">
        <v>404.7</v>
      </c>
      <c r="AK31" s="274"/>
      <c r="AL31" s="274">
        <v>90.885194999999996</v>
      </c>
      <c r="AM31" s="274"/>
      <c r="AN31" s="275">
        <f t="shared" si="12"/>
        <v>0</v>
      </c>
      <c r="AO31" s="276">
        <f t="shared" si="13"/>
        <v>1</v>
      </c>
      <c r="AP31" s="274">
        <v>445.3</v>
      </c>
      <c r="AQ31" s="274"/>
      <c r="AR31" s="274">
        <v>445.3</v>
      </c>
      <c r="AS31" s="274"/>
      <c r="AT31" s="274">
        <v>331.12975299999999</v>
      </c>
      <c r="AU31" s="274"/>
      <c r="AV31" s="275">
        <f t="shared" si="14"/>
        <v>0</v>
      </c>
      <c r="AW31" s="276">
        <f t="shared" si="15"/>
        <v>1</v>
      </c>
      <c r="AX31" s="275">
        <f t="shared" si="16"/>
        <v>1043.7</v>
      </c>
      <c r="AY31" s="274"/>
      <c r="AZ31" s="275">
        <f t="shared" si="17"/>
        <v>1043.7</v>
      </c>
      <c r="BA31" s="274"/>
      <c r="BB31" s="275">
        <f t="shared" si="18"/>
        <v>555.41799900000001</v>
      </c>
      <c r="BC31" s="274"/>
      <c r="BD31" s="275">
        <f t="shared" si="19"/>
        <v>0</v>
      </c>
      <c r="BE31" s="276">
        <f t="shared" si="20"/>
        <v>1</v>
      </c>
      <c r="BF31" s="274">
        <v>452.9</v>
      </c>
      <c r="BG31" s="274"/>
      <c r="BH31" s="274">
        <v>452.9</v>
      </c>
      <c r="BI31" s="274"/>
      <c r="BJ31" s="274">
        <v>346.039379</v>
      </c>
      <c r="BK31" s="274"/>
      <c r="BL31" s="275">
        <f t="shared" si="21"/>
        <v>0</v>
      </c>
      <c r="BM31" s="276">
        <f t="shared" si="22"/>
        <v>1</v>
      </c>
      <c r="BN31" s="274">
        <v>325.5</v>
      </c>
      <c r="BO31" s="274"/>
      <c r="BP31" s="274">
        <v>325.5</v>
      </c>
      <c r="BQ31" s="274"/>
      <c r="BR31" s="274">
        <v>129.185956</v>
      </c>
      <c r="BS31" s="274"/>
      <c r="BT31" s="275">
        <f t="shared" si="23"/>
        <v>0</v>
      </c>
      <c r="BU31" s="276">
        <f t="shared" si="24"/>
        <v>1</v>
      </c>
      <c r="BV31" s="274">
        <v>265.3</v>
      </c>
      <c r="BW31" s="274"/>
      <c r="BX31" s="274">
        <v>265.3</v>
      </c>
      <c r="BY31" s="274"/>
      <c r="BZ31" s="274">
        <v>80.192663999999994</v>
      </c>
      <c r="CA31" s="274"/>
      <c r="CB31" s="275">
        <f t="shared" si="25"/>
        <v>0</v>
      </c>
      <c r="CC31" s="276">
        <f t="shared" si="26"/>
        <v>1</v>
      </c>
      <c r="CD31" s="275">
        <f t="shared" si="27"/>
        <v>1481.6</v>
      </c>
      <c r="CE31" s="274"/>
      <c r="CF31" s="275">
        <f t="shared" si="28"/>
        <v>1481.6</v>
      </c>
      <c r="CG31" s="274"/>
      <c r="CH31" s="275">
        <f t="shared" si="29"/>
        <v>0</v>
      </c>
      <c r="CI31" s="274"/>
      <c r="CJ31" s="275">
        <f t="shared" si="30"/>
        <v>0</v>
      </c>
      <c r="CK31" s="276">
        <f t="shared" si="31"/>
        <v>1</v>
      </c>
      <c r="CL31" s="274">
        <v>493.2</v>
      </c>
      <c r="CM31" s="274"/>
      <c r="CN31" s="274">
        <v>493.2</v>
      </c>
      <c r="CO31" s="274"/>
      <c r="CP31" s="274"/>
      <c r="CQ31" s="274"/>
      <c r="CR31" s="275">
        <f t="shared" si="32"/>
        <v>0</v>
      </c>
      <c r="CS31" s="276">
        <f t="shared" si="33"/>
        <v>1</v>
      </c>
      <c r="CT31" s="274">
        <v>487.8</v>
      </c>
      <c r="CU31" s="274"/>
      <c r="CV31" s="274">
        <v>487.8</v>
      </c>
      <c r="CW31" s="274"/>
      <c r="CX31" s="274"/>
      <c r="CY31" s="274"/>
      <c r="CZ31" s="275">
        <f t="shared" si="34"/>
        <v>0</v>
      </c>
      <c r="DA31" s="276">
        <f t="shared" si="35"/>
        <v>1</v>
      </c>
      <c r="DB31" s="274">
        <v>500.6</v>
      </c>
      <c r="DC31" s="274"/>
      <c r="DD31" s="274">
        <v>500.6</v>
      </c>
      <c r="DE31" s="274"/>
      <c r="DF31" s="274"/>
      <c r="DG31" s="274"/>
      <c r="DH31" s="275">
        <f t="shared" si="36"/>
        <v>0</v>
      </c>
      <c r="DI31" s="276">
        <f t="shared" si="37"/>
        <v>1</v>
      </c>
      <c r="DJ31" s="275">
        <f t="shared" si="38"/>
        <v>1484.9</v>
      </c>
      <c r="DK31" s="274"/>
      <c r="DL31" s="275">
        <f t="shared" si="39"/>
        <v>1484.9</v>
      </c>
      <c r="DM31" s="274"/>
      <c r="DN31" s="275">
        <f t="shared" si="40"/>
        <v>0</v>
      </c>
      <c r="DO31" s="274"/>
      <c r="DP31" s="275">
        <f t="shared" si="41"/>
        <v>0</v>
      </c>
      <c r="DQ31" s="276">
        <f t="shared" si="42"/>
        <v>1</v>
      </c>
      <c r="DR31" s="274">
        <v>510.8</v>
      </c>
      <c r="DS31" s="274"/>
      <c r="DT31" s="274">
        <v>510.8</v>
      </c>
      <c r="DU31" s="274"/>
      <c r="DV31" s="274"/>
      <c r="DW31" s="274"/>
      <c r="DX31" s="275">
        <f t="shared" si="43"/>
        <v>0</v>
      </c>
      <c r="DY31" s="276">
        <f t="shared" si="44"/>
        <v>1</v>
      </c>
      <c r="DZ31" s="274">
        <v>473.8</v>
      </c>
      <c r="EA31" s="274"/>
      <c r="EB31" s="274">
        <v>473.8</v>
      </c>
      <c r="EC31" s="274"/>
      <c r="ED31" s="274"/>
      <c r="EE31" s="274"/>
      <c r="EF31" s="275">
        <f t="shared" si="45"/>
        <v>0</v>
      </c>
      <c r="EG31" s="276">
        <f t="shared" si="46"/>
        <v>1</v>
      </c>
      <c r="EH31" s="274">
        <v>500.3</v>
      </c>
      <c r="EI31" s="274"/>
      <c r="EJ31" s="274">
        <v>500.3</v>
      </c>
      <c r="EK31" s="274"/>
      <c r="EL31" s="274"/>
      <c r="EM31" s="274"/>
      <c r="EN31" s="275">
        <f t="shared" si="47"/>
        <v>0</v>
      </c>
      <c r="EO31" s="276">
        <f t="shared" si="48"/>
        <v>1</v>
      </c>
    </row>
    <row r="32" spans="1:145" ht="18.75" x14ac:dyDescent="0.3">
      <c r="A32" s="318" t="s">
        <v>1584</v>
      </c>
      <c r="B32" s="315" t="s">
        <v>1585</v>
      </c>
      <c r="C32" s="234" t="s">
        <v>1586</v>
      </c>
      <c r="D32" s="234"/>
      <c r="E32" s="235"/>
      <c r="F32" s="232"/>
      <c r="G32" s="236"/>
      <c r="H32" s="243"/>
      <c r="I32" s="252"/>
      <c r="J32" s="275">
        <f t="shared" si="0"/>
        <v>3363.2000000000003</v>
      </c>
      <c r="K32" s="274"/>
      <c r="L32" s="275">
        <f t="shared" si="1"/>
        <v>3363.2000000000003</v>
      </c>
      <c r="M32" s="274"/>
      <c r="N32" s="275">
        <f t="shared" si="2"/>
        <v>802.62980900000002</v>
      </c>
      <c r="O32" s="274"/>
      <c r="P32" s="275">
        <f t="shared" si="3"/>
        <v>0</v>
      </c>
      <c r="Q32" s="276">
        <f t="shared" si="4"/>
        <v>1</v>
      </c>
      <c r="R32" s="275">
        <f t="shared" si="5"/>
        <v>818.9</v>
      </c>
      <c r="S32" s="274"/>
      <c r="T32" s="275">
        <f t="shared" si="6"/>
        <v>818.9</v>
      </c>
      <c r="U32" s="274"/>
      <c r="V32" s="275">
        <f t="shared" si="7"/>
        <v>444.947407</v>
      </c>
      <c r="W32" s="274"/>
      <c r="X32" s="275">
        <f t="shared" si="8"/>
        <v>0</v>
      </c>
      <c r="Y32" s="276">
        <f t="shared" si="9"/>
        <v>1</v>
      </c>
      <c r="Z32" s="274">
        <v>282.7</v>
      </c>
      <c r="AA32" s="274"/>
      <c r="AB32" s="274">
        <v>282.7</v>
      </c>
      <c r="AC32" s="274"/>
      <c r="AD32" s="274">
        <v>184.44954200000001</v>
      </c>
      <c r="AE32" s="274"/>
      <c r="AF32" s="275">
        <f t="shared" si="10"/>
        <v>0</v>
      </c>
      <c r="AG32" s="276">
        <f t="shared" si="11"/>
        <v>1</v>
      </c>
      <c r="AH32" s="274">
        <v>255.1</v>
      </c>
      <c r="AI32" s="274"/>
      <c r="AJ32" s="274">
        <v>255.1</v>
      </c>
      <c r="AK32" s="274"/>
      <c r="AL32" s="274">
        <v>52.758929999999999</v>
      </c>
      <c r="AM32" s="274"/>
      <c r="AN32" s="275">
        <f t="shared" si="12"/>
        <v>0</v>
      </c>
      <c r="AO32" s="276">
        <f t="shared" si="13"/>
        <v>1</v>
      </c>
      <c r="AP32" s="274">
        <v>281.10000000000002</v>
      </c>
      <c r="AQ32" s="274"/>
      <c r="AR32" s="274">
        <v>281.10000000000002</v>
      </c>
      <c r="AS32" s="274"/>
      <c r="AT32" s="274">
        <v>207.738935</v>
      </c>
      <c r="AU32" s="274"/>
      <c r="AV32" s="275">
        <f t="shared" si="14"/>
        <v>0</v>
      </c>
      <c r="AW32" s="276">
        <f t="shared" si="15"/>
        <v>1</v>
      </c>
      <c r="AX32" s="275">
        <f t="shared" si="16"/>
        <v>655</v>
      </c>
      <c r="AY32" s="274"/>
      <c r="AZ32" s="275">
        <f t="shared" si="17"/>
        <v>655</v>
      </c>
      <c r="BA32" s="274"/>
      <c r="BB32" s="275">
        <f t="shared" si="18"/>
        <v>357.68240199999997</v>
      </c>
      <c r="BC32" s="274"/>
      <c r="BD32" s="275">
        <f t="shared" si="19"/>
        <v>0</v>
      </c>
      <c r="BE32" s="276">
        <f t="shared" si="20"/>
        <v>1</v>
      </c>
      <c r="BF32" s="274">
        <v>288.3</v>
      </c>
      <c r="BG32" s="274"/>
      <c r="BH32" s="274">
        <v>288.3</v>
      </c>
      <c r="BI32" s="274"/>
      <c r="BJ32" s="274">
        <v>220.018269</v>
      </c>
      <c r="BK32" s="274"/>
      <c r="BL32" s="275">
        <f t="shared" si="21"/>
        <v>0</v>
      </c>
      <c r="BM32" s="276">
        <f t="shared" si="22"/>
        <v>1</v>
      </c>
      <c r="BN32" s="274">
        <v>203.1</v>
      </c>
      <c r="BO32" s="274"/>
      <c r="BP32" s="274">
        <v>203.1</v>
      </c>
      <c r="BQ32" s="274"/>
      <c r="BR32" s="274">
        <v>85.661017000000001</v>
      </c>
      <c r="BS32" s="274"/>
      <c r="BT32" s="275">
        <f t="shared" si="23"/>
        <v>0</v>
      </c>
      <c r="BU32" s="276">
        <f t="shared" si="24"/>
        <v>1</v>
      </c>
      <c r="BV32" s="274">
        <v>163.6</v>
      </c>
      <c r="BW32" s="274"/>
      <c r="BX32" s="274">
        <v>163.6</v>
      </c>
      <c r="BY32" s="274"/>
      <c r="BZ32" s="274">
        <v>52.003115999999999</v>
      </c>
      <c r="CA32" s="274"/>
      <c r="CB32" s="275">
        <f t="shared" si="25"/>
        <v>0</v>
      </c>
      <c r="CC32" s="276">
        <f t="shared" si="26"/>
        <v>1</v>
      </c>
      <c r="CD32" s="275">
        <f t="shared" si="27"/>
        <v>945.90000000000009</v>
      </c>
      <c r="CE32" s="274"/>
      <c r="CF32" s="275">
        <f t="shared" si="28"/>
        <v>945.90000000000009</v>
      </c>
      <c r="CG32" s="274"/>
      <c r="CH32" s="275">
        <f t="shared" si="29"/>
        <v>0</v>
      </c>
      <c r="CI32" s="274"/>
      <c r="CJ32" s="275">
        <f t="shared" si="30"/>
        <v>0</v>
      </c>
      <c r="CK32" s="276">
        <f t="shared" si="31"/>
        <v>1</v>
      </c>
      <c r="CL32" s="274">
        <v>314.3</v>
      </c>
      <c r="CM32" s="274"/>
      <c r="CN32" s="274">
        <v>314.3</v>
      </c>
      <c r="CO32" s="274"/>
      <c r="CP32" s="274"/>
      <c r="CQ32" s="274"/>
      <c r="CR32" s="275">
        <f t="shared" si="32"/>
        <v>0</v>
      </c>
      <c r="CS32" s="276">
        <f t="shared" si="33"/>
        <v>1</v>
      </c>
      <c r="CT32" s="274">
        <v>311.60000000000002</v>
      </c>
      <c r="CU32" s="274"/>
      <c r="CV32" s="274">
        <v>311.60000000000002</v>
      </c>
      <c r="CW32" s="274"/>
      <c r="CX32" s="274"/>
      <c r="CY32" s="274"/>
      <c r="CZ32" s="275">
        <f t="shared" si="34"/>
        <v>0</v>
      </c>
      <c r="DA32" s="276">
        <f t="shared" si="35"/>
        <v>1</v>
      </c>
      <c r="DB32" s="274">
        <v>320</v>
      </c>
      <c r="DC32" s="274"/>
      <c r="DD32" s="274">
        <v>320</v>
      </c>
      <c r="DE32" s="274"/>
      <c r="DF32" s="274"/>
      <c r="DG32" s="274"/>
      <c r="DH32" s="275">
        <f t="shared" si="36"/>
        <v>0</v>
      </c>
      <c r="DI32" s="276">
        <f t="shared" si="37"/>
        <v>1</v>
      </c>
      <c r="DJ32" s="275">
        <f t="shared" si="38"/>
        <v>943.4</v>
      </c>
      <c r="DK32" s="274"/>
      <c r="DL32" s="275">
        <f t="shared" si="39"/>
        <v>943.4</v>
      </c>
      <c r="DM32" s="274"/>
      <c r="DN32" s="275">
        <f t="shared" si="40"/>
        <v>0</v>
      </c>
      <c r="DO32" s="274"/>
      <c r="DP32" s="275">
        <f t="shared" si="41"/>
        <v>0</v>
      </c>
      <c r="DQ32" s="276">
        <f t="shared" si="42"/>
        <v>1</v>
      </c>
      <c r="DR32" s="274">
        <v>325.39999999999998</v>
      </c>
      <c r="DS32" s="274"/>
      <c r="DT32" s="274">
        <v>325.39999999999998</v>
      </c>
      <c r="DU32" s="274"/>
      <c r="DV32" s="274"/>
      <c r="DW32" s="274"/>
      <c r="DX32" s="275">
        <f t="shared" si="43"/>
        <v>0</v>
      </c>
      <c r="DY32" s="276">
        <f t="shared" si="44"/>
        <v>1</v>
      </c>
      <c r="DZ32" s="274">
        <v>300.60000000000002</v>
      </c>
      <c r="EA32" s="274"/>
      <c r="EB32" s="274">
        <v>300.60000000000002</v>
      </c>
      <c r="EC32" s="274"/>
      <c r="ED32" s="274"/>
      <c r="EE32" s="274"/>
      <c r="EF32" s="275">
        <f t="shared" si="45"/>
        <v>0</v>
      </c>
      <c r="EG32" s="276">
        <f t="shared" si="46"/>
        <v>1</v>
      </c>
      <c r="EH32" s="274">
        <v>317.39999999999998</v>
      </c>
      <c r="EI32" s="274"/>
      <c r="EJ32" s="274">
        <v>317.39999999999998</v>
      </c>
      <c r="EK32" s="274"/>
      <c r="EL32" s="274"/>
      <c r="EM32" s="274"/>
      <c r="EN32" s="275">
        <f t="shared" si="47"/>
        <v>0</v>
      </c>
      <c r="EO32" s="276">
        <f t="shared" si="48"/>
        <v>1</v>
      </c>
    </row>
    <row r="33" spans="1:145" ht="18.75" x14ac:dyDescent="0.3">
      <c r="A33" s="280"/>
      <c r="B33" s="280"/>
      <c r="C33" s="234" t="s">
        <v>1587</v>
      </c>
      <c r="D33" s="234"/>
      <c r="E33" s="235"/>
      <c r="F33" s="232"/>
      <c r="G33" s="236"/>
      <c r="H33" s="243"/>
      <c r="I33" s="252"/>
      <c r="J33" s="275">
        <f t="shared" si="0"/>
        <v>4848.3999999999996</v>
      </c>
      <c r="K33" s="274"/>
      <c r="L33" s="275">
        <f t="shared" si="1"/>
        <v>4848.3999999999996</v>
      </c>
      <c r="M33" s="274"/>
      <c r="N33" s="275">
        <f t="shared" si="2"/>
        <v>1155.579737</v>
      </c>
      <c r="O33" s="274"/>
      <c r="P33" s="275">
        <f t="shared" si="3"/>
        <v>0</v>
      </c>
      <c r="Q33" s="276">
        <f t="shared" si="4"/>
        <v>1</v>
      </c>
      <c r="R33" s="275">
        <f t="shared" si="5"/>
        <v>1182.3000000000002</v>
      </c>
      <c r="S33" s="274"/>
      <c r="T33" s="275">
        <f t="shared" si="6"/>
        <v>1182.3000000000002</v>
      </c>
      <c r="U33" s="274"/>
      <c r="V33" s="275">
        <f t="shared" si="7"/>
        <v>639.63362499999994</v>
      </c>
      <c r="W33" s="274"/>
      <c r="X33" s="275">
        <f t="shared" si="8"/>
        <v>0</v>
      </c>
      <c r="Y33" s="276">
        <f t="shared" si="9"/>
        <v>1</v>
      </c>
      <c r="Z33" s="274">
        <v>408.2</v>
      </c>
      <c r="AA33" s="274"/>
      <c r="AB33" s="274">
        <v>408.2</v>
      </c>
      <c r="AC33" s="274"/>
      <c r="AD33" s="274">
        <v>265.35684300000003</v>
      </c>
      <c r="AE33" s="274"/>
      <c r="AF33" s="275">
        <f t="shared" si="10"/>
        <v>0</v>
      </c>
      <c r="AG33" s="276">
        <f t="shared" si="11"/>
        <v>1</v>
      </c>
      <c r="AH33" s="274">
        <v>368.5</v>
      </c>
      <c r="AI33" s="274"/>
      <c r="AJ33" s="274">
        <v>368.5</v>
      </c>
      <c r="AK33" s="274"/>
      <c r="AL33" s="274">
        <v>74.984267000000003</v>
      </c>
      <c r="AM33" s="274"/>
      <c r="AN33" s="275">
        <f t="shared" si="12"/>
        <v>0</v>
      </c>
      <c r="AO33" s="276">
        <f t="shared" si="13"/>
        <v>1</v>
      </c>
      <c r="AP33" s="274">
        <v>405.6</v>
      </c>
      <c r="AQ33" s="274"/>
      <c r="AR33" s="274">
        <v>405.6</v>
      </c>
      <c r="AS33" s="274"/>
      <c r="AT33" s="274">
        <v>299.29251499999998</v>
      </c>
      <c r="AU33" s="274"/>
      <c r="AV33" s="275">
        <f t="shared" si="14"/>
        <v>0</v>
      </c>
      <c r="AW33" s="276">
        <f t="shared" si="15"/>
        <v>1</v>
      </c>
      <c r="AX33" s="275">
        <f t="shared" si="16"/>
        <v>944.5</v>
      </c>
      <c r="AY33" s="274"/>
      <c r="AZ33" s="275">
        <f t="shared" si="17"/>
        <v>944.5</v>
      </c>
      <c r="BA33" s="274"/>
      <c r="BB33" s="275">
        <f t="shared" si="18"/>
        <v>515.94611199999997</v>
      </c>
      <c r="BC33" s="274"/>
      <c r="BD33" s="275">
        <f t="shared" si="19"/>
        <v>0</v>
      </c>
      <c r="BE33" s="276">
        <f t="shared" si="20"/>
        <v>1</v>
      </c>
      <c r="BF33" s="274">
        <v>415.7</v>
      </c>
      <c r="BG33" s="274"/>
      <c r="BH33" s="274">
        <v>415.7</v>
      </c>
      <c r="BI33" s="274"/>
      <c r="BJ33" s="274">
        <v>317.12059499999998</v>
      </c>
      <c r="BK33" s="274"/>
      <c r="BL33" s="275">
        <f t="shared" si="21"/>
        <v>0</v>
      </c>
      <c r="BM33" s="276">
        <f t="shared" si="22"/>
        <v>1</v>
      </c>
      <c r="BN33" s="274">
        <v>292.60000000000002</v>
      </c>
      <c r="BO33" s="274"/>
      <c r="BP33" s="274">
        <v>292.60000000000002</v>
      </c>
      <c r="BQ33" s="274"/>
      <c r="BR33" s="274">
        <v>123.69821899999999</v>
      </c>
      <c r="BS33" s="274"/>
      <c r="BT33" s="275">
        <f t="shared" si="23"/>
        <v>0</v>
      </c>
      <c r="BU33" s="276">
        <f t="shared" si="24"/>
        <v>1</v>
      </c>
      <c r="BV33" s="274">
        <v>236.2</v>
      </c>
      <c r="BW33" s="274"/>
      <c r="BX33" s="274">
        <v>236.2</v>
      </c>
      <c r="BY33" s="274"/>
      <c r="BZ33" s="274">
        <v>75.127297999999996</v>
      </c>
      <c r="CA33" s="274"/>
      <c r="CB33" s="275">
        <f t="shared" si="25"/>
        <v>0</v>
      </c>
      <c r="CC33" s="276">
        <f t="shared" si="26"/>
        <v>1</v>
      </c>
      <c r="CD33" s="275">
        <f t="shared" si="27"/>
        <v>1363.1</v>
      </c>
      <c r="CE33" s="274"/>
      <c r="CF33" s="275">
        <f t="shared" si="28"/>
        <v>1363.1</v>
      </c>
      <c r="CG33" s="274"/>
      <c r="CH33" s="275">
        <f t="shared" si="29"/>
        <v>0</v>
      </c>
      <c r="CI33" s="274"/>
      <c r="CJ33" s="275">
        <f t="shared" si="30"/>
        <v>0</v>
      </c>
      <c r="CK33" s="276">
        <f t="shared" si="31"/>
        <v>1</v>
      </c>
      <c r="CL33" s="274">
        <v>453</v>
      </c>
      <c r="CM33" s="274"/>
      <c r="CN33" s="274">
        <v>453</v>
      </c>
      <c r="CO33" s="274"/>
      <c r="CP33" s="274"/>
      <c r="CQ33" s="274"/>
      <c r="CR33" s="275">
        <f t="shared" si="32"/>
        <v>0</v>
      </c>
      <c r="CS33" s="276">
        <f t="shared" si="33"/>
        <v>1</v>
      </c>
      <c r="CT33" s="274">
        <v>448.8</v>
      </c>
      <c r="CU33" s="274"/>
      <c r="CV33" s="274">
        <v>448.8</v>
      </c>
      <c r="CW33" s="274"/>
      <c r="CX33" s="274"/>
      <c r="CY33" s="274"/>
      <c r="CZ33" s="275">
        <f t="shared" si="34"/>
        <v>0</v>
      </c>
      <c r="DA33" s="276">
        <f t="shared" si="35"/>
        <v>1</v>
      </c>
      <c r="DB33" s="274">
        <v>461.3</v>
      </c>
      <c r="DC33" s="274"/>
      <c r="DD33" s="274">
        <v>461.3</v>
      </c>
      <c r="DE33" s="274"/>
      <c r="DF33" s="274"/>
      <c r="DG33" s="274"/>
      <c r="DH33" s="275">
        <f t="shared" si="36"/>
        <v>0</v>
      </c>
      <c r="DI33" s="276">
        <f t="shared" si="37"/>
        <v>1</v>
      </c>
      <c r="DJ33" s="275">
        <f t="shared" si="38"/>
        <v>1358.5</v>
      </c>
      <c r="DK33" s="274"/>
      <c r="DL33" s="275">
        <f t="shared" si="39"/>
        <v>1358.5</v>
      </c>
      <c r="DM33" s="274"/>
      <c r="DN33" s="275">
        <f t="shared" si="40"/>
        <v>0</v>
      </c>
      <c r="DO33" s="274"/>
      <c r="DP33" s="275">
        <f t="shared" si="41"/>
        <v>0</v>
      </c>
      <c r="DQ33" s="276">
        <f t="shared" si="42"/>
        <v>1</v>
      </c>
      <c r="DR33" s="274">
        <v>468.5</v>
      </c>
      <c r="DS33" s="274"/>
      <c r="DT33" s="274">
        <v>468.5</v>
      </c>
      <c r="DU33" s="274"/>
      <c r="DV33" s="274"/>
      <c r="DW33" s="274"/>
      <c r="DX33" s="275">
        <f t="shared" si="43"/>
        <v>0</v>
      </c>
      <c r="DY33" s="276">
        <f t="shared" si="44"/>
        <v>1</v>
      </c>
      <c r="DZ33" s="274">
        <v>433.3</v>
      </c>
      <c r="EA33" s="274"/>
      <c r="EB33" s="274">
        <v>433.3</v>
      </c>
      <c r="EC33" s="274"/>
      <c r="ED33" s="274"/>
      <c r="EE33" s="274"/>
      <c r="EF33" s="275">
        <f t="shared" si="45"/>
        <v>0</v>
      </c>
      <c r="EG33" s="276">
        <f t="shared" si="46"/>
        <v>1</v>
      </c>
      <c r="EH33" s="274">
        <v>456.7</v>
      </c>
      <c r="EI33" s="274"/>
      <c r="EJ33" s="274">
        <v>456.7</v>
      </c>
      <c r="EK33" s="274"/>
      <c r="EL33" s="274"/>
      <c r="EM33" s="274"/>
      <c r="EN33" s="275">
        <f t="shared" si="47"/>
        <v>0</v>
      </c>
      <c r="EO33" s="276">
        <f t="shared" si="48"/>
        <v>1</v>
      </c>
    </row>
    <row r="34" spans="1:145" ht="18.75" customHeight="1" x14ac:dyDescent="0.3">
      <c r="A34" s="263" t="s">
        <v>1588</v>
      </c>
      <c r="B34" s="315" t="s">
        <v>1589</v>
      </c>
      <c r="C34" s="234" t="s">
        <v>1590</v>
      </c>
      <c r="D34" s="234"/>
      <c r="E34" s="235"/>
      <c r="F34" s="232"/>
      <c r="G34" s="236"/>
      <c r="H34" s="243"/>
      <c r="I34" s="252"/>
      <c r="J34" s="275">
        <f t="shared" si="0"/>
        <v>94.9</v>
      </c>
      <c r="K34" s="274"/>
      <c r="L34" s="275">
        <f t="shared" si="1"/>
        <v>94.9</v>
      </c>
      <c r="M34" s="274"/>
      <c r="N34" s="275">
        <f t="shared" si="2"/>
        <v>35.561245</v>
      </c>
      <c r="O34" s="274"/>
      <c r="P34" s="275">
        <f t="shared" si="3"/>
        <v>0</v>
      </c>
      <c r="Q34" s="276">
        <f t="shared" si="4"/>
        <v>1</v>
      </c>
      <c r="R34" s="275">
        <f t="shared" si="5"/>
        <v>25.700000000000003</v>
      </c>
      <c r="S34" s="274"/>
      <c r="T34" s="275">
        <f t="shared" si="6"/>
        <v>25.700000000000003</v>
      </c>
      <c r="U34" s="274"/>
      <c r="V34" s="275">
        <f t="shared" si="7"/>
        <v>21.830974000000001</v>
      </c>
      <c r="W34" s="274"/>
      <c r="X34" s="275">
        <f t="shared" si="8"/>
        <v>0</v>
      </c>
      <c r="Y34" s="276">
        <f t="shared" si="9"/>
        <v>1</v>
      </c>
      <c r="Z34" s="274">
        <v>8.8000000000000007</v>
      </c>
      <c r="AA34" s="274"/>
      <c r="AB34" s="274">
        <v>8.8000000000000007</v>
      </c>
      <c r="AC34" s="274"/>
      <c r="AD34" s="274">
        <v>8.6439920000000008</v>
      </c>
      <c r="AE34" s="274"/>
      <c r="AF34" s="275">
        <f t="shared" si="10"/>
        <v>0</v>
      </c>
      <c r="AG34" s="276">
        <f t="shared" si="11"/>
        <v>1</v>
      </c>
      <c r="AH34" s="274">
        <v>8.3000000000000007</v>
      </c>
      <c r="AI34" s="274"/>
      <c r="AJ34" s="274">
        <v>8.3000000000000007</v>
      </c>
      <c r="AK34" s="274"/>
      <c r="AL34" s="274">
        <v>5.2212769999999997</v>
      </c>
      <c r="AM34" s="274"/>
      <c r="AN34" s="275">
        <f t="shared" si="12"/>
        <v>0</v>
      </c>
      <c r="AO34" s="276">
        <f t="shared" si="13"/>
        <v>1</v>
      </c>
      <c r="AP34" s="274">
        <v>8.6</v>
      </c>
      <c r="AQ34" s="274"/>
      <c r="AR34" s="274">
        <v>8.6</v>
      </c>
      <c r="AS34" s="274"/>
      <c r="AT34" s="274">
        <v>7.9657049999999998</v>
      </c>
      <c r="AU34" s="274"/>
      <c r="AV34" s="275">
        <f t="shared" si="14"/>
        <v>0</v>
      </c>
      <c r="AW34" s="276">
        <f t="shared" si="15"/>
        <v>1</v>
      </c>
      <c r="AX34" s="275">
        <f t="shared" si="16"/>
        <v>21.6</v>
      </c>
      <c r="AY34" s="274"/>
      <c r="AZ34" s="275">
        <f t="shared" si="17"/>
        <v>21.6</v>
      </c>
      <c r="BA34" s="274"/>
      <c r="BB34" s="275">
        <f t="shared" si="18"/>
        <v>13.730271</v>
      </c>
      <c r="BC34" s="274"/>
      <c r="BD34" s="275">
        <f t="shared" si="19"/>
        <v>0</v>
      </c>
      <c r="BE34" s="276">
        <f t="shared" si="20"/>
        <v>1</v>
      </c>
      <c r="BF34" s="274">
        <v>7.7</v>
      </c>
      <c r="BG34" s="274"/>
      <c r="BH34" s="274">
        <v>7.7</v>
      </c>
      <c r="BI34" s="274"/>
      <c r="BJ34" s="274">
        <v>7.5292289999999999</v>
      </c>
      <c r="BK34" s="274"/>
      <c r="BL34" s="275">
        <f t="shared" si="21"/>
        <v>0</v>
      </c>
      <c r="BM34" s="276">
        <f t="shared" si="22"/>
        <v>1</v>
      </c>
      <c r="BN34" s="274">
        <v>7</v>
      </c>
      <c r="BO34" s="274"/>
      <c r="BP34" s="274">
        <v>7</v>
      </c>
      <c r="BQ34" s="274"/>
      <c r="BR34" s="274">
        <v>2.8173550000000001</v>
      </c>
      <c r="BS34" s="274"/>
      <c r="BT34" s="275">
        <f t="shared" si="23"/>
        <v>0</v>
      </c>
      <c r="BU34" s="276">
        <f t="shared" si="24"/>
        <v>1</v>
      </c>
      <c r="BV34" s="274">
        <v>6.9</v>
      </c>
      <c r="BW34" s="274"/>
      <c r="BX34" s="274">
        <v>6.9</v>
      </c>
      <c r="BY34" s="274"/>
      <c r="BZ34" s="274">
        <v>3.3836870000000001</v>
      </c>
      <c r="CA34" s="274"/>
      <c r="CB34" s="275">
        <f t="shared" si="25"/>
        <v>0</v>
      </c>
      <c r="CC34" s="276">
        <f t="shared" si="26"/>
        <v>1</v>
      </c>
      <c r="CD34" s="275">
        <f t="shared" si="27"/>
        <v>22.3</v>
      </c>
      <c r="CE34" s="274"/>
      <c r="CF34" s="275">
        <f t="shared" si="28"/>
        <v>22.3</v>
      </c>
      <c r="CG34" s="274"/>
      <c r="CH34" s="275">
        <f t="shared" si="29"/>
        <v>0</v>
      </c>
      <c r="CI34" s="274"/>
      <c r="CJ34" s="275">
        <f t="shared" si="30"/>
        <v>0</v>
      </c>
      <c r="CK34" s="276">
        <f t="shared" si="31"/>
        <v>1</v>
      </c>
      <c r="CL34" s="274">
        <v>7.4</v>
      </c>
      <c r="CM34" s="274"/>
      <c r="CN34" s="274">
        <v>7.4</v>
      </c>
      <c r="CO34" s="274"/>
      <c r="CP34" s="274"/>
      <c r="CQ34" s="274"/>
      <c r="CR34" s="275">
        <f t="shared" si="32"/>
        <v>0</v>
      </c>
      <c r="CS34" s="276">
        <f t="shared" si="33"/>
        <v>1</v>
      </c>
      <c r="CT34" s="274">
        <v>7.1</v>
      </c>
      <c r="CU34" s="274"/>
      <c r="CV34" s="274">
        <v>7.1</v>
      </c>
      <c r="CW34" s="274"/>
      <c r="CX34" s="274"/>
      <c r="CY34" s="274"/>
      <c r="CZ34" s="275">
        <f t="shared" si="34"/>
        <v>0</v>
      </c>
      <c r="DA34" s="276">
        <f t="shared" si="35"/>
        <v>1</v>
      </c>
      <c r="DB34" s="274">
        <v>7.8</v>
      </c>
      <c r="DC34" s="274"/>
      <c r="DD34" s="274">
        <v>7.8</v>
      </c>
      <c r="DE34" s="274"/>
      <c r="DF34" s="274"/>
      <c r="DG34" s="274"/>
      <c r="DH34" s="275">
        <f t="shared" si="36"/>
        <v>0</v>
      </c>
      <c r="DI34" s="276">
        <f t="shared" si="37"/>
        <v>1</v>
      </c>
      <c r="DJ34" s="275">
        <f t="shared" si="38"/>
        <v>25.300000000000004</v>
      </c>
      <c r="DK34" s="274"/>
      <c r="DL34" s="275">
        <f t="shared" si="39"/>
        <v>25.300000000000004</v>
      </c>
      <c r="DM34" s="274"/>
      <c r="DN34" s="275">
        <f t="shared" si="40"/>
        <v>0</v>
      </c>
      <c r="DO34" s="274"/>
      <c r="DP34" s="275">
        <f t="shared" si="41"/>
        <v>0</v>
      </c>
      <c r="DQ34" s="276">
        <f t="shared" si="42"/>
        <v>1</v>
      </c>
      <c r="DR34" s="274">
        <v>8.4</v>
      </c>
      <c r="DS34" s="274"/>
      <c r="DT34" s="274">
        <v>8.4</v>
      </c>
      <c r="DU34" s="274"/>
      <c r="DV34" s="274"/>
      <c r="DW34" s="274"/>
      <c r="DX34" s="275">
        <f t="shared" si="43"/>
        <v>0</v>
      </c>
      <c r="DY34" s="276">
        <f t="shared" si="44"/>
        <v>1</v>
      </c>
      <c r="DZ34" s="274">
        <v>8.3000000000000007</v>
      </c>
      <c r="EA34" s="274"/>
      <c r="EB34" s="274">
        <v>8.3000000000000007</v>
      </c>
      <c r="EC34" s="274"/>
      <c r="ED34" s="274"/>
      <c r="EE34" s="274"/>
      <c r="EF34" s="275">
        <f t="shared" si="45"/>
        <v>0</v>
      </c>
      <c r="EG34" s="276">
        <f t="shared" si="46"/>
        <v>1</v>
      </c>
      <c r="EH34" s="274">
        <v>8.6</v>
      </c>
      <c r="EI34" s="274"/>
      <c r="EJ34" s="274">
        <v>8.6</v>
      </c>
      <c r="EK34" s="274"/>
      <c r="EL34" s="274"/>
      <c r="EM34" s="274"/>
      <c r="EN34" s="275">
        <f t="shared" si="47"/>
        <v>0</v>
      </c>
      <c r="EO34" s="276">
        <f t="shared" si="48"/>
        <v>1</v>
      </c>
    </row>
    <row r="35" spans="1:145" ht="18.75" customHeight="1" x14ac:dyDescent="0.3">
      <c r="A35" s="263"/>
      <c r="B35" s="280"/>
      <c r="C35" s="234" t="s">
        <v>1591</v>
      </c>
      <c r="D35" s="234"/>
      <c r="E35" s="235"/>
      <c r="F35" s="232"/>
      <c r="G35" s="236"/>
      <c r="H35" s="243"/>
      <c r="I35" s="252"/>
      <c r="J35" s="275">
        <f t="shared" si="0"/>
        <v>137.30000000000001</v>
      </c>
      <c r="K35" s="274"/>
      <c r="L35" s="275">
        <f t="shared" si="1"/>
        <v>137.30000000000001</v>
      </c>
      <c r="M35" s="274"/>
      <c r="N35" s="275">
        <f t="shared" si="2"/>
        <v>51.141570999999999</v>
      </c>
      <c r="O35" s="274"/>
      <c r="P35" s="275">
        <f t="shared" si="3"/>
        <v>0</v>
      </c>
      <c r="Q35" s="276">
        <f t="shared" si="4"/>
        <v>1</v>
      </c>
      <c r="R35" s="275">
        <f t="shared" si="5"/>
        <v>35.5</v>
      </c>
      <c r="S35" s="274"/>
      <c r="T35" s="275">
        <f t="shared" si="6"/>
        <v>35.5</v>
      </c>
      <c r="U35" s="274"/>
      <c r="V35" s="275">
        <f t="shared" si="7"/>
        <v>31.332720999999999</v>
      </c>
      <c r="W35" s="274"/>
      <c r="X35" s="275">
        <f t="shared" si="8"/>
        <v>0</v>
      </c>
      <c r="Y35" s="276">
        <f t="shared" si="9"/>
        <v>1</v>
      </c>
      <c r="Z35" s="274">
        <v>12.1</v>
      </c>
      <c r="AA35" s="274"/>
      <c r="AB35" s="274">
        <v>12.1</v>
      </c>
      <c r="AC35" s="274"/>
      <c r="AD35" s="274">
        <v>12.43561</v>
      </c>
      <c r="AE35" s="274"/>
      <c r="AF35" s="275">
        <f t="shared" si="10"/>
        <v>0</v>
      </c>
      <c r="AG35" s="276">
        <f t="shared" si="11"/>
        <v>1</v>
      </c>
      <c r="AH35" s="274">
        <v>11.3</v>
      </c>
      <c r="AI35" s="274"/>
      <c r="AJ35" s="274">
        <v>11.3</v>
      </c>
      <c r="AK35" s="274"/>
      <c r="AL35" s="274">
        <v>7.4208030000000003</v>
      </c>
      <c r="AM35" s="274"/>
      <c r="AN35" s="275">
        <f t="shared" si="12"/>
        <v>0</v>
      </c>
      <c r="AO35" s="276">
        <f t="shared" si="13"/>
        <v>1</v>
      </c>
      <c r="AP35" s="274">
        <v>12.1</v>
      </c>
      <c r="AQ35" s="274"/>
      <c r="AR35" s="274">
        <v>12.1</v>
      </c>
      <c r="AS35" s="274"/>
      <c r="AT35" s="274">
        <v>11.476308</v>
      </c>
      <c r="AU35" s="274"/>
      <c r="AV35" s="275">
        <f t="shared" si="14"/>
        <v>0</v>
      </c>
      <c r="AW35" s="276">
        <f t="shared" si="15"/>
        <v>1</v>
      </c>
      <c r="AX35" s="275">
        <f t="shared" si="16"/>
        <v>30.9</v>
      </c>
      <c r="AY35" s="274"/>
      <c r="AZ35" s="275">
        <f t="shared" si="17"/>
        <v>30.9</v>
      </c>
      <c r="BA35" s="274"/>
      <c r="BB35" s="275">
        <f t="shared" si="18"/>
        <v>19.80885</v>
      </c>
      <c r="BC35" s="274"/>
      <c r="BD35" s="275">
        <f t="shared" si="19"/>
        <v>0</v>
      </c>
      <c r="BE35" s="276">
        <f t="shared" si="20"/>
        <v>1</v>
      </c>
      <c r="BF35" s="274">
        <v>11.1</v>
      </c>
      <c r="BG35" s="274"/>
      <c r="BH35" s="274">
        <v>11.1</v>
      </c>
      <c r="BI35" s="274"/>
      <c r="BJ35" s="274">
        <v>10.85216</v>
      </c>
      <c r="BK35" s="274"/>
      <c r="BL35" s="275">
        <f t="shared" si="21"/>
        <v>0</v>
      </c>
      <c r="BM35" s="276">
        <f t="shared" si="22"/>
        <v>1</v>
      </c>
      <c r="BN35" s="274">
        <v>10.3</v>
      </c>
      <c r="BO35" s="274"/>
      <c r="BP35" s="274">
        <v>10.3</v>
      </c>
      <c r="BQ35" s="274"/>
      <c r="BR35" s="274">
        <v>4.0683809999999996</v>
      </c>
      <c r="BS35" s="274"/>
      <c r="BT35" s="275">
        <f t="shared" si="23"/>
        <v>0</v>
      </c>
      <c r="BU35" s="276">
        <f t="shared" si="24"/>
        <v>1</v>
      </c>
      <c r="BV35" s="274">
        <v>9.5</v>
      </c>
      <c r="BW35" s="274"/>
      <c r="BX35" s="274">
        <v>9.5</v>
      </c>
      <c r="BY35" s="274"/>
      <c r="BZ35" s="274">
        <v>4.8883089999999996</v>
      </c>
      <c r="CA35" s="274"/>
      <c r="CB35" s="275">
        <f t="shared" si="25"/>
        <v>0</v>
      </c>
      <c r="CC35" s="276">
        <f t="shared" si="26"/>
        <v>1</v>
      </c>
      <c r="CD35" s="275">
        <f t="shared" si="27"/>
        <v>32.799999999999997</v>
      </c>
      <c r="CE35" s="274"/>
      <c r="CF35" s="275">
        <f t="shared" si="28"/>
        <v>32.799999999999997</v>
      </c>
      <c r="CG35" s="274"/>
      <c r="CH35" s="275">
        <f t="shared" si="29"/>
        <v>0</v>
      </c>
      <c r="CI35" s="274"/>
      <c r="CJ35" s="275">
        <f t="shared" si="30"/>
        <v>0</v>
      </c>
      <c r="CK35" s="276">
        <f t="shared" si="31"/>
        <v>1</v>
      </c>
      <c r="CL35" s="274">
        <v>10.8</v>
      </c>
      <c r="CM35" s="274"/>
      <c r="CN35" s="274">
        <v>10.8</v>
      </c>
      <c r="CO35" s="274"/>
      <c r="CP35" s="274"/>
      <c r="CQ35" s="274"/>
      <c r="CR35" s="275">
        <f t="shared" si="32"/>
        <v>0</v>
      </c>
      <c r="CS35" s="276">
        <f t="shared" si="33"/>
        <v>1</v>
      </c>
      <c r="CT35" s="274">
        <v>10.8</v>
      </c>
      <c r="CU35" s="274"/>
      <c r="CV35" s="274">
        <v>10.8</v>
      </c>
      <c r="CW35" s="274"/>
      <c r="CX35" s="274"/>
      <c r="CY35" s="274"/>
      <c r="CZ35" s="275">
        <f t="shared" si="34"/>
        <v>0</v>
      </c>
      <c r="DA35" s="276">
        <f t="shared" si="35"/>
        <v>1</v>
      </c>
      <c r="DB35" s="274">
        <v>11.2</v>
      </c>
      <c r="DC35" s="274"/>
      <c r="DD35" s="274">
        <v>11.2</v>
      </c>
      <c r="DE35" s="274"/>
      <c r="DF35" s="274"/>
      <c r="DG35" s="274"/>
      <c r="DH35" s="275">
        <f t="shared" si="36"/>
        <v>0</v>
      </c>
      <c r="DI35" s="276">
        <f t="shared" si="37"/>
        <v>1</v>
      </c>
      <c r="DJ35" s="275">
        <f t="shared" si="38"/>
        <v>38.099999999999994</v>
      </c>
      <c r="DK35" s="274"/>
      <c r="DL35" s="275">
        <f t="shared" si="39"/>
        <v>38.099999999999994</v>
      </c>
      <c r="DM35" s="274"/>
      <c r="DN35" s="275">
        <f t="shared" si="40"/>
        <v>0</v>
      </c>
      <c r="DO35" s="274"/>
      <c r="DP35" s="275">
        <f t="shared" si="41"/>
        <v>0</v>
      </c>
      <c r="DQ35" s="276">
        <f t="shared" si="42"/>
        <v>1</v>
      </c>
      <c r="DR35" s="274">
        <v>12.7</v>
      </c>
      <c r="DS35" s="274"/>
      <c r="DT35" s="274">
        <v>12.7</v>
      </c>
      <c r="DU35" s="274"/>
      <c r="DV35" s="274"/>
      <c r="DW35" s="274"/>
      <c r="DX35" s="275">
        <f t="shared" si="43"/>
        <v>0</v>
      </c>
      <c r="DY35" s="276">
        <f t="shared" si="44"/>
        <v>1</v>
      </c>
      <c r="DZ35" s="274">
        <v>12.1</v>
      </c>
      <c r="EA35" s="274"/>
      <c r="EB35" s="274">
        <v>12.1</v>
      </c>
      <c r="EC35" s="274"/>
      <c r="ED35" s="274"/>
      <c r="EE35" s="274"/>
      <c r="EF35" s="275">
        <f t="shared" si="45"/>
        <v>0</v>
      </c>
      <c r="EG35" s="276">
        <f t="shared" si="46"/>
        <v>1</v>
      </c>
      <c r="EH35" s="274">
        <v>13.3</v>
      </c>
      <c r="EI35" s="274"/>
      <c r="EJ35" s="274">
        <v>13.3</v>
      </c>
      <c r="EK35" s="274"/>
      <c r="EL35" s="274"/>
      <c r="EM35" s="274"/>
      <c r="EN35" s="275">
        <f t="shared" si="47"/>
        <v>0</v>
      </c>
      <c r="EO35" s="276">
        <f t="shared" si="48"/>
        <v>1</v>
      </c>
    </row>
    <row r="36" spans="1:145" ht="18.75" customHeight="1" x14ac:dyDescent="0.3">
      <c r="A36" s="263" t="s">
        <v>1592</v>
      </c>
      <c r="B36" s="315" t="s">
        <v>1593</v>
      </c>
      <c r="C36" s="234" t="s">
        <v>1594</v>
      </c>
      <c r="D36" s="234"/>
      <c r="E36" s="235"/>
      <c r="F36" s="232"/>
      <c r="G36" s="236"/>
      <c r="H36" s="243"/>
      <c r="I36" s="252"/>
      <c r="J36" s="275">
        <f t="shared" si="0"/>
        <v>224</v>
      </c>
      <c r="K36" s="274"/>
      <c r="L36" s="275">
        <f t="shared" si="1"/>
        <v>224</v>
      </c>
      <c r="M36" s="274"/>
      <c r="N36" s="275">
        <f t="shared" si="2"/>
        <v>45.785388999999995</v>
      </c>
      <c r="O36" s="274"/>
      <c r="P36" s="275">
        <f t="shared" si="3"/>
        <v>0</v>
      </c>
      <c r="Q36" s="276">
        <f t="shared" si="4"/>
        <v>1</v>
      </c>
      <c r="R36" s="275">
        <f t="shared" si="5"/>
        <v>55.9</v>
      </c>
      <c r="S36" s="274"/>
      <c r="T36" s="275">
        <f t="shared" si="6"/>
        <v>55.9</v>
      </c>
      <c r="U36" s="274"/>
      <c r="V36" s="275">
        <f t="shared" si="7"/>
        <v>31.480477999999998</v>
      </c>
      <c r="W36" s="274"/>
      <c r="X36" s="275">
        <f t="shared" si="8"/>
        <v>0</v>
      </c>
      <c r="Y36" s="276">
        <f t="shared" si="9"/>
        <v>1</v>
      </c>
      <c r="Z36" s="274">
        <v>19.5</v>
      </c>
      <c r="AA36" s="274"/>
      <c r="AB36" s="274">
        <v>19.5</v>
      </c>
      <c r="AC36" s="274"/>
      <c r="AD36" s="274">
        <v>10.614819000000001</v>
      </c>
      <c r="AE36" s="274"/>
      <c r="AF36" s="275">
        <f t="shared" si="10"/>
        <v>0</v>
      </c>
      <c r="AG36" s="276">
        <f t="shared" si="11"/>
        <v>1</v>
      </c>
      <c r="AH36" s="274">
        <v>17.3</v>
      </c>
      <c r="AI36" s="274"/>
      <c r="AJ36" s="274">
        <v>17.3</v>
      </c>
      <c r="AK36" s="274"/>
      <c r="AL36" s="274">
        <v>5.9666160000000001</v>
      </c>
      <c r="AM36" s="274"/>
      <c r="AN36" s="275">
        <f t="shared" si="12"/>
        <v>0</v>
      </c>
      <c r="AO36" s="276">
        <f t="shared" si="13"/>
        <v>1</v>
      </c>
      <c r="AP36" s="274">
        <v>19.100000000000001</v>
      </c>
      <c r="AQ36" s="274"/>
      <c r="AR36" s="274">
        <v>19.100000000000001</v>
      </c>
      <c r="AS36" s="274"/>
      <c r="AT36" s="274">
        <v>14.899043000000001</v>
      </c>
      <c r="AU36" s="274"/>
      <c r="AV36" s="275">
        <f t="shared" si="14"/>
        <v>0</v>
      </c>
      <c r="AW36" s="276">
        <f t="shared" si="15"/>
        <v>1</v>
      </c>
      <c r="AX36" s="275">
        <f t="shared" si="16"/>
        <v>47.4</v>
      </c>
      <c r="AY36" s="274"/>
      <c r="AZ36" s="275">
        <f t="shared" si="17"/>
        <v>47.4</v>
      </c>
      <c r="BA36" s="274"/>
      <c r="BB36" s="275">
        <f t="shared" si="18"/>
        <v>14.304911000000001</v>
      </c>
      <c r="BC36" s="274"/>
      <c r="BD36" s="275">
        <f t="shared" si="19"/>
        <v>0</v>
      </c>
      <c r="BE36" s="276">
        <f t="shared" si="20"/>
        <v>1</v>
      </c>
      <c r="BF36" s="274">
        <v>18.100000000000001</v>
      </c>
      <c r="BG36" s="274"/>
      <c r="BH36" s="274">
        <v>18.100000000000001</v>
      </c>
      <c r="BI36" s="274"/>
      <c r="BJ36" s="274">
        <v>13.064888</v>
      </c>
      <c r="BK36" s="274"/>
      <c r="BL36" s="275">
        <f t="shared" si="21"/>
        <v>0</v>
      </c>
      <c r="BM36" s="276">
        <f t="shared" si="22"/>
        <v>1</v>
      </c>
      <c r="BN36" s="274">
        <v>15.7</v>
      </c>
      <c r="BO36" s="274"/>
      <c r="BP36" s="274">
        <v>15.7</v>
      </c>
      <c r="BQ36" s="274"/>
      <c r="BR36" s="274">
        <v>1.117464</v>
      </c>
      <c r="BS36" s="274"/>
      <c r="BT36" s="275">
        <f t="shared" si="23"/>
        <v>0</v>
      </c>
      <c r="BU36" s="276">
        <f t="shared" si="24"/>
        <v>1</v>
      </c>
      <c r="BV36" s="274">
        <v>13.6</v>
      </c>
      <c r="BW36" s="274"/>
      <c r="BX36" s="274">
        <v>13.6</v>
      </c>
      <c r="BY36" s="274"/>
      <c r="BZ36" s="274">
        <v>0.122559</v>
      </c>
      <c r="CA36" s="274"/>
      <c r="CB36" s="275">
        <f t="shared" si="25"/>
        <v>0</v>
      </c>
      <c r="CC36" s="276">
        <f t="shared" si="26"/>
        <v>1</v>
      </c>
      <c r="CD36" s="275">
        <f t="shared" si="27"/>
        <v>59.4</v>
      </c>
      <c r="CE36" s="274"/>
      <c r="CF36" s="275">
        <f t="shared" si="28"/>
        <v>59.4</v>
      </c>
      <c r="CG36" s="274"/>
      <c r="CH36" s="275">
        <f t="shared" si="29"/>
        <v>0</v>
      </c>
      <c r="CI36" s="274"/>
      <c r="CJ36" s="275">
        <f t="shared" si="30"/>
        <v>0</v>
      </c>
      <c r="CK36" s="276">
        <f t="shared" si="31"/>
        <v>1</v>
      </c>
      <c r="CL36" s="274">
        <v>20.399999999999999</v>
      </c>
      <c r="CM36" s="274"/>
      <c r="CN36" s="274">
        <v>20.399999999999999</v>
      </c>
      <c r="CO36" s="274"/>
      <c r="CP36" s="274"/>
      <c r="CQ36" s="274"/>
      <c r="CR36" s="275">
        <f t="shared" si="32"/>
        <v>0</v>
      </c>
      <c r="CS36" s="276">
        <f t="shared" si="33"/>
        <v>1</v>
      </c>
      <c r="CT36" s="274">
        <v>19.600000000000001</v>
      </c>
      <c r="CU36" s="274"/>
      <c r="CV36" s="274">
        <v>19.600000000000001</v>
      </c>
      <c r="CW36" s="274"/>
      <c r="CX36" s="274"/>
      <c r="CY36" s="274"/>
      <c r="CZ36" s="275">
        <f t="shared" si="34"/>
        <v>0</v>
      </c>
      <c r="DA36" s="276">
        <f t="shared" si="35"/>
        <v>1</v>
      </c>
      <c r="DB36" s="274">
        <v>19.399999999999999</v>
      </c>
      <c r="DC36" s="274"/>
      <c r="DD36" s="274">
        <v>19.399999999999999</v>
      </c>
      <c r="DE36" s="274"/>
      <c r="DF36" s="274"/>
      <c r="DG36" s="274"/>
      <c r="DH36" s="275">
        <f t="shared" si="36"/>
        <v>0</v>
      </c>
      <c r="DI36" s="276">
        <f t="shared" si="37"/>
        <v>1</v>
      </c>
      <c r="DJ36" s="275">
        <f t="shared" si="38"/>
        <v>61.300000000000004</v>
      </c>
      <c r="DK36" s="274"/>
      <c r="DL36" s="275">
        <f t="shared" si="39"/>
        <v>61.300000000000004</v>
      </c>
      <c r="DM36" s="274"/>
      <c r="DN36" s="275">
        <f t="shared" si="40"/>
        <v>0</v>
      </c>
      <c r="DO36" s="274"/>
      <c r="DP36" s="275">
        <f t="shared" si="41"/>
        <v>0</v>
      </c>
      <c r="DQ36" s="276">
        <f t="shared" si="42"/>
        <v>1</v>
      </c>
      <c r="DR36" s="274">
        <v>20.5</v>
      </c>
      <c r="DS36" s="274"/>
      <c r="DT36" s="274">
        <v>20.5</v>
      </c>
      <c r="DU36" s="274"/>
      <c r="DV36" s="274"/>
      <c r="DW36" s="274"/>
      <c r="DX36" s="275">
        <f t="shared" si="43"/>
        <v>0</v>
      </c>
      <c r="DY36" s="276">
        <f t="shared" si="44"/>
        <v>1</v>
      </c>
      <c r="DZ36" s="274">
        <v>19.7</v>
      </c>
      <c r="EA36" s="274"/>
      <c r="EB36" s="274">
        <v>19.7</v>
      </c>
      <c r="EC36" s="274"/>
      <c r="ED36" s="274"/>
      <c r="EE36" s="274"/>
      <c r="EF36" s="275">
        <f t="shared" si="45"/>
        <v>0</v>
      </c>
      <c r="EG36" s="276">
        <f t="shared" si="46"/>
        <v>1</v>
      </c>
      <c r="EH36" s="274">
        <v>21.1</v>
      </c>
      <c r="EI36" s="274"/>
      <c r="EJ36" s="274">
        <v>21.1</v>
      </c>
      <c r="EK36" s="274"/>
      <c r="EL36" s="274"/>
      <c r="EM36" s="274"/>
      <c r="EN36" s="275">
        <f t="shared" si="47"/>
        <v>0</v>
      </c>
      <c r="EO36" s="276">
        <f t="shared" si="48"/>
        <v>1</v>
      </c>
    </row>
    <row r="37" spans="1:145" ht="18.75" customHeight="1" x14ac:dyDescent="0.3">
      <c r="A37" s="263"/>
      <c r="B37" s="280"/>
      <c r="C37" s="234" t="s">
        <v>1595</v>
      </c>
      <c r="D37" s="234"/>
      <c r="E37" s="235"/>
      <c r="F37" s="232"/>
      <c r="G37" s="236"/>
      <c r="H37" s="243"/>
      <c r="I37" s="252"/>
      <c r="J37" s="275">
        <f t="shared" si="0"/>
        <v>322.89999999999998</v>
      </c>
      <c r="K37" s="274"/>
      <c r="L37" s="275">
        <f t="shared" si="1"/>
        <v>322.89999999999998</v>
      </c>
      <c r="M37" s="274"/>
      <c r="N37" s="275">
        <f t="shared" si="2"/>
        <v>63.775014999999996</v>
      </c>
      <c r="O37" s="274"/>
      <c r="P37" s="275">
        <f t="shared" si="3"/>
        <v>0</v>
      </c>
      <c r="Q37" s="276">
        <f t="shared" si="4"/>
        <v>1</v>
      </c>
      <c r="R37" s="275">
        <f t="shared" si="5"/>
        <v>80.599999999999994</v>
      </c>
      <c r="S37" s="274"/>
      <c r="T37" s="275">
        <f t="shared" si="6"/>
        <v>80.599999999999994</v>
      </c>
      <c r="U37" s="274"/>
      <c r="V37" s="275">
        <f t="shared" si="7"/>
        <v>44.111977999999993</v>
      </c>
      <c r="W37" s="274"/>
      <c r="X37" s="275">
        <f t="shared" si="8"/>
        <v>0</v>
      </c>
      <c r="Y37" s="276">
        <f t="shared" si="9"/>
        <v>1</v>
      </c>
      <c r="Z37" s="274">
        <v>28.1</v>
      </c>
      <c r="AA37" s="274"/>
      <c r="AB37" s="274">
        <v>28.1</v>
      </c>
      <c r="AC37" s="274"/>
      <c r="AD37" s="274">
        <v>15.270923</v>
      </c>
      <c r="AE37" s="274"/>
      <c r="AF37" s="275">
        <f t="shared" si="10"/>
        <v>0</v>
      </c>
      <c r="AG37" s="276">
        <f t="shared" si="11"/>
        <v>1</v>
      </c>
      <c r="AH37" s="274">
        <v>24.9</v>
      </c>
      <c r="AI37" s="274"/>
      <c r="AJ37" s="274">
        <v>24.9</v>
      </c>
      <c r="AK37" s="274"/>
      <c r="AL37" s="274">
        <v>8.4801249999999992</v>
      </c>
      <c r="AM37" s="274"/>
      <c r="AN37" s="275">
        <f t="shared" si="12"/>
        <v>0</v>
      </c>
      <c r="AO37" s="276">
        <f t="shared" si="13"/>
        <v>1</v>
      </c>
      <c r="AP37" s="274">
        <v>27.6</v>
      </c>
      <c r="AQ37" s="274"/>
      <c r="AR37" s="274">
        <v>27.6</v>
      </c>
      <c r="AS37" s="274"/>
      <c r="AT37" s="274">
        <v>20.36093</v>
      </c>
      <c r="AU37" s="274"/>
      <c r="AV37" s="275">
        <f t="shared" si="14"/>
        <v>0</v>
      </c>
      <c r="AW37" s="276">
        <f t="shared" si="15"/>
        <v>1</v>
      </c>
      <c r="AX37" s="275">
        <f t="shared" si="16"/>
        <v>68.300000000000011</v>
      </c>
      <c r="AY37" s="274"/>
      <c r="AZ37" s="275">
        <f t="shared" si="17"/>
        <v>68.300000000000011</v>
      </c>
      <c r="BA37" s="274"/>
      <c r="BB37" s="275">
        <f t="shared" si="18"/>
        <v>19.663037000000003</v>
      </c>
      <c r="BC37" s="274"/>
      <c r="BD37" s="275">
        <f t="shared" si="19"/>
        <v>0</v>
      </c>
      <c r="BE37" s="276">
        <f t="shared" si="20"/>
        <v>1</v>
      </c>
      <c r="BF37" s="274">
        <v>26.1</v>
      </c>
      <c r="BG37" s="274"/>
      <c r="BH37" s="274">
        <v>26.1</v>
      </c>
      <c r="BI37" s="274"/>
      <c r="BJ37" s="274">
        <v>18.066624000000001</v>
      </c>
      <c r="BK37" s="274"/>
      <c r="BL37" s="275">
        <f t="shared" si="21"/>
        <v>0</v>
      </c>
      <c r="BM37" s="276">
        <f t="shared" si="22"/>
        <v>1</v>
      </c>
      <c r="BN37" s="274">
        <v>22.6</v>
      </c>
      <c r="BO37" s="274"/>
      <c r="BP37" s="274">
        <v>22.6</v>
      </c>
      <c r="BQ37" s="274"/>
      <c r="BR37" s="274">
        <v>1.4193560000000001</v>
      </c>
      <c r="BS37" s="274"/>
      <c r="BT37" s="275">
        <f t="shared" si="23"/>
        <v>0</v>
      </c>
      <c r="BU37" s="276">
        <f t="shared" si="24"/>
        <v>1</v>
      </c>
      <c r="BV37" s="274">
        <v>19.600000000000001</v>
      </c>
      <c r="BW37" s="274"/>
      <c r="BX37" s="274">
        <v>19.600000000000001</v>
      </c>
      <c r="BY37" s="274"/>
      <c r="BZ37" s="274">
        <v>0.17705699999999999</v>
      </c>
      <c r="CA37" s="274"/>
      <c r="CB37" s="275">
        <f t="shared" si="25"/>
        <v>0</v>
      </c>
      <c r="CC37" s="276">
        <f t="shared" si="26"/>
        <v>1</v>
      </c>
      <c r="CD37" s="275">
        <f t="shared" si="27"/>
        <v>85.699999999999989</v>
      </c>
      <c r="CE37" s="274"/>
      <c r="CF37" s="275">
        <f t="shared" si="28"/>
        <v>85.699999999999989</v>
      </c>
      <c r="CG37" s="274"/>
      <c r="CH37" s="275">
        <f t="shared" si="29"/>
        <v>0</v>
      </c>
      <c r="CI37" s="274"/>
      <c r="CJ37" s="275">
        <f t="shared" si="30"/>
        <v>0</v>
      </c>
      <c r="CK37" s="276">
        <f t="shared" si="31"/>
        <v>1</v>
      </c>
      <c r="CL37" s="274">
        <v>29.4</v>
      </c>
      <c r="CM37" s="274"/>
      <c r="CN37" s="274">
        <v>29.4</v>
      </c>
      <c r="CO37" s="274"/>
      <c r="CP37" s="274"/>
      <c r="CQ37" s="274"/>
      <c r="CR37" s="275">
        <f t="shared" si="32"/>
        <v>0</v>
      </c>
      <c r="CS37" s="276">
        <f t="shared" si="33"/>
        <v>1</v>
      </c>
      <c r="CT37" s="274">
        <v>28.2</v>
      </c>
      <c r="CU37" s="274"/>
      <c r="CV37" s="274">
        <v>28.2</v>
      </c>
      <c r="CW37" s="274"/>
      <c r="CX37" s="274"/>
      <c r="CY37" s="274"/>
      <c r="CZ37" s="275">
        <f t="shared" si="34"/>
        <v>0</v>
      </c>
      <c r="DA37" s="276">
        <f t="shared" si="35"/>
        <v>1</v>
      </c>
      <c r="DB37" s="274">
        <v>28.1</v>
      </c>
      <c r="DC37" s="274"/>
      <c r="DD37" s="274">
        <v>28.1</v>
      </c>
      <c r="DE37" s="274"/>
      <c r="DF37" s="274"/>
      <c r="DG37" s="274"/>
      <c r="DH37" s="275">
        <f t="shared" si="36"/>
        <v>0</v>
      </c>
      <c r="DI37" s="276">
        <f t="shared" si="37"/>
        <v>1</v>
      </c>
      <c r="DJ37" s="275">
        <f t="shared" si="38"/>
        <v>88.3</v>
      </c>
      <c r="DK37" s="274"/>
      <c r="DL37" s="275">
        <f t="shared" si="39"/>
        <v>88.3</v>
      </c>
      <c r="DM37" s="274"/>
      <c r="DN37" s="275">
        <f t="shared" si="40"/>
        <v>0</v>
      </c>
      <c r="DO37" s="274"/>
      <c r="DP37" s="275">
        <f t="shared" si="41"/>
        <v>0</v>
      </c>
      <c r="DQ37" s="276">
        <f t="shared" si="42"/>
        <v>1</v>
      </c>
      <c r="DR37" s="274">
        <v>29.6</v>
      </c>
      <c r="DS37" s="274"/>
      <c r="DT37" s="274">
        <v>29.6</v>
      </c>
      <c r="DU37" s="274"/>
      <c r="DV37" s="274"/>
      <c r="DW37" s="274"/>
      <c r="DX37" s="275">
        <f t="shared" si="43"/>
        <v>0</v>
      </c>
      <c r="DY37" s="276">
        <f t="shared" si="44"/>
        <v>1</v>
      </c>
      <c r="DZ37" s="274">
        <v>28.4</v>
      </c>
      <c r="EA37" s="274"/>
      <c r="EB37" s="274">
        <v>28.4</v>
      </c>
      <c r="EC37" s="274"/>
      <c r="ED37" s="274"/>
      <c r="EE37" s="274"/>
      <c r="EF37" s="275">
        <f t="shared" si="45"/>
        <v>0</v>
      </c>
      <c r="EG37" s="276">
        <f t="shared" si="46"/>
        <v>1</v>
      </c>
      <c r="EH37" s="274">
        <v>30.3</v>
      </c>
      <c r="EI37" s="274"/>
      <c r="EJ37" s="274">
        <v>30.3</v>
      </c>
      <c r="EK37" s="274"/>
      <c r="EL37" s="274"/>
      <c r="EM37" s="274"/>
      <c r="EN37" s="275">
        <f t="shared" si="47"/>
        <v>0</v>
      </c>
      <c r="EO37" s="276">
        <f t="shared" si="48"/>
        <v>1</v>
      </c>
    </row>
    <row r="38" spans="1:145" ht="18.75" customHeight="1" x14ac:dyDescent="0.3">
      <c r="A38" s="264" t="s">
        <v>1596</v>
      </c>
      <c r="B38" s="265" t="s">
        <v>1597</v>
      </c>
      <c r="C38" s="234" t="s">
        <v>1598</v>
      </c>
      <c r="D38" s="234"/>
      <c r="E38" s="235"/>
      <c r="F38" s="232"/>
      <c r="G38" s="236"/>
      <c r="H38" s="243"/>
      <c r="I38" s="252"/>
      <c r="J38" s="275">
        <f t="shared" ref="J38:J69" si="49">R38+AX38+CD38+DJ38</f>
        <v>3776.1</v>
      </c>
      <c r="K38" s="274"/>
      <c r="L38" s="275">
        <f t="shared" ref="L38:L69" si="50">T38+AZ38+CF38+DL38</f>
        <v>3776.1</v>
      </c>
      <c r="M38" s="274"/>
      <c r="N38" s="275">
        <f t="shared" ref="N38:N69" si="51">V38+BB38+CH38+DN38</f>
        <v>1042.7287679999999</v>
      </c>
      <c r="O38" s="274"/>
      <c r="P38" s="275">
        <f t="shared" ref="P38:P69" si="52">IFERROR(L38-J38,"-")</f>
        <v>0</v>
      </c>
      <c r="Q38" s="276">
        <f t="shared" ref="Q38:Q69" si="53">IFERROR(L38/J38,"-")</f>
        <v>1</v>
      </c>
      <c r="R38" s="275">
        <f t="shared" ref="R38:R69" si="54">Z38+AH38+AP38</f>
        <v>947.6</v>
      </c>
      <c r="S38" s="274"/>
      <c r="T38" s="275">
        <f t="shared" ref="T38:T69" si="55">AB38+AJ38+AR38</f>
        <v>947.6</v>
      </c>
      <c r="U38" s="274"/>
      <c r="V38" s="275">
        <f t="shared" ref="V38:V69" si="56">AD38+AL38+AT38</f>
        <v>659.49063999999998</v>
      </c>
      <c r="W38" s="274"/>
      <c r="X38" s="275">
        <f t="shared" ref="X38:X69" si="57">IFERROR(T38-R38,"-")</f>
        <v>0</v>
      </c>
      <c r="Y38" s="276">
        <f t="shared" ref="Y38:Y69" si="58">IFERROR(T38/R38,"-")</f>
        <v>1</v>
      </c>
      <c r="Z38" s="274">
        <v>326.10000000000002</v>
      </c>
      <c r="AA38" s="274"/>
      <c r="AB38" s="274">
        <v>326.10000000000002</v>
      </c>
      <c r="AC38" s="274"/>
      <c r="AD38" s="274">
        <v>237.15433999999999</v>
      </c>
      <c r="AE38" s="274"/>
      <c r="AF38" s="275">
        <f t="shared" ref="AF38:AF69" si="59">IFERROR(AB38-Z38,"-")</f>
        <v>0</v>
      </c>
      <c r="AG38" s="276">
        <f t="shared" ref="AG38:AG69" si="60">IFERROR(AB38/Z38,"-")</f>
        <v>1</v>
      </c>
      <c r="AH38" s="274">
        <v>294.5</v>
      </c>
      <c r="AI38" s="274"/>
      <c r="AJ38" s="274">
        <v>294.5</v>
      </c>
      <c r="AK38" s="274"/>
      <c r="AL38" s="274">
        <v>184.85424399999999</v>
      </c>
      <c r="AM38" s="274"/>
      <c r="AN38" s="275">
        <f t="shared" ref="AN38:AN69" si="61">IFERROR(AJ38-AH38,"-")</f>
        <v>0</v>
      </c>
      <c r="AO38" s="276">
        <f t="shared" ref="AO38:AO69" si="62">IFERROR(AJ38/AH38,"-")</f>
        <v>1</v>
      </c>
      <c r="AP38" s="274">
        <v>327</v>
      </c>
      <c r="AQ38" s="274"/>
      <c r="AR38" s="274">
        <v>327</v>
      </c>
      <c r="AS38" s="274"/>
      <c r="AT38" s="274">
        <v>237.482056</v>
      </c>
      <c r="AU38" s="274"/>
      <c r="AV38" s="275">
        <f t="shared" ref="AV38:AV69" si="63">IFERROR(AR38-AP38,"-")</f>
        <v>0</v>
      </c>
      <c r="AW38" s="276">
        <f t="shared" ref="AW38:AW69" si="64">IFERROR(AR38/AP38,"-")</f>
        <v>1</v>
      </c>
      <c r="AX38" s="275">
        <f t="shared" ref="AX38:AX69" si="65">BF38+BN38+BV38</f>
        <v>723</v>
      </c>
      <c r="AY38" s="274"/>
      <c r="AZ38" s="275">
        <f t="shared" ref="AZ38:AZ69" si="66">BH38+BP38+BX38</f>
        <v>723</v>
      </c>
      <c r="BA38" s="274"/>
      <c r="BB38" s="275">
        <f t="shared" ref="BB38:BB69" si="67">BJ38+BR38+BZ38</f>
        <v>383.23812800000002</v>
      </c>
      <c r="BC38" s="274"/>
      <c r="BD38" s="275">
        <f t="shared" ref="BD38:BD69" si="68">IFERROR(AZ38-AX38,"-")</f>
        <v>0</v>
      </c>
      <c r="BE38" s="276">
        <f t="shared" ref="BE38:BE69" si="69">IFERROR(AZ38/AX38,"-")</f>
        <v>1</v>
      </c>
      <c r="BF38" s="274">
        <v>316.5</v>
      </c>
      <c r="BG38" s="274"/>
      <c r="BH38" s="274">
        <v>316.5</v>
      </c>
      <c r="BI38" s="274"/>
      <c r="BJ38" s="274">
        <v>227.51112800000001</v>
      </c>
      <c r="BK38" s="274"/>
      <c r="BL38" s="275">
        <f t="shared" ref="BL38:BL69" si="70">IFERROR(BH38-BF38,"-")</f>
        <v>0</v>
      </c>
      <c r="BM38" s="276">
        <f t="shared" ref="BM38:BM69" si="71">IFERROR(BH38/BF38,"-")</f>
        <v>1</v>
      </c>
      <c r="BN38" s="274">
        <v>224.2</v>
      </c>
      <c r="BO38" s="274"/>
      <c r="BP38" s="274">
        <v>224.2</v>
      </c>
      <c r="BQ38" s="274"/>
      <c r="BR38" s="274">
        <v>92.433000000000007</v>
      </c>
      <c r="BS38" s="274"/>
      <c r="BT38" s="275">
        <f t="shared" ref="BT38:BT69" si="72">IFERROR(BP38-BN38,"-")</f>
        <v>0</v>
      </c>
      <c r="BU38" s="276">
        <f t="shared" ref="BU38:BU69" si="73">IFERROR(BP38/BN38,"-")</f>
        <v>1</v>
      </c>
      <c r="BV38" s="274">
        <v>182.3</v>
      </c>
      <c r="BW38" s="274"/>
      <c r="BX38" s="274">
        <v>182.3</v>
      </c>
      <c r="BY38" s="274"/>
      <c r="BZ38" s="274">
        <v>63.293999999999997</v>
      </c>
      <c r="CA38" s="274"/>
      <c r="CB38" s="275">
        <f t="shared" ref="CB38:CB69" si="74">IFERROR(BX38-BV38,"-")</f>
        <v>0</v>
      </c>
      <c r="CC38" s="276">
        <f t="shared" ref="CC38:CC69" si="75">IFERROR(BX38/BV38,"-")</f>
        <v>1</v>
      </c>
      <c r="CD38" s="275">
        <f t="shared" ref="CD38:CD69" si="76">CL38+CT38+DB38</f>
        <v>1031</v>
      </c>
      <c r="CE38" s="274"/>
      <c r="CF38" s="275">
        <f t="shared" ref="CF38:CF69" si="77">CN38+CV38+DD38</f>
        <v>1031</v>
      </c>
      <c r="CG38" s="274"/>
      <c r="CH38" s="275">
        <f t="shared" ref="CH38:CH69" si="78">CP38+CX38+DF38</f>
        <v>0</v>
      </c>
      <c r="CI38" s="274"/>
      <c r="CJ38" s="275">
        <f t="shared" ref="CJ38:CJ69" si="79">IFERROR(CF38-CD38,"-")</f>
        <v>0</v>
      </c>
      <c r="CK38" s="276">
        <f t="shared" ref="CK38:CK69" si="80">IFERROR(CF38/CD38,"-")</f>
        <v>1</v>
      </c>
      <c r="CL38" s="274">
        <v>339.8</v>
      </c>
      <c r="CM38" s="274"/>
      <c r="CN38" s="274">
        <v>339.8</v>
      </c>
      <c r="CO38" s="274"/>
      <c r="CP38" s="274"/>
      <c r="CQ38" s="274"/>
      <c r="CR38" s="275">
        <f t="shared" ref="CR38:CR69" si="81">IFERROR(CN38-CL38,"-")</f>
        <v>0</v>
      </c>
      <c r="CS38" s="276">
        <f t="shared" ref="CS38:CS69" si="82">IFERROR(CN38/CL38,"-")</f>
        <v>1</v>
      </c>
      <c r="CT38" s="274">
        <v>340.6</v>
      </c>
      <c r="CU38" s="274"/>
      <c r="CV38" s="274">
        <v>340.6</v>
      </c>
      <c r="CW38" s="274"/>
      <c r="CX38" s="274"/>
      <c r="CY38" s="274"/>
      <c r="CZ38" s="275">
        <f t="shared" ref="CZ38:CZ69" si="83">IFERROR(CV38-CT38,"-")</f>
        <v>0</v>
      </c>
      <c r="DA38" s="276">
        <f t="shared" ref="DA38:DA69" si="84">IFERROR(CV38/CT38,"-")</f>
        <v>1</v>
      </c>
      <c r="DB38" s="274">
        <v>350.6</v>
      </c>
      <c r="DC38" s="274"/>
      <c r="DD38" s="274">
        <v>350.6</v>
      </c>
      <c r="DE38" s="274"/>
      <c r="DF38" s="274"/>
      <c r="DG38" s="274"/>
      <c r="DH38" s="275">
        <f t="shared" ref="DH38:DH69" si="85">IFERROR(DD38-DB38,"-")</f>
        <v>0</v>
      </c>
      <c r="DI38" s="276">
        <f t="shared" ref="DI38:DI69" si="86">IFERROR(DD38/DB38,"-")</f>
        <v>1</v>
      </c>
      <c r="DJ38" s="275">
        <f t="shared" ref="DJ38:DJ69" si="87">DR38+DZ38+EH38</f>
        <v>1074.5</v>
      </c>
      <c r="DK38" s="274"/>
      <c r="DL38" s="275">
        <f t="shared" ref="DL38:DL69" si="88">DT38+EB38+EJ38</f>
        <v>1074.5</v>
      </c>
      <c r="DM38" s="274"/>
      <c r="DN38" s="275">
        <f t="shared" ref="DN38:DN69" si="89">DV38+ED38+EL38</f>
        <v>0</v>
      </c>
      <c r="DO38" s="274"/>
      <c r="DP38" s="275">
        <f t="shared" ref="DP38:DP69" si="90">IFERROR(DL38-DJ38,"-")</f>
        <v>0</v>
      </c>
      <c r="DQ38" s="276">
        <f t="shared" ref="DQ38:DQ69" si="91">IFERROR(DL38/DJ38,"-")</f>
        <v>1</v>
      </c>
      <c r="DR38" s="274">
        <v>362.3</v>
      </c>
      <c r="DS38" s="274"/>
      <c r="DT38" s="274">
        <v>362.3</v>
      </c>
      <c r="DU38" s="274"/>
      <c r="DV38" s="274"/>
      <c r="DW38" s="274"/>
      <c r="DX38" s="275">
        <f t="shared" ref="DX38:DX69" si="92">IFERROR(DT38-DR38,"-")</f>
        <v>0</v>
      </c>
      <c r="DY38" s="276">
        <f t="shared" ref="DY38:DY69" si="93">IFERROR(DT38/DR38,"-")</f>
        <v>1</v>
      </c>
      <c r="DZ38" s="274">
        <v>350.6</v>
      </c>
      <c r="EA38" s="274"/>
      <c r="EB38" s="274">
        <v>350.6</v>
      </c>
      <c r="EC38" s="274"/>
      <c r="ED38" s="274"/>
      <c r="EE38" s="274"/>
      <c r="EF38" s="275">
        <f t="shared" ref="EF38:EF69" si="94">IFERROR(EB38-DZ38,"-")</f>
        <v>0</v>
      </c>
      <c r="EG38" s="276">
        <f t="shared" ref="EG38:EG69" si="95">IFERROR(EB38/DZ38,"-")</f>
        <v>1</v>
      </c>
      <c r="EH38" s="274">
        <v>361.6</v>
      </c>
      <c r="EI38" s="274"/>
      <c r="EJ38" s="274">
        <v>361.6</v>
      </c>
      <c r="EK38" s="274"/>
      <c r="EL38" s="274"/>
      <c r="EM38" s="274"/>
      <c r="EN38" s="275">
        <f t="shared" ref="EN38:EN69" si="96">IFERROR(EJ38-EH38,"-")</f>
        <v>0</v>
      </c>
      <c r="EO38" s="276">
        <f t="shared" ref="EO38:EO69" si="97">IFERROR(EJ38/EH38,"-")</f>
        <v>1</v>
      </c>
    </row>
    <row r="39" spans="1:145" ht="18.75" customHeight="1" x14ac:dyDescent="0.3">
      <c r="A39" s="263" t="s">
        <v>1599</v>
      </c>
      <c r="B39" s="225" t="s">
        <v>1600</v>
      </c>
      <c r="C39" s="234" t="s">
        <v>1601</v>
      </c>
      <c r="D39" s="234"/>
      <c r="E39" s="235"/>
      <c r="F39" s="232"/>
      <c r="G39" s="236"/>
      <c r="H39" s="243"/>
      <c r="I39" s="252"/>
      <c r="J39" s="275">
        <f t="shared" si="49"/>
        <v>3776.1</v>
      </c>
      <c r="K39" s="274"/>
      <c r="L39" s="275">
        <f t="shared" si="50"/>
        <v>3776.1</v>
      </c>
      <c r="M39" s="274"/>
      <c r="N39" s="275">
        <f t="shared" si="51"/>
        <v>1042.7287679999999</v>
      </c>
      <c r="O39" s="274"/>
      <c r="P39" s="275">
        <f t="shared" si="52"/>
        <v>0</v>
      </c>
      <c r="Q39" s="276">
        <f t="shared" si="53"/>
        <v>1</v>
      </c>
      <c r="R39" s="275">
        <f t="shared" si="54"/>
        <v>947.6</v>
      </c>
      <c r="S39" s="274"/>
      <c r="T39" s="275">
        <f t="shared" si="55"/>
        <v>947.6</v>
      </c>
      <c r="U39" s="274"/>
      <c r="V39" s="275">
        <f t="shared" si="56"/>
        <v>659.49063999999998</v>
      </c>
      <c r="W39" s="274"/>
      <c r="X39" s="275">
        <f t="shared" si="57"/>
        <v>0</v>
      </c>
      <c r="Y39" s="276">
        <f t="shared" si="58"/>
        <v>1</v>
      </c>
      <c r="Z39" s="274">
        <v>326.10000000000002</v>
      </c>
      <c r="AA39" s="274"/>
      <c r="AB39" s="274">
        <v>326.10000000000002</v>
      </c>
      <c r="AC39" s="274"/>
      <c r="AD39" s="274">
        <v>237.15433999999999</v>
      </c>
      <c r="AE39" s="274"/>
      <c r="AF39" s="275">
        <f t="shared" si="59"/>
        <v>0</v>
      </c>
      <c r="AG39" s="276">
        <f t="shared" si="60"/>
        <v>1</v>
      </c>
      <c r="AH39" s="274">
        <v>294.5</v>
      </c>
      <c r="AI39" s="274"/>
      <c r="AJ39" s="274">
        <v>294.5</v>
      </c>
      <c r="AK39" s="274"/>
      <c r="AL39" s="274">
        <v>184.85424399999999</v>
      </c>
      <c r="AM39" s="274"/>
      <c r="AN39" s="275">
        <f t="shared" si="61"/>
        <v>0</v>
      </c>
      <c r="AO39" s="276">
        <f t="shared" si="62"/>
        <v>1</v>
      </c>
      <c r="AP39" s="274">
        <v>327</v>
      </c>
      <c r="AQ39" s="274"/>
      <c r="AR39" s="274">
        <v>327</v>
      </c>
      <c r="AS39" s="274"/>
      <c r="AT39" s="274">
        <v>237.482056</v>
      </c>
      <c r="AU39" s="274"/>
      <c r="AV39" s="275">
        <f t="shared" si="63"/>
        <v>0</v>
      </c>
      <c r="AW39" s="276">
        <f t="shared" si="64"/>
        <v>1</v>
      </c>
      <c r="AX39" s="275">
        <f t="shared" si="65"/>
        <v>723</v>
      </c>
      <c r="AY39" s="274"/>
      <c r="AZ39" s="275">
        <f t="shared" si="66"/>
        <v>723</v>
      </c>
      <c r="BA39" s="274"/>
      <c r="BB39" s="275">
        <f t="shared" si="67"/>
        <v>383.23812800000002</v>
      </c>
      <c r="BC39" s="274"/>
      <c r="BD39" s="275">
        <f t="shared" si="68"/>
        <v>0</v>
      </c>
      <c r="BE39" s="276">
        <f t="shared" si="69"/>
        <v>1</v>
      </c>
      <c r="BF39" s="274">
        <v>316.5</v>
      </c>
      <c r="BG39" s="274"/>
      <c r="BH39" s="274">
        <v>316.5</v>
      </c>
      <c r="BI39" s="274"/>
      <c r="BJ39" s="274">
        <v>227.51112800000001</v>
      </c>
      <c r="BK39" s="274"/>
      <c r="BL39" s="275">
        <f t="shared" si="70"/>
        <v>0</v>
      </c>
      <c r="BM39" s="276">
        <f t="shared" si="71"/>
        <v>1</v>
      </c>
      <c r="BN39" s="274">
        <v>224.2</v>
      </c>
      <c r="BO39" s="274"/>
      <c r="BP39" s="274">
        <v>224.2</v>
      </c>
      <c r="BQ39" s="274"/>
      <c r="BR39" s="274">
        <v>92.433000000000007</v>
      </c>
      <c r="BS39" s="274"/>
      <c r="BT39" s="275">
        <f t="shared" si="72"/>
        <v>0</v>
      </c>
      <c r="BU39" s="276">
        <f t="shared" si="73"/>
        <v>1</v>
      </c>
      <c r="BV39" s="274">
        <v>182.3</v>
      </c>
      <c r="BW39" s="274"/>
      <c r="BX39" s="274">
        <v>182.3</v>
      </c>
      <c r="BY39" s="274"/>
      <c r="BZ39" s="274">
        <v>63.293999999999997</v>
      </c>
      <c r="CA39" s="274"/>
      <c r="CB39" s="275">
        <f t="shared" si="74"/>
        <v>0</v>
      </c>
      <c r="CC39" s="276">
        <f t="shared" si="75"/>
        <v>1</v>
      </c>
      <c r="CD39" s="275">
        <f t="shared" si="76"/>
        <v>1031</v>
      </c>
      <c r="CE39" s="274"/>
      <c r="CF39" s="275">
        <f t="shared" si="77"/>
        <v>1031</v>
      </c>
      <c r="CG39" s="274"/>
      <c r="CH39" s="275">
        <f t="shared" si="78"/>
        <v>0</v>
      </c>
      <c r="CI39" s="274"/>
      <c r="CJ39" s="275">
        <f t="shared" si="79"/>
        <v>0</v>
      </c>
      <c r="CK39" s="276">
        <f t="shared" si="80"/>
        <v>1</v>
      </c>
      <c r="CL39" s="274">
        <v>339.8</v>
      </c>
      <c r="CM39" s="274"/>
      <c r="CN39" s="274">
        <v>339.8</v>
      </c>
      <c r="CO39" s="274"/>
      <c r="CP39" s="274"/>
      <c r="CQ39" s="274"/>
      <c r="CR39" s="275">
        <f t="shared" si="81"/>
        <v>0</v>
      </c>
      <c r="CS39" s="276">
        <f t="shared" si="82"/>
        <v>1</v>
      </c>
      <c r="CT39" s="274">
        <v>340.6</v>
      </c>
      <c r="CU39" s="274"/>
      <c r="CV39" s="274">
        <v>340.6</v>
      </c>
      <c r="CW39" s="274"/>
      <c r="CX39" s="274"/>
      <c r="CY39" s="274"/>
      <c r="CZ39" s="275">
        <f t="shared" si="83"/>
        <v>0</v>
      </c>
      <c r="DA39" s="276">
        <f t="shared" si="84"/>
        <v>1</v>
      </c>
      <c r="DB39" s="274">
        <v>350.6</v>
      </c>
      <c r="DC39" s="274"/>
      <c r="DD39" s="274">
        <v>350.6</v>
      </c>
      <c r="DE39" s="274"/>
      <c r="DF39" s="274"/>
      <c r="DG39" s="274"/>
      <c r="DH39" s="275">
        <f t="shared" si="85"/>
        <v>0</v>
      </c>
      <c r="DI39" s="276">
        <f t="shared" si="86"/>
        <v>1</v>
      </c>
      <c r="DJ39" s="275">
        <f t="shared" si="87"/>
        <v>1074.5</v>
      </c>
      <c r="DK39" s="274"/>
      <c r="DL39" s="275">
        <f t="shared" si="88"/>
        <v>1074.5</v>
      </c>
      <c r="DM39" s="274"/>
      <c r="DN39" s="275">
        <f t="shared" si="89"/>
        <v>0</v>
      </c>
      <c r="DO39" s="274"/>
      <c r="DP39" s="275">
        <f t="shared" si="90"/>
        <v>0</v>
      </c>
      <c r="DQ39" s="276">
        <f t="shared" si="91"/>
        <v>1</v>
      </c>
      <c r="DR39" s="274">
        <v>362.3</v>
      </c>
      <c r="DS39" s="274"/>
      <c r="DT39" s="274">
        <v>362.3</v>
      </c>
      <c r="DU39" s="274"/>
      <c r="DV39" s="274"/>
      <c r="DW39" s="274"/>
      <c r="DX39" s="275">
        <f t="shared" si="92"/>
        <v>0</v>
      </c>
      <c r="DY39" s="276">
        <f t="shared" si="93"/>
        <v>1</v>
      </c>
      <c r="DZ39" s="274">
        <v>350.6</v>
      </c>
      <c r="EA39" s="274"/>
      <c r="EB39" s="274">
        <v>350.6</v>
      </c>
      <c r="EC39" s="274"/>
      <c r="ED39" s="274"/>
      <c r="EE39" s="274"/>
      <c r="EF39" s="275">
        <f t="shared" si="94"/>
        <v>0</v>
      </c>
      <c r="EG39" s="276">
        <f t="shared" si="95"/>
        <v>1</v>
      </c>
      <c r="EH39" s="274">
        <v>361.6</v>
      </c>
      <c r="EI39" s="274"/>
      <c r="EJ39" s="274">
        <v>361.6</v>
      </c>
      <c r="EK39" s="274"/>
      <c r="EL39" s="274"/>
      <c r="EM39" s="274"/>
      <c r="EN39" s="275">
        <f t="shared" si="96"/>
        <v>0</v>
      </c>
      <c r="EO39" s="276">
        <f t="shared" si="97"/>
        <v>1</v>
      </c>
    </row>
    <row r="40" spans="1:145" ht="18.75" customHeight="1" x14ac:dyDescent="0.3">
      <c r="A40" s="263" t="s">
        <v>1602</v>
      </c>
      <c r="B40" s="222" t="s">
        <v>394</v>
      </c>
      <c r="C40" s="234" t="s">
        <v>1603</v>
      </c>
      <c r="D40" s="234"/>
      <c r="E40" s="235"/>
      <c r="F40" s="232"/>
      <c r="G40" s="236"/>
      <c r="H40" s="243"/>
      <c r="I40" s="252"/>
      <c r="J40" s="275">
        <f t="shared" si="49"/>
        <v>1327</v>
      </c>
      <c r="K40" s="274"/>
      <c r="L40" s="275">
        <f t="shared" si="50"/>
        <v>1327</v>
      </c>
      <c r="M40" s="274"/>
      <c r="N40" s="275">
        <f t="shared" si="51"/>
        <v>472.53731599999998</v>
      </c>
      <c r="O40" s="274"/>
      <c r="P40" s="275">
        <f t="shared" si="52"/>
        <v>0</v>
      </c>
      <c r="Q40" s="276">
        <f t="shared" si="53"/>
        <v>1</v>
      </c>
      <c r="R40" s="275">
        <f t="shared" si="54"/>
        <v>342.70000000000005</v>
      </c>
      <c r="S40" s="274"/>
      <c r="T40" s="275">
        <f t="shared" si="55"/>
        <v>342.70000000000005</v>
      </c>
      <c r="U40" s="274"/>
      <c r="V40" s="275">
        <f t="shared" si="56"/>
        <v>302.77812399999999</v>
      </c>
      <c r="W40" s="274"/>
      <c r="X40" s="275">
        <f t="shared" si="57"/>
        <v>0</v>
      </c>
      <c r="Y40" s="276">
        <f t="shared" si="58"/>
        <v>1</v>
      </c>
      <c r="Z40" s="274">
        <v>112.7</v>
      </c>
      <c r="AA40" s="274"/>
      <c r="AB40" s="274">
        <v>112.7</v>
      </c>
      <c r="AC40" s="274"/>
      <c r="AD40" s="274">
        <v>119.908646</v>
      </c>
      <c r="AE40" s="274"/>
      <c r="AF40" s="275">
        <f t="shared" si="59"/>
        <v>0</v>
      </c>
      <c r="AG40" s="276">
        <f t="shared" si="60"/>
        <v>1</v>
      </c>
      <c r="AH40" s="274">
        <v>101.7</v>
      </c>
      <c r="AI40" s="274"/>
      <c r="AJ40" s="274">
        <v>101.7</v>
      </c>
      <c r="AK40" s="274"/>
      <c r="AL40" s="274">
        <v>81.849914999999996</v>
      </c>
      <c r="AM40" s="274"/>
      <c r="AN40" s="275">
        <f t="shared" si="61"/>
        <v>0</v>
      </c>
      <c r="AO40" s="276">
        <f t="shared" si="62"/>
        <v>1</v>
      </c>
      <c r="AP40" s="274">
        <v>128.30000000000001</v>
      </c>
      <c r="AQ40" s="274"/>
      <c r="AR40" s="274">
        <v>128.30000000000001</v>
      </c>
      <c r="AS40" s="274"/>
      <c r="AT40" s="274">
        <v>101.01956300000001</v>
      </c>
      <c r="AU40" s="274"/>
      <c r="AV40" s="275">
        <f t="shared" si="63"/>
        <v>0</v>
      </c>
      <c r="AW40" s="276">
        <f t="shared" si="64"/>
        <v>1</v>
      </c>
      <c r="AX40" s="275">
        <f t="shared" si="65"/>
        <v>313.10000000000002</v>
      </c>
      <c r="AY40" s="274"/>
      <c r="AZ40" s="275">
        <f t="shared" si="66"/>
        <v>313.10000000000002</v>
      </c>
      <c r="BA40" s="274"/>
      <c r="BB40" s="275">
        <f t="shared" si="67"/>
        <v>169.75919199999998</v>
      </c>
      <c r="BC40" s="274"/>
      <c r="BD40" s="275">
        <f t="shared" si="68"/>
        <v>0</v>
      </c>
      <c r="BE40" s="276">
        <f t="shared" si="69"/>
        <v>1</v>
      </c>
      <c r="BF40" s="274">
        <v>109.1</v>
      </c>
      <c r="BG40" s="274"/>
      <c r="BH40" s="274">
        <v>109.1</v>
      </c>
      <c r="BI40" s="274"/>
      <c r="BJ40" s="274">
        <v>92.199123</v>
      </c>
      <c r="BK40" s="274"/>
      <c r="BL40" s="275">
        <f t="shared" si="70"/>
        <v>0</v>
      </c>
      <c r="BM40" s="276">
        <f t="shared" si="71"/>
        <v>1</v>
      </c>
      <c r="BN40" s="274">
        <v>102</v>
      </c>
      <c r="BO40" s="274"/>
      <c r="BP40" s="274">
        <v>102</v>
      </c>
      <c r="BQ40" s="274"/>
      <c r="BR40" s="274">
        <v>32.792000000000002</v>
      </c>
      <c r="BS40" s="274"/>
      <c r="BT40" s="275">
        <f t="shared" si="72"/>
        <v>0</v>
      </c>
      <c r="BU40" s="276">
        <f t="shared" si="73"/>
        <v>1</v>
      </c>
      <c r="BV40" s="274">
        <v>102</v>
      </c>
      <c r="BW40" s="274"/>
      <c r="BX40" s="274">
        <v>102</v>
      </c>
      <c r="BY40" s="274"/>
      <c r="BZ40" s="274">
        <v>44.768068999999997</v>
      </c>
      <c r="CA40" s="274"/>
      <c r="CB40" s="275">
        <f t="shared" si="74"/>
        <v>0</v>
      </c>
      <c r="CC40" s="276">
        <f t="shared" si="75"/>
        <v>1</v>
      </c>
      <c r="CD40" s="275">
        <f t="shared" si="76"/>
        <v>311.89999999999998</v>
      </c>
      <c r="CE40" s="274"/>
      <c r="CF40" s="275">
        <f t="shared" si="77"/>
        <v>311.89999999999998</v>
      </c>
      <c r="CG40" s="274"/>
      <c r="CH40" s="275">
        <f t="shared" si="78"/>
        <v>0</v>
      </c>
      <c r="CI40" s="274"/>
      <c r="CJ40" s="275">
        <f t="shared" si="79"/>
        <v>0</v>
      </c>
      <c r="CK40" s="276">
        <f t="shared" si="80"/>
        <v>1</v>
      </c>
      <c r="CL40" s="274">
        <v>102</v>
      </c>
      <c r="CM40" s="274"/>
      <c r="CN40" s="274">
        <v>102</v>
      </c>
      <c r="CO40" s="274"/>
      <c r="CP40" s="274"/>
      <c r="CQ40" s="274"/>
      <c r="CR40" s="275">
        <f t="shared" si="81"/>
        <v>0</v>
      </c>
      <c r="CS40" s="276">
        <f t="shared" si="82"/>
        <v>1</v>
      </c>
      <c r="CT40" s="274">
        <v>102</v>
      </c>
      <c r="CU40" s="274"/>
      <c r="CV40" s="274">
        <v>102</v>
      </c>
      <c r="CW40" s="274"/>
      <c r="CX40" s="274"/>
      <c r="CY40" s="274"/>
      <c r="CZ40" s="275">
        <f t="shared" si="83"/>
        <v>0</v>
      </c>
      <c r="DA40" s="276">
        <f t="shared" si="84"/>
        <v>1</v>
      </c>
      <c r="DB40" s="274">
        <v>107.9</v>
      </c>
      <c r="DC40" s="274"/>
      <c r="DD40" s="274">
        <v>107.9</v>
      </c>
      <c r="DE40" s="274"/>
      <c r="DF40" s="274"/>
      <c r="DG40" s="274"/>
      <c r="DH40" s="275">
        <f t="shared" si="85"/>
        <v>0</v>
      </c>
      <c r="DI40" s="276">
        <f t="shared" si="86"/>
        <v>1</v>
      </c>
      <c r="DJ40" s="275">
        <f t="shared" si="87"/>
        <v>359.3</v>
      </c>
      <c r="DK40" s="274"/>
      <c r="DL40" s="275">
        <f t="shared" si="88"/>
        <v>359.3</v>
      </c>
      <c r="DM40" s="274"/>
      <c r="DN40" s="275">
        <f t="shared" si="89"/>
        <v>0</v>
      </c>
      <c r="DO40" s="274"/>
      <c r="DP40" s="275">
        <f t="shared" si="90"/>
        <v>0</v>
      </c>
      <c r="DQ40" s="276">
        <f t="shared" si="91"/>
        <v>1</v>
      </c>
      <c r="DR40" s="274">
        <v>112.7</v>
      </c>
      <c r="DS40" s="274"/>
      <c r="DT40" s="274">
        <v>112.7</v>
      </c>
      <c r="DU40" s="274"/>
      <c r="DV40" s="274"/>
      <c r="DW40" s="274"/>
      <c r="DX40" s="275">
        <f t="shared" si="92"/>
        <v>0</v>
      </c>
      <c r="DY40" s="276">
        <f t="shared" si="93"/>
        <v>1</v>
      </c>
      <c r="DZ40" s="274">
        <v>120.7</v>
      </c>
      <c r="EA40" s="274"/>
      <c r="EB40" s="274">
        <v>120.7</v>
      </c>
      <c r="EC40" s="274"/>
      <c r="ED40" s="274"/>
      <c r="EE40" s="274"/>
      <c r="EF40" s="275">
        <f t="shared" si="94"/>
        <v>0</v>
      </c>
      <c r="EG40" s="276">
        <f t="shared" si="95"/>
        <v>1</v>
      </c>
      <c r="EH40" s="274">
        <v>125.9</v>
      </c>
      <c r="EI40" s="274"/>
      <c r="EJ40" s="274">
        <v>125.9</v>
      </c>
      <c r="EK40" s="274"/>
      <c r="EL40" s="274"/>
      <c r="EM40" s="274"/>
      <c r="EN40" s="275">
        <f t="shared" si="96"/>
        <v>0</v>
      </c>
      <c r="EO40" s="276">
        <f t="shared" si="97"/>
        <v>1</v>
      </c>
    </row>
    <row r="41" spans="1:145" ht="18.75" customHeight="1" x14ac:dyDescent="0.3">
      <c r="A41" s="263" t="s">
        <v>1604</v>
      </c>
      <c r="B41" s="222" t="s">
        <v>396</v>
      </c>
      <c r="C41" s="234" t="s">
        <v>1605</v>
      </c>
      <c r="D41" s="234"/>
      <c r="E41" s="235"/>
      <c r="F41" s="232"/>
      <c r="G41" s="236"/>
      <c r="H41" s="243"/>
      <c r="I41" s="252"/>
      <c r="J41" s="275">
        <f t="shared" si="49"/>
        <v>753.80000000000007</v>
      </c>
      <c r="K41" s="274"/>
      <c r="L41" s="275">
        <f t="shared" si="50"/>
        <v>753.80000000000007</v>
      </c>
      <c r="M41" s="274"/>
      <c r="N41" s="275">
        <f t="shared" si="51"/>
        <v>54.406907000000004</v>
      </c>
      <c r="O41" s="274"/>
      <c r="P41" s="275">
        <f t="shared" si="52"/>
        <v>0</v>
      </c>
      <c r="Q41" s="276">
        <f t="shared" si="53"/>
        <v>1</v>
      </c>
      <c r="R41" s="275">
        <f t="shared" si="54"/>
        <v>317.10000000000002</v>
      </c>
      <c r="S41" s="274"/>
      <c r="T41" s="275">
        <f t="shared" si="55"/>
        <v>317.10000000000002</v>
      </c>
      <c r="U41" s="274"/>
      <c r="V41" s="275">
        <f t="shared" si="56"/>
        <v>31.898221000000003</v>
      </c>
      <c r="W41" s="274"/>
      <c r="X41" s="275">
        <f t="shared" si="57"/>
        <v>0</v>
      </c>
      <c r="Y41" s="276">
        <f t="shared" si="58"/>
        <v>1</v>
      </c>
      <c r="Z41" s="274">
        <v>81</v>
      </c>
      <c r="AA41" s="274"/>
      <c r="AB41" s="274">
        <v>81</v>
      </c>
      <c r="AC41" s="274"/>
      <c r="AD41" s="274">
        <v>7.6158640000000002</v>
      </c>
      <c r="AE41" s="274"/>
      <c r="AF41" s="275">
        <f t="shared" si="59"/>
        <v>0</v>
      </c>
      <c r="AG41" s="276">
        <f t="shared" si="60"/>
        <v>1</v>
      </c>
      <c r="AH41" s="274">
        <v>70.900000000000006</v>
      </c>
      <c r="AI41" s="274"/>
      <c r="AJ41" s="274">
        <v>70.900000000000006</v>
      </c>
      <c r="AK41" s="274"/>
      <c r="AL41" s="274">
        <v>17.477339000000001</v>
      </c>
      <c r="AM41" s="274"/>
      <c r="AN41" s="275">
        <f t="shared" si="61"/>
        <v>0</v>
      </c>
      <c r="AO41" s="276">
        <f t="shared" si="62"/>
        <v>1</v>
      </c>
      <c r="AP41" s="274">
        <v>165.2</v>
      </c>
      <c r="AQ41" s="274"/>
      <c r="AR41" s="274">
        <v>165.2</v>
      </c>
      <c r="AS41" s="274"/>
      <c r="AT41" s="274">
        <v>6.8050179999999996</v>
      </c>
      <c r="AU41" s="274"/>
      <c r="AV41" s="275">
        <f t="shared" si="63"/>
        <v>0</v>
      </c>
      <c r="AW41" s="276">
        <f t="shared" si="64"/>
        <v>1</v>
      </c>
      <c r="AX41" s="275">
        <f t="shared" si="65"/>
        <v>28</v>
      </c>
      <c r="AY41" s="274"/>
      <c r="AZ41" s="275">
        <f t="shared" si="66"/>
        <v>28</v>
      </c>
      <c r="BA41" s="274"/>
      <c r="BB41" s="275">
        <f t="shared" si="67"/>
        <v>22.508685999999997</v>
      </c>
      <c r="BC41" s="274"/>
      <c r="BD41" s="275">
        <f t="shared" si="68"/>
        <v>0</v>
      </c>
      <c r="BE41" s="276">
        <f t="shared" si="69"/>
        <v>1</v>
      </c>
      <c r="BF41" s="274">
        <v>21.9</v>
      </c>
      <c r="BG41" s="274"/>
      <c r="BH41" s="274">
        <v>21.9</v>
      </c>
      <c r="BI41" s="274"/>
      <c r="BJ41" s="274">
        <v>18.213204999999999</v>
      </c>
      <c r="BK41" s="274"/>
      <c r="BL41" s="275">
        <f t="shared" si="70"/>
        <v>0</v>
      </c>
      <c r="BM41" s="276">
        <f t="shared" si="71"/>
        <v>1</v>
      </c>
      <c r="BN41" s="274">
        <v>3.1</v>
      </c>
      <c r="BO41" s="274"/>
      <c r="BP41" s="274">
        <v>3.1</v>
      </c>
      <c r="BQ41" s="274"/>
      <c r="BR41" s="274">
        <v>4.2869999999999999</v>
      </c>
      <c r="BS41" s="274"/>
      <c r="BT41" s="275">
        <f t="shared" si="72"/>
        <v>0</v>
      </c>
      <c r="BU41" s="276">
        <f t="shared" si="73"/>
        <v>1</v>
      </c>
      <c r="BV41" s="274">
        <v>3</v>
      </c>
      <c r="BW41" s="274"/>
      <c r="BX41" s="274">
        <v>3</v>
      </c>
      <c r="BY41" s="274"/>
      <c r="BZ41" s="274">
        <v>8.4810000000000007E-3</v>
      </c>
      <c r="CA41" s="274"/>
      <c r="CB41" s="275">
        <f t="shared" si="74"/>
        <v>0</v>
      </c>
      <c r="CC41" s="276">
        <f t="shared" si="75"/>
        <v>1</v>
      </c>
      <c r="CD41" s="275">
        <f t="shared" si="76"/>
        <v>197.60000000000002</v>
      </c>
      <c r="CE41" s="274"/>
      <c r="CF41" s="275">
        <f t="shared" si="77"/>
        <v>197.60000000000002</v>
      </c>
      <c r="CG41" s="274"/>
      <c r="CH41" s="275">
        <f t="shared" si="78"/>
        <v>0</v>
      </c>
      <c r="CI41" s="274"/>
      <c r="CJ41" s="275">
        <f t="shared" si="79"/>
        <v>0</v>
      </c>
      <c r="CK41" s="276">
        <f t="shared" si="80"/>
        <v>1</v>
      </c>
      <c r="CL41" s="274">
        <v>43.8</v>
      </c>
      <c r="CM41" s="274"/>
      <c r="CN41" s="274">
        <v>43.8</v>
      </c>
      <c r="CO41" s="274"/>
      <c r="CP41" s="274"/>
      <c r="CQ41" s="274"/>
      <c r="CR41" s="275">
        <f t="shared" si="81"/>
        <v>0</v>
      </c>
      <c r="CS41" s="276">
        <f t="shared" si="82"/>
        <v>1</v>
      </c>
      <c r="CT41" s="274">
        <v>75.400000000000006</v>
      </c>
      <c r="CU41" s="274"/>
      <c r="CV41" s="274">
        <v>75.400000000000006</v>
      </c>
      <c r="CW41" s="274"/>
      <c r="CX41" s="274"/>
      <c r="CY41" s="274"/>
      <c r="CZ41" s="275">
        <f t="shared" si="83"/>
        <v>0</v>
      </c>
      <c r="DA41" s="276">
        <f t="shared" si="84"/>
        <v>1</v>
      </c>
      <c r="DB41" s="274">
        <v>78.400000000000006</v>
      </c>
      <c r="DC41" s="274"/>
      <c r="DD41" s="274">
        <v>78.400000000000006</v>
      </c>
      <c r="DE41" s="274"/>
      <c r="DF41" s="274"/>
      <c r="DG41" s="274"/>
      <c r="DH41" s="275">
        <f t="shared" si="85"/>
        <v>0</v>
      </c>
      <c r="DI41" s="276">
        <f t="shared" si="86"/>
        <v>1</v>
      </c>
      <c r="DJ41" s="275">
        <f t="shared" si="87"/>
        <v>211.10000000000002</v>
      </c>
      <c r="DK41" s="274"/>
      <c r="DL41" s="275">
        <f t="shared" si="88"/>
        <v>211.10000000000002</v>
      </c>
      <c r="DM41" s="274"/>
      <c r="DN41" s="275">
        <f t="shared" si="89"/>
        <v>0</v>
      </c>
      <c r="DO41" s="274"/>
      <c r="DP41" s="275">
        <f t="shared" si="90"/>
        <v>0</v>
      </c>
      <c r="DQ41" s="276">
        <f t="shared" si="91"/>
        <v>1</v>
      </c>
      <c r="DR41" s="274">
        <v>79.7</v>
      </c>
      <c r="DS41" s="274"/>
      <c r="DT41" s="274">
        <v>79.7</v>
      </c>
      <c r="DU41" s="274"/>
      <c r="DV41" s="274"/>
      <c r="DW41" s="274"/>
      <c r="DX41" s="275">
        <f t="shared" si="92"/>
        <v>0</v>
      </c>
      <c r="DY41" s="276">
        <f t="shared" si="93"/>
        <v>1</v>
      </c>
      <c r="DZ41" s="274">
        <v>65.599999999999994</v>
      </c>
      <c r="EA41" s="274"/>
      <c r="EB41" s="274">
        <v>65.599999999999994</v>
      </c>
      <c r="EC41" s="274"/>
      <c r="ED41" s="274"/>
      <c r="EE41" s="274"/>
      <c r="EF41" s="275">
        <f t="shared" si="94"/>
        <v>0</v>
      </c>
      <c r="EG41" s="276">
        <f t="shared" si="95"/>
        <v>1</v>
      </c>
      <c r="EH41" s="274">
        <v>65.8</v>
      </c>
      <c r="EI41" s="274"/>
      <c r="EJ41" s="274">
        <v>65.8</v>
      </c>
      <c r="EK41" s="274"/>
      <c r="EL41" s="274"/>
      <c r="EM41" s="274"/>
      <c r="EN41" s="275">
        <f t="shared" si="96"/>
        <v>0</v>
      </c>
      <c r="EO41" s="276">
        <f t="shared" si="97"/>
        <v>1</v>
      </c>
    </row>
    <row r="42" spans="1:145" ht="18.75" customHeight="1" x14ac:dyDescent="0.3">
      <c r="A42" s="263" t="s">
        <v>1606</v>
      </c>
      <c r="B42" s="222" t="s">
        <v>403</v>
      </c>
      <c r="C42" s="234" t="s">
        <v>1607</v>
      </c>
      <c r="D42" s="234"/>
      <c r="E42" s="235"/>
      <c r="F42" s="232"/>
      <c r="G42" s="236"/>
      <c r="H42" s="243"/>
      <c r="I42" s="252"/>
      <c r="J42" s="275">
        <f t="shared" si="49"/>
        <v>1605.3000000000002</v>
      </c>
      <c r="K42" s="274"/>
      <c r="L42" s="275">
        <f t="shared" si="50"/>
        <v>1605.3000000000002</v>
      </c>
      <c r="M42" s="274"/>
      <c r="N42" s="275">
        <f t="shared" si="51"/>
        <v>437.76691500000004</v>
      </c>
      <c r="O42" s="274"/>
      <c r="P42" s="275">
        <f t="shared" si="52"/>
        <v>0</v>
      </c>
      <c r="Q42" s="276">
        <f t="shared" si="53"/>
        <v>1</v>
      </c>
      <c r="R42" s="275">
        <f t="shared" si="54"/>
        <v>254.3</v>
      </c>
      <c r="S42" s="274"/>
      <c r="T42" s="275">
        <f t="shared" si="55"/>
        <v>254.3</v>
      </c>
      <c r="U42" s="274"/>
      <c r="V42" s="275">
        <f t="shared" si="56"/>
        <v>308.37954500000001</v>
      </c>
      <c r="W42" s="274"/>
      <c r="X42" s="275">
        <f t="shared" si="57"/>
        <v>0</v>
      </c>
      <c r="Y42" s="276">
        <f t="shared" si="58"/>
        <v>1</v>
      </c>
      <c r="Z42" s="274">
        <v>132.4</v>
      </c>
      <c r="AA42" s="274"/>
      <c r="AB42" s="274">
        <v>132.4</v>
      </c>
      <c r="AC42" s="274"/>
      <c r="AD42" s="274">
        <v>109.62983</v>
      </c>
      <c r="AE42" s="274"/>
      <c r="AF42" s="275">
        <f t="shared" si="59"/>
        <v>0</v>
      </c>
      <c r="AG42" s="276">
        <f t="shared" si="60"/>
        <v>1</v>
      </c>
      <c r="AH42" s="274">
        <v>121.9</v>
      </c>
      <c r="AI42" s="274"/>
      <c r="AJ42" s="274">
        <v>121.9</v>
      </c>
      <c r="AK42" s="274"/>
      <c r="AL42" s="274">
        <v>85.526989999999998</v>
      </c>
      <c r="AM42" s="274"/>
      <c r="AN42" s="275">
        <f t="shared" si="61"/>
        <v>0</v>
      </c>
      <c r="AO42" s="276">
        <f t="shared" si="62"/>
        <v>1</v>
      </c>
      <c r="AP42" s="274">
        <v>0</v>
      </c>
      <c r="AQ42" s="274"/>
      <c r="AR42" s="274">
        <v>0</v>
      </c>
      <c r="AS42" s="274"/>
      <c r="AT42" s="274">
        <v>113.222725</v>
      </c>
      <c r="AU42" s="274"/>
      <c r="AV42" s="275">
        <f t="shared" si="63"/>
        <v>0</v>
      </c>
      <c r="AW42" s="276" t="str">
        <f t="shared" si="64"/>
        <v>-</v>
      </c>
      <c r="AX42" s="275">
        <f t="shared" si="65"/>
        <v>349.5</v>
      </c>
      <c r="AY42" s="274"/>
      <c r="AZ42" s="275">
        <f t="shared" si="66"/>
        <v>349.5</v>
      </c>
      <c r="BA42" s="274"/>
      <c r="BB42" s="275">
        <f t="shared" si="67"/>
        <v>129.38737</v>
      </c>
      <c r="BC42" s="274"/>
      <c r="BD42" s="275">
        <f t="shared" si="68"/>
        <v>0</v>
      </c>
      <c r="BE42" s="276">
        <f t="shared" si="69"/>
        <v>1</v>
      </c>
      <c r="BF42" s="274">
        <v>153.1</v>
      </c>
      <c r="BG42" s="274"/>
      <c r="BH42" s="274">
        <v>153.1</v>
      </c>
      <c r="BI42" s="274"/>
      <c r="BJ42" s="274">
        <v>86.993369999999999</v>
      </c>
      <c r="BK42" s="274"/>
      <c r="BL42" s="275">
        <f t="shared" si="70"/>
        <v>0</v>
      </c>
      <c r="BM42" s="276">
        <f t="shared" si="71"/>
        <v>1</v>
      </c>
      <c r="BN42" s="274">
        <v>119.1</v>
      </c>
      <c r="BO42" s="274"/>
      <c r="BP42" s="274">
        <v>119.1</v>
      </c>
      <c r="BQ42" s="274"/>
      <c r="BR42" s="274">
        <v>42.393999999999998</v>
      </c>
      <c r="BS42" s="274"/>
      <c r="BT42" s="275">
        <f t="shared" si="72"/>
        <v>0</v>
      </c>
      <c r="BU42" s="276">
        <f t="shared" si="73"/>
        <v>1</v>
      </c>
      <c r="BV42" s="274">
        <v>77.3</v>
      </c>
      <c r="BW42" s="274"/>
      <c r="BX42" s="274">
        <v>77.3</v>
      </c>
      <c r="BY42" s="274"/>
      <c r="BZ42" s="274">
        <v>0</v>
      </c>
      <c r="CA42" s="274"/>
      <c r="CB42" s="275">
        <f t="shared" si="74"/>
        <v>0</v>
      </c>
      <c r="CC42" s="276">
        <f t="shared" si="75"/>
        <v>1</v>
      </c>
      <c r="CD42" s="275">
        <f t="shared" si="76"/>
        <v>497.40000000000003</v>
      </c>
      <c r="CE42" s="274"/>
      <c r="CF42" s="275">
        <f t="shared" si="77"/>
        <v>497.40000000000003</v>
      </c>
      <c r="CG42" s="274"/>
      <c r="CH42" s="275">
        <f t="shared" si="78"/>
        <v>0</v>
      </c>
      <c r="CI42" s="274"/>
      <c r="CJ42" s="275">
        <f t="shared" si="79"/>
        <v>0</v>
      </c>
      <c r="CK42" s="276">
        <f t="shared" si="80"/>
        <v>1</v>
      </c>
      <c r="CL42" s="274">
        <v>169.9</v>
      </c>
      <c r="CM42" s="274"/>
      <c r="CN42" s="274">
        <v>169.9</v>
      </c>
      <c r="CO42" s="274"/>
      <c r="CP42" s="274"/>
      <c r="CQ42" s="274"/>
      <c r="CR42" s="275">
        <f t="shared" si="81"/>
        <v>0</v>
      </c>
      <c r="CS42" s="276">
        <f t="shared" si="82"/>
        <v>1</v>
      </c>
      <c r="CT42" s="274">
        <v>163.19999999999999</v>
      </c>
      <c r="CU42" s="274"/>
      <c r="CV42" s="274">
        <v>163.19999999999999</v>
      </c>
      <c r="CW42" s="274"/>
      <c r="CX42" s="274"/>
      <c r="CY42" s="274"/>
      <c r="CZ42" s="275">
        <f t="shared" si="83"/>
        <v>0</v>
      </c>
      <c r="DA42" s="276">
        <f t="shared" si="84"/>
        <v>1</v>
      </c>
      <c r="DB42" s="274">
        <v>164.3</v>
      </c>
      <c r="DC42" s="274"/>
      <c r="DD42" s="274">
        <v>164.3</v>
      </c>
      <c r="DE42" s="274"/>
      <c r="DF42" s="274"/>
      <c r="DG42" s="274"/>
      <c r="DH42" s="275">
        <f t="shared" si="85"/>
        <v>0</v>
      </c>
      <c r="DI42" s="276">
        <f t="shared" si="86"/>
        <v>1</v>
      </c>
      <c r="DJ42" s="275">
        <f t="shared" si="87"/>
        <v>504.1</v>
      </c>
      <c r="DK42" s="274"/>
      <c r="DL42" s="275">
        <f t="shared" si="88"/>
        <v>504.1</v>
      </c>
      <c r="DM42" s="274"/>
      <c r="DN42" s="275">
        <f t="shared" si="89"/>
        <v>0</v>
      </c>
      <c r="DO42" s="274"/>
      <c r="DP42" s="275">
        <f t="shared" si="90"/>
        <v>0</v>
      </c>
      <c r="DQ42" s="276">
        <f t="shared" si="91"/>
        <v>1</v>
      </c>
      <c r="DR42" s="274">
        <v>169.9</v>
      </c>
      <c r="DS42" s="274"/>
      <c r="DT42" s="274">
        <v>169.9</v>
      </c>
      <c r="DU42" s="274"/>
      <c r="DV42" s="274"/>
      <c r="DW42" s="274"/>
      <c r="DX42" s="275">
        <f t="shared" si="92"/>
        <v>0</v>
      </c>
      <c r="DY42" s="276">
        <f t="shared" si="93"/>
        <v>1</v>
      </c>
      <c r="DZ42" s="274">
        <v>164.3</v>
      </c>
      <c r="EA42" s="274"/>
      <c r="EB42" s="274">
        <v>164.3</v>
      </c>
      <c r="EC42" s="274"/>
      <c r="ED42" s="274"/>
      <c r="EE42" s="274"/>
      <c r="EF42" s="275">
        <f t="shared" si="94"/>
        <v>0</v>
      </c>
      <c r="EG42" s="276">
        <f t="shared" si="95"/>
        <v>1</v>
      </c>
      <c r="EH42" s="274">
        <v>169.9</v>
      </c>
      <c r="EI42" s="274"/>
      <c r="EJ42" s="274">
        <v>169.9</v>
      </c>
      <c r="EK42" s="274"/>
      <c r="EL42" s="274"/>
      <c r="EM42" s="274"/>
      <c r="EN42" s="275">
        <f t="shared" si="96"/>
        <v>0</v>
      </c>
      <c r="EO42" s="276">
        <f t="shared" si="97"/>
        <v>1</v>
      </c>
    </row>
    <row r="43" spans="1:145" ht="18.75" customHeight="1" x14ac:dyDescent="0.3">
      <c r="A43" s="263" t="s">
        <v>1608</v>
      </c>
      <c r="B43" s="222" t="s">
        <v>1609</v>
      </c>
      <c r="C43" s="234" t="s">
        <v>1610</v>
      </c>
      <c r="D43" s="234"/>
      <c r="E43" s="235"/>
      <c r="F43" s="232"/>
      <c r="G43" s="236"/>
      <c r="H43" s="243"/>
      <c r="I43" s="252"/>
      <c r="J43" s="275">
        <f t="shared" si="49"/>
        <v>90</v>
      </c>
      <c r="K43" s="274"/>
      <c r="L43" s="275">
        <f t="shared" si="50"/>
        <v>90</v>
      </c>
      <c r="M43" s="274"/>
      <c r="N43" s="275">
        <f t="shared" si="51"/>
        <v>78.017629999999997</v>
      </c>
      <c r="O43" s="274"/>
      <c r="P43" s="275">
        <f t="shared" si="52"/>
        <v>0</v>
      </c>
      <c r="Q43" s="276">
        <f t="shared" si="53"/>
        <v>1</v>
      </c>
      <c r="R43" s="275">
        <f t="shared" si="54"/>
        <v>33.5</v>
      </c>
      <c r="S43" s="274"/>
      <c r="T43" s="275">
        <f t="shared" si="55"/>
        <v>33.5</v>
      </c>
      <c r="U43" s="274"/>
      <c r="V43" s="275">
        <f t="shared" si="56"/>
        <v>16.434750000000001</v>
      </c>
      <c r="W43" s="274"/>
      <c r="X43" s="275">
        <f t="shared" si="57"/>
        <v>0</v>
      </c>
      <c r="Y43" s="276">
        <f t="shared" si="58"/>
        <v>1</v>
      </c>
      <c r="Z43" s="274">
        <v>0</v>
      </c>
      <c r="AA43" s="274"/>
      <c r="AB43" s="274">
        <v>0</v>
      </c>
      <c r="AC43" s="274"/>
      <c r="AD43" s="274">
        <v>0</v>
      </c>
      <c r="AE43" s="274"/>
      <c r="AF43" s="275">
        <f t="shared" si="59"/>
        <v>0</v>
      </c>
      <c r="AG43" s="276" t="str">
        <f t="shared" si="60"/>
        <v>-</v>
      </c>
      <c r="AH43" s="274">
        <v>0</v>
      </c>
      <c r="AI43" s="274"/>
      <c r="AJ43" s="274">
        <v>0</v>
      </c>
      <c r="AK43" s="274"/>
      <c r="AL43" s="274">
        <v>0</v>
      </c>
      <c r="AM43" s="274"/>
      <c r="AN43" s="275">
        <f t="shared" si="61"/>
        <v>0</v>
      </c>
      <c r="AO43" s="276" t="str">
        <f t="shared" si="62"/>
        <v>-</v>
      </c>
      <c r="AP43" s="274">
        <v>33.5</v>
      </c>
      <c r="AQ43" s="274"/>
      <c r="AR43" s="274">
        <v>33.5</v>
      </c>
      <c r="AS43" s="274"/>
      <c r="AT43" s="274">
        <v>16.434750000000001</v>
      </c>
      <c r="AU43" s="274"/>
      <c r="AV43" s="275">
        <f t="shared" si="63"/>
        <v>0</v>
      </c>
      <c r="AW43" s="276">
        <f t="shared" si="64"/>
        <v>1</v>
      </c>
      <c r="AX43" s="275">
        <f t="shared" si="65"/>
        <v>32.4</v>
      </c>
      <c r="AY43" s="274"/>
      <c r="AZ43" s="275">
        <f t="shared" si="66"/>
        <v>32.4</v>
      </c>
      <c r="BA43" s="274"/>
      <c r="BB43" s="275">
        <f t="shared" si="67"/>
        <v>61.582880000000003</v>
      </c>
      <c r="BC43" s="274"/>
      <c r="BD43" s="275">
        <f t="shared" si="68"/>
        <v>0</v>
      </c>
      <c r="BE43" s="276">
        <f t="shared" si="69"/>
        <v>1</v>
      </c>
      <c r="BF43" s="274">
        <v>32.4</v>
      </c>
      <c r="BG43" s="274"/>
      <c r="BH43" s="274">
        <v>32.4</v>
      </c>
      <c r="BI43" s="274"/>
      <c r="BJ43" s="274">
        <v>30.105429999999998</v>
      </c>
      <c r="BK43" s="274"/>
      <c r="BL43" s="275">
        <f t="shared" si="70"/>
        <v>0</v>
      </c>
      <c r="BM43" s="276">
        <f t="shared" si="71"/>
        <v>1</v>
      </c>
      <c r="BN43" s="274">
        <v>0</v>
      </c>
      <c r="BO43" s="274"/>
      <c r="BP43" s="274">
        <v>0</v>
      </c>
      <c r="BQ43" s="274"/>
      <c r="BR43" s="274">
        <v>12.96</v>
      </c>
      <c r="BS43" s="274"/>
      <c r="BT43" s="275">
        <f t="shared" si="72"/>
        <v>0</v>
      </c>
      <c r="BU43" s="276" t="str">
        <f t="shared" si="73"/>
        <v>-</v>
      </c>
      <c r="BV43" s="274">
        <v>0</v>
      </c>
      <c r="BW43" s="274"/>
      <c r="BX43" s="274">
        <v>0</v>
      </c>
      <c r="BY43" s="274"/>
      <c r="BZ43" s="274">
        <v>18.51745</v>
      </c>
      <c r="CA43" s="274"/>
      <c r="CB43" s="275">
        <f t="shared" si="74"/>
        <v>0</v>
      </c>
      <c r="CC43" s="276" t="str">
        <f t="shared" si="75"/>
        <v>-</v>
      </c>
      <c r="CD43" s="275">
        <f t="shared" si="76"/>
        <v>24.1</v>
      </c>
      <c r="CE43" s="274"/>
      <c r="CF43" s="275">
        <f t="shared" si="77"/>
        <v>24.1</v>
      </c>
      <c r="CG43" s="274"/>
      <c r="CH43" s="275">
        <f t="shared" si="78"/>
        <v>0</v>
      </c>
      <c r="CI43" s="274"/>
      <c r="CJ43" s="275">
        <f t="shared" si="79"/>
        <v>0</v>
      </c>
      <c r="CK43" s="276">
        <f t="shared" si="80"/>
        <v>1</v>
      </c>
      <c r="CL43" s="274">
        <v>24.1</v>
      </c>
      <c r="CM43" s="274"/>
      <c r="CN43" s="274">
        <v>24.1</v>
      </c>
      <c r="CO43" s="274"/>
      <c r="CP43" s="274"/>
      <c r="CQ43" s="274"/>
      <c r="CR43" s="275">
        <f t="shared" si="81"/>
        <v>0</v>
      </c>
      <c r="CS43" s="276">
        <f t="shared" si="82"/>
        <v>1</v>
      </c>
      <c r="CT43" s="274">
        <v>0</v>
      </c>
      <c r="CU43" s="274"/>
      <c r="CV43" s="274">
        <v>0</v>
      </c>
      <c r="CW43" s="274"/>
      <c r="CX43" s="274"/>
      <c r="CY43" s="274"/>
      <c r="CZ43" s="275">
        <f t="shared" si="83"/>
        <v>0</v>
      </c>
      <c r="DA43" s="276" t="str">
        <f t="shared" si="84"/>
        <v>-</v>
      </c>
      <c r="DB43" s="274">
        <v>0</v>
      </c>
      <c r="DC43" s="274"/>
      <c r="DD43" s="274">
        <v>0</v>
      </c>
      <c r="DE43" s="274"/>
      <c r="DF43" s="274"/>
      <c r="DG43" s="274"/>
      <c r="DH43" s="275">
        <f t="shared" si="85"/>
        <v>0</v>
      </c>
      <c r="DI43" s="276" t="str">
        <f t="shared" si="86"/>
        <v>-</v>
      </c>
      <c r="DJ43" s="275">
        <f t="shared" si="87"/>
        <v>0</v>
      </c>
      <c r="DK43" s="274"/>
      <c r="DL43" s="275">
        <f t="shared" si="88"/>
        <v>0</v>
      </c>
      <c r="DM43" s="274"/>
      <c r="DN43" s="275">
        <f t="shared" si="89"/>
        <v>0</v>
      </c>
      <c r="DO43" s="274"/>
      <c r="DP43" s="275">
        <f t="shared" si="90"/>
        <v>0</v>
      </c>
      <c r="DQ43" s="276" t="str">
        <f t="shared" si="91"/>
        <v>-</v>
      </c>
      <c r="DR43" s="274">
        <v>0</v>
      </c>
      <c r="DS43" s="274"/>
      <c r="DT43" s="274">
        <v>0</v>
      </c>
      <c r="DU43" s="274"/>
      <c r="DV43" s="274"/>
      <c r="DW43" s="274"/>
      <c r="DX43" s="275">
        <f t="shared" si="92"/>
        <v>0</v>
      </c>
      <c r="DY43" s="276" t="str">
        <f t="shared" si="93"/>
        <v>-</v>
      </c>
      <c r="DZ43" s="274">
        <v>0</v>
      </c>
      <c r="EA43" s="274"/>
      <c r="EB43" s="274">
        <v>0</v>
      </c>
      <c r="EC43" s="274"/>
      <c r="ED43" s="274"/>
      <c r="EE43" s="274"/>
      <c r="EF43" s="275">
        <f t="shared" si="94"/>
        <v>0</v>
      </c>
      <c r="EG43" s="276" t="str">
        <f t="shared" si="95"/>
        <v>-</v>
      </c>
      <c r="EH43" s="274">
        <v>0</v>
      </c>
      <c r="EI43" s="274"/>
      <c r="EJ43" s="274">
        <v>0</v>
      </c>
      <c r="EK43" s="274"/>
      <c r="EL43" s="274"/>
      <c r="EM43" s="274"/>
      <c r="EN43" s="275">
        <f t="shared" si="96"/>
        <v>0</v>
      </c>
      <c r="EO43" s="276" t="str">
        <f t="shared" si="97"/>
        <v>-</v>
      </c>
    </row>
    <row r="44" spans="1:145" ht="18.75" customHeight="1" x14ac:dyDescent="0.3">
      <c r="A44" s="263" t="s">
        <v>1611</v>
      </c>
      <c r="B44" s="222" t="s">
        <v>405</v>
      </c>
      <c r="C44" s="234" t="s">
        <v>1612</v>
      </c>
      <c r="D44" s="234"/>
      <c r="E44" s="235"/>
      <c r="F44" s="232"/>
      <c r="G44" s="236"/>
      <c r="H44" s="243"/>
      <c r="I44" s="252"/>
      <c r="J44" s="275">
        <f t="shared" si="49"/>
        <v>0</v>
      </c>
      <c r="K44" s="274"/>
      <c r="L44" s="275">
        <f t="shared" si="50"/>
        <v>0</v>
      </c>
      <c r="M44" s="274"/>
      <c r="N44" s="275">
        <f t="shared" si="51"/>
        <v>0</v>
      </c>
      <c r="O44" s="274"/>
      <c r="P44" s="275">
        <f t="shared" si="52"/>
        <v>0</v>
      </c>
      <c r="Q44" s="276" t="str">
        <f t="shared" si="53"/>
        <v>-</v>
      </c>
      <c r="R44" s="275">
        <f t="shared" si="54"/>
        <v>0</v>
      </c>
      <c r="S44" s="274"/>
      <c r="T44" s="275">
        <f t="shared" si="55"/>
        <v>0</v>
      </c>
      <c r="U44" s="274"/>
      <c r="V44" s="275">
        <f t="shared" si="56"/>
        <v>0</v>
      </c>
      <c r="W44" s="274"/>
      <c r="X44" s="275">
        <f t="shared" si="57"/>
        <v>0</v>
      </c>
      <c r="Y44" s="276" t="str">
        <f t="shared" si="58"/>
        <v>-</v>
      </c>
      <c r="Z44" s="274"/>
      <c r="AA44" s="274"/>
      <c r="AB44" s="274"/>
      <c r="AC44" s="274"/>
      <c r="AD44" s="274">
        <v>0</v>
      </c>
      <c r="AE44" s="274"/>
      <c r="AF44" s="275">
        <f t="shared" si="59"/>
        <v>0</v>
      </c>
      <c r="AG44" s="276" t="str">
        <f t="shared" si="60"/>
        <v>-</v>
      </c>
      <c r="AH44" s="274"/>
      <c r="AI44" s="274"/>
      <c r="AJ44" s="274"/>
      <c r="AK44" s="274"/>
      <c r="AL44" s="274">
        <v>0</v>
      </c>
      <c r="AM44" s="274"/>
      <c r="AN44" s="275">
        <f t="shared" si="61"/>
        <v>0</v>
      </c>
      <c r="AO44" s="276" t="str">
        <f t="shared" si="62"/>
        <v>-</v>
      </c>
      <c r="AP44" s="274"/>
      <c r="AQ44" s="274"/>
      <c r="AR44" s="274"/>
      <c r="AS44" s="274"/>
      <c r="AT44" s="274">
        <v>0</v>
      </c>
      <c r="AU44" s="274"/>
      <c r="AV44" s="275">
        <f t="shared" si="63"/>
        <v>0</v>
      </c>
      <c r="AW44" s="276" t="str">
        <f t="shared" si="64"/>
        <v>-</v>
      </c>
      <c r="AX44" s="275">
        <f t="shared" si="65"/>
        <v>0</v>
      </c>
      <c r="AY44" s="274"/>
      <c r="AZ44" s="275">
        <f t="shared" si="66"/>
        <v>0</v>
      </c>
      <c r="BA44" s="274"/>
      <c r="BB44" s="275">
        <f t="shared" si="67"/>
        <v>0</v>
      </c>
      <c r="BC44" s="274"/>
      <c r="BD44" s="275">
        <f t="shared" si="68"/>
        <v>0</v>
      </c>
      <c r="BE44" s="276" t="str">
        <f t="shared" si="69"/>
        <v>-</v>
      </c>
      <c r="BF44" s="274"/>
      <c r="BG44" s="274"/>
      <c r="BH44" s="274"/>
      <c r="BI44" s="274"/>
      <c r="BJ44" s="274">
        <v>0</v>
      </c>
      <c r="BK44" s="274"/>
      <c r="BL44" s="275">
        <f t="shared" si="70"/>
        <v>0</v>
      </c>
      <c r="BM44" s="276" t="str">
        <f t="shared" si="71"/>
        <v>-</v>
      </c>
      <c r="BN44" s="274"/>
      <c r="BO44" s="274"/>
      <c r="BP44" s="274"/>
      <c r="BQ44" s="274"/>
      <c r="BR44" s="274">
        <v>0</v>
      </c>
      <c r="BS44" s="274"/>
      <c r="BT44" s="275">
        <f t="shared" si="72"/>
        <v>0</v>
      </c>
      <c r="BU44" s="276" t="str">
        <f t="shared" si="73"/>
        <v>-</v>
      </c>
      <c r="BV44" s="274"/>
      <c r="BW44" s="274"/>
      <c r="BX44" s="274"/>
      <c r="BY44" s="274"/>
      <c r="BZ44" s="274">
        <v>0</v>
      </c>
      <c r="CA44" s="274"/>
      <c r="CB44" s="275">
        <f t="shared" si="74"/>
        <v>0</v>
      </c>
      <c r="CC44" s="276" t="str">
        <f t="shared" si="75"/>
        <v>-</v>
      </c>
      <c r="CD44" s="275">
        <f t="shared" si="76"/>
        <v>0</v>
      </c>
      <c r="CE44" s="274"/>
      <c r="CF44" s="275">
        <f t="shared" si="77"/>
        <v>0</v>
      </c>
      <c r="CG44" s="274"/>
      <c r="CH44" s="275">
        <f t="shared" si="78"/>
        <v>0</v>
      </c>
      <c r="CI44" s="274"/>
      <c r="CJ44" s="275">
        <f t="shared" si="79"/>
        <v>0</v>
      </c>
      <c r="CK44" s="276" t="str">
        <f t="shared" si="80"/>
        <v>-</v>
      </c>
      <c r="CL44" s="274"/>
      <c r="CM44" s="274"/>
      <c r="CN44" s="274"/>
      <c r="CO44" s="274"/>
      <c r="CP44" s="274"/>
      <c r="CQ44" s="274"/>
      <c r="CR44" s="275">
        <f t="shared" si="81"/>
        <v>0</v>
      </c>
      <c r="CS44" s="276" t="str">
        <f t="shared" si="82"/>
        <v>-</v>
      </c>
      <c r="CT44" s="274"/>
      <c r="CU44" s="274"/>
      <c r="CV44" s="274"/>
      <c r="CW44" s="274"/>
      <c r="CX44" s="274"/>
      <c r="CY44" s="274"/>
      <c r="CZ44" s="275">
        <f t="shared" si="83"/>
        <v>0</v>
      </c>
      <c r="DA44" s="276" t="str">
        <f t="shared" si="84"/>
        <v>-</v>
      </c>
      <c r="DB44" s="274"/>
      <c r="DC44" s="274"/>
      <c r="DD44" s="274"/>
      <c r="DE44" s="274"/>
      <c r="DF44" s="274"/>
      <c r="DG44" s="274"/>
      <c r="DH44" s="275">
        <f t="shared" si="85"/>
        <v>0</v>
      </c>
      <c r="DI44" s="276" t="str">
        <f t="shared" si="86"/>
        <v>-</v>
      </c>
      <c r="DJ44" s="275">
        <f t="shared" si="87"/>
        <v>0</v>
      </c>
      <c r="DK44" s="274"/>
      <c r="DL44" s="275">
        <f t="shared" si="88"/>
        <v>0</v>
      </c>
      <c r="DM44" s="274"/>
      <c r="DN44" s="275">
        <f t="shared" si="89"/>
        <v>0</v>
      </c>
      <c r="DO44" s="274"/>
      <c r="DP44" s="275">
        <f t="shared" si="90"/>
        <v>0</v>
      </c>
      <c r="DQ44" s="276" t="str">
        <f t="shared" si="91"/>
        <v>-</v>
      </c>
      <c r="DR44" s="274"/>
      <c r="DS44" s="274"/>
      <c r="DT44" s="274"/>
      <c r="DU44" s="274"/>
      <c r="DV44" s="274"/>
      <c r="DW44" s="274"/>
      <c r="DX44" s="275">
        <f t="shared" si="92"/>
        <v>0</v>
      </c>
      <c r="DY44" s="276" t="str">
        <f t="shared" si="93"/>
        <v>-</v>
      </c>
      <c r="DZ44" s="274"/>
      <c r="EA44" s="274"/>
      <c r="EB44" s="274"/>
      <c r="EC44" s="274"/>
      <c r="ED44" s="274"/>
      <c r="EE44" s="274"/>
      <c r="EF44" s="275">
        <f t="shared" si="94"/>
        <v>0</v>
      </c>
      <c r="EG44" s="276" t="str">
        <f t="shared" si="95"/>
        <v>-</v>
      </c>
      <c r="EH44" s="274"/>
      <c r="EI44" s="274"/>
      <c r="EJ44" s="274"/>
      <c r="EK44" s="274"/>
      <c r="EL44" s="274"/>
      <c r="EM44" s="274"/>
      <c r="EN44" s="275">
        <f t="shared" si="96"/>
        <v>0</v>
      </c>
      <c r="EO44" s="276" t="str">
        <f t="shared" si="97"/>
        <v>-</v>
      </c>
    </row>
    <row r="45" spans="1:145" ht="19.5" customHeight="1" x14ac:dyDescent="0.3">
      <c r="A45" s="263"/>
      <c r="B45" s="223" t="s">
        <v>815</v>
      </c>
      <c r="C45" s="234"/>
      <c r="D45" s="234"/>
      <c r="E45" s="235">
        <v>2</v>
      </c>
      <c r="F45" s="232"/>
      <c r="G45" s="236"/>
      <c r="H45" s="243"/>
      <c r="I45" s="252"/>
      <c r="J45" s="275">
        <f t="shared" si="49"/>
        <v>0</v>
      </c>
      <c r="K45" s="274"/>
      <c r="L45" s="275">
        <f t="shared" si="50"/>
        <v>0</v>
      </c>
      <c r="M45" s="274"/>
      <c r="N45" s="275">
        <f t="shared" si="51"/>
        <v>0</v>
      </c>
      <c r="O45" s="274"/>
      <c r="P45" s="275">
        <f t="shared" si="52"/>
        <v>0</v>
      </c>
      <c r="Q45" s="276" t="str">
        <f t="shared" si="53"/>
        <v>-</v>
      </c>
      <c r="R45" s="275">
        <f t="shared" si="54"/>
        <v>0</v>
      </c>
      <c r="S45" s="274"/>
      <c r="T45" s="275">
        <f t="shared" si="55"/>
        <v>0</v>
      </c>
      <c r="U45" s="274"/>
      <c r="V45" s="275">
        <f t="shared" si="56"/>
        <v>0</v>
      </c>
      <c r="W45" s="274"/>
      <c r="X45" s="275">
        <f t="shared" si="57"/>
        <v>0</v>
      </c>
      <c r="Y45" s="276" t="str">
        <f t="shared" si="58"/>
        <v>-</v>
      </c>
      <c r="Z45" s="277"/>
      <c r="AA45" s="274"/>
      <c r="AB45" s="277"/>
      <c r="AC45" s="274"/>
      <c r="AD45" s="277"/>
      <c r="AE45" s="274"/>
      <c r="AF45" s="275">
        <f t="shared" si="59"/>
        <v>0</v>
      </c>
      <c r="AG45" s="276" t="str">
        <f t="shared" si="60"/>
        <v>-</v>
      </c>
      <c r="AH45" s="277"/>
      <c r="AI45" s="274"/>
      <c r="AJ45" s="277"/>
      <c r="AK45" s="274"/>
      <c r="AL45" s="277"/>
      <c r="AM45" s="274"/>
      <c r="AN45" s="275">
        <f t="shared" si="61"/>
        <v>0</v>
      </c>
      <c r="AO45" s="276" t="str">
        <f t="shared" si="62"/>
        <v>-</v>
      </c>
      <c r="AP45" s="277"/>
      <c r="AQ45" s="274"/>
      <c r="AR45" s="277"/>
      <c r="AS45" s="274"/>
      <c r="AT45" s="277"/>
      <c r="AU45" s="274"/>
      <c r="AV45" s="275">
        <f t="shared" si="63"/>
        <v>0</v>
      </c>
      <c r="AW45" s="276" t="str">
        <f t="shared" si="64"/>
        <v>-</v>
      </c>
      <c r="AX45" s="275">
        <f t="shared" si="65"/>
        <v>0</v>
      </c>
      <c r="AY45" s="274"/>
      <c r="AZ45" s="275">
        <f t="shared" si="66"/>
        <v>0</v>
      </c>
      <c r="BA45" s="274"/>
      <c r="BB45" s="275">
        <f t="shared" si="67"/>
        <v>0</v>
      </c>
      <c r="BC45" s="274"/>
      <c r="BD45" s="275">
        <f t="shared" si="68"/>
        <v>0</v>
      </c>
      <c r="BE45" s="276" t="str">
        <f t="shared" si="69"/>
        <v>-</v>
      </c>
      <c r="BF45" s="277"/>
      <c r="BG45" s="274"/>
      <c r="BH45" s="277"/>
      <c r="BI45" s="274"/>
      <c r="BJ45" s="277"/>
      <c r="BK45" s="274"/>
      <c r="BL45" s="275">
        <f t="shared" si="70"/>
        <v>0</v>
      </c>
      <c r="BM45" s="276" t="str">
        <f t="shared" si="71"/>
        <v>-</v>
      </c>
      <c r="BN45" s="277"/>
      <c r="BO45" s="274"/>
      <c r="BP45" s="277"/>
      <c r="BQ45" s="274"/>
      <c r="BR45" s="277"/>
      <c r="BS45" s="274"/>
      <c r="BT45" s="275">
        <f t="shared" si="72"/>
        <v>0</v>
      </c>
      <c r="BU45" s="276" t="str">
        <f t="shared" si="73"/>
        <v>-</v>
      </c>
      <c r="BV45" s="277"/>
      <c r="BW45" s="274"/>
      <c r="BX45" s="277"/>
      <c r="BY45" s="274"/>
      <c r="BZ45" s="277"/>
      <c r="CA45" s="274"/>
      <c r="CB45" s="275">
        <f t="shared" si="74"/>
        <v>0</v>
      </c>
      <c r="CC45" s="276" t="str">
        <f t="shared" si="75"/>
        <v>-</v>
      </c>
      <c r="CD45" s="275">
        <f t="shared" si="76"/>
        <v>0</v>
      </c>
      <c r="CE45" s="274"/>
      <c r="CF45" s="275">
        <f t="shared" si="77"/>
        <v>0</v>
      </c>
      <c r="CG45" s="274"/>
      <c r="CH45" s="275">
        <f t="shared" si="78"/>
        <v>0</v>
      </c>
      <c r="CI45" s="274"/>
      <c r="CJ45" s="275">
        <f t="shared" si="79"/>
        <v>0</v>
      </c>
      <c r="CK45" s="276" t="str">
        <f t="shared" si="80"/>
        <v>-</v>
      </c>
      <c r="CL45" s="277"/>
      <c r="CM45" s="274"/>
      <c r="CN45" s="277"/>
      <c r="CO45" s="274"/>
      <c r="CP45" s="277"/>
      <c r="CQ45" s="274"/>
      <c r="CR45" s="275">
        <f t="shared" si="81"/>
        <v>0</v>
      </c>
      <c r="CS45" s="276" t="str">
        <f t="shared" si="82"/>
        <v>-</v>
      </c>
      <c r="CT45" s="277"/>
      <c r="CU45" s="274"/>
      <c r="CV45" s="277"/>
      <c r="CW45" s="274"/>
      <c r="CX45" s="277"/>
      <c r="CY45" s="274"/>
      <c r="CZ45" s="275">
        <f t="shared" si="83"/>
        <v>0</v>
      </c>
      <c r="DA45" s="276" t="str">
        <f t="shared" si="84"/>
        <v>-</v>
      </c>
      <c r="DB45" s="277"/>
      <c r="DC45" s="274"/>
      <c r="DD45" s="277"/>
      <c r="DE45" s="274"/>
      <c r="DF45" s="277"/>
      <c r="DG45" s="274"/>
      <c r="DH45" s="275">
        <f t="shared" si="85"/>
        <v>0</v>
      </c>
      <c r="DI45" s="276" t="str">
        <f t="shared" si="86"/>
        <v>-</v>
      </c>
      <c r="DJ45" s="275">
        <f t="shared" si="87"/>
        <v>0</v>
      </c>
      <c r="DK45" s="274"/>
      <c r="DL45" s="275">
        <f t="shared" si="88"/>
        <v>0</v>
      </c>
      <c r="DM45" s="274"/>
      <c r="DN45" s="275">
        <f t="shared" si="89"/>
        <v>0</v>
      </c>
      <c r="DO45" s="274"/>
      <c r="DP45" s="275">
        <f t="shared" si="90"/>
        <v>0</v>
      </c>
      <c r="DQ45" s="276" t="str">
        <f t="shared" si="91"/>
        <v>-</v>
      </c>
      <c r="DR45" s="277"/>
      <c r="DS45" s="274"/>
      <c r="DT45" s="277"/>
      <c r="DU45" s="274"/>
      <c r="DV45" s="277"/>
      <c r="DW45" s="274"/>
      <c r="DX45" s="275">
        <f t="shared" si="92"/>
        <v>0</v>
      </c>
      <c r="DY45" s="276" t="str">
        <f t="shared" si="93"/>
        <v>-</v>
      </c>
      <c r="DZ45" s="277"/>
      <c r="EA45" s="274"/>
      <c r="EB45" s="277"/>
      <c r="EC45" s="274"/>
      <c r="ED45" s="277"/>
      <c r="EE45" s="274"/>
      <c r="EF45" s="275">
        <f t="shared" si="94"/>
        <v>0</v>
      </c>
      <c r="EG45" s="276" t="str">
        <f t="shared" si="95"/>
        <v>-</v>
      </c>
      <c r="EH45" s="277"/>
      <c r="EI45" s="274"/>
      <c r="EJ45" s="277"/>
      <c r="EK45" s="274"/>
      <c r="EL45" s="277"/>
      <c r="EM45" s="274"/>
      <c r="EN45" s="275">
        <f t="shared" si="96"/>
        <v>0</v>
      </c>
      <c r="EO45" s="276" t="str">
        <f t="shared" si="97"/>
        <v>-</v>
      </c>
    </row>
    <row r="46" spans="1:145" ht="18.75" customHeight="1" x14ac:dyDescent="0.3">
      <c r="A46" s="263"/>
      <c r="B46" s="226" t="s">
        <v>1613</v>
      </c>
      <c r="C46" s="234" t="s">
        <v>1614</v>
      </c>
      <c r="D46" s="234"/>
      <c r="E46" s="235"/>
      <c r="F46" s="232"/>
      <c r="G46" s="236"/>
      <c r="H46" s="243"/>
      <c r="I46" s="252"/>
      <c r="J46" s="275">
        <f t="shared" si="49"/>
        <v>7251.8000000000011</v>
      </c>
      <c r="K46" s="274"/>
      <c r="L46" s="275">
        <f t="shared" si="50"/>
        <v>7251.8000000000011</v>
      </c>
      <c r="M46" s="274"/>
      <c r="N46" s="275">
        <f t="shared" si="51"/>
        <v>1997.1193940000001</v>
      </c>
      <c r="O46" s="274"/>
      <c r="P46" s="275">
        <f t="shared" si="52"/>
        <v>0</v>
      </c>
      <c r="Q46" s="276">
        <f t="shared" si="53"/>
        <v>1</v>
      </c>
      <c r="R46" s="275">
        <f t="shared" si="54"/>
        <v>1813.9</v>
      </c>
      <c r="S46" s="274"/>
      <c r="T46" s="275">
        <f t="shared" si="55"/>
        <v>1813.9</v>
      </c>
      <c r="U46" s="274"/>
      <c r="V46" s="275">
        <f t="shared" si="56"/>
        <v>1317.7720380000001</v>
      </c>
      <c r="W46" s="274"/>
      <c r="X46" s="275">
        <f t="shared" si="57"/>
        <v>0</v>
      </c>
      <c r="Y46" s="276">
        <f t="shared" si="58"/>
        <v>1</v>
      </c>
      <c r="Z46" s="274">
        <v>622.6</v>
      </c>
      <c r="AA46" s="274"/>
      <c r="AB46" s="274">
        <v>622.6</v>
      </c>
      <c r="AC46" s="274"/>
      <c r="AD46" s="274">
        <v>460.40707300000003</v>
      </c>
      <c r="AE46" s="274"/>
      <c r="AF46" s="275">
        <f t="shared" si="59"/>
        <v>0</v>
      </c>
      <c r="AG46" s="276">
        <f t="shared" si="60"/>
        <v>1</v>
      </c>
      <c r="AH46" s="274">
        <v>565.1</v>
      </c>
      <c r="AI46" s="274"/>
      <c r="AJ46" s="274">
        <v>565.1</v>
      </c>
      <c r="AK46" s="274"/>
      <c r="AL46" s="274">
        <v>400.85111000000001</v>
      </c>
      <c r="AM46" s="274"/>
      <c r="AN46" s="275">
        <f t="shared" si="61"/>
        <v>0</v>
      </c>
      <c r="AO46" s="276">
        <f t="shared" si="62"/>
        <v>1</v>
      </c>
      <c r="AP46" s="274">
        <v>626.20000000000005</v>
      </c>
      <c r="AQ46" s="274"/>
      <c r="AR46" s="274">
        <v>626.20000000000005</v>
      </c>
      <c r="AS46" s="274"/>
      <c r="AT46" s="274">
        <v>456.51385499999998</v>
      </c>
      <c r="AU46" s="274"/>
      <c r="AV46" s="275">
        <f t="shared" si="63"/>
        <v>0</v>
      </c>
      <c r="AW46" s="276">
        <f t="shared" si="64"/>
        <v>1</v>
      </c>
      <c r="AX46" s="275">
        <f t="shared" si="65"/>
        <v>1376.8</v>
      </c>
      <c r="AY46" s="274"/>
      <c r="AZ46" s="275">
        <f t="shared" si="66"/>
        <v>1376.8</v>
      </c>
      <c r="BA46" s="274"/>
      <c r="BB46" s="275">
        <f t="shared" si="67"/>
        <v>679.34735599999999</v>
      </c>
      <c r="BC46" s="274"/>
      <c r="BD46" s="275">
        <f t="shared" si="68"/>
        <v>0</v>
      </c>
      <c r="BE46" s="276">
        <f t="shared" si="69"/>
        <v>1</v>
      </c>
      <c r="BF46" s="274">
        <v>606.70000000000005</v>
      </c>
      <c r="BG46" s="274"/>
      <c r="BH46" s="274">
        <v>606.70000000000005</v>
      </c>
      <c r="BI46" s="274"/>
      <c r="BJ46" s="274">
        <v>402.18023599999998</v>
      </c>
      <c r="BK46" s="274"/>
      <c r="BL46" s="275">
        <f t="shared" si="70"/>
        <v>0</v>
      </c>
      <c r="BM46" s="276">
        <f t="shared" si="71"/>
        <v>1</v>
      </c>
      <c r="BN46" s="274">
        <v>428.4</v>
      </c>
      <c r="BO46" s="274"/>
      <c r="BP46" s="274">
        <v>428.4</v>
      </c>
      <c r="BQ46" s="274"/>
      <c r="BR46" s="274">
        <v>168.19499999999999</v>
      </c>
      <c r="BS46" s="274"/>
      <c r="BT46" s="275">
        <f t="shared" si="72"/>
        <v>0</v>
      </c>
      <c r="BU46" s="276">
        <f t="shared" si="73"/>
        <v>1</v>
      </c>
      <c r="BV46" s="274">
        <v>341.7</v>
      </c>
      <c r="BW46" s="274"/>
      <c r="BX46" s="274">
        <v>341.7</v>
      </c>
      <c r="BY46" s="274"/>
      <c r="BZ46" s="274">
        <v>108.97212</v>
      </c>
      <c r="CA46" s="274"/>
      <c r="CB46" s="275">
        <f t="shared" si="74"/>
        <v>0</v>
      </c>
      <c r="CC46" s="276">
        <f t="shared" si="75"/>
        <v>1</v>
      </c>
      <c r="CD46" s="275">
        <f t="shared" si="76"/>
        <v>2022.4</v>
      </c>
      <c r="CE46" s="274"/>
      <c r="CF46" s="275">
        <f t="shared" si="77"/>
        <v>2022.4</v>
      </c>
      <c r="CG46" s="274"/>
      <c r="CH46" s="275">
        <f t="shared" si="78"/>
        <v>0</v>
      </c>
      <c r="CI46" s="274"/>
      <c r="CJ46" s="275">
        <f t="shared" si="79"/>
        <v>0</v>
      </c>
      <c r="CK46" s="276">
        <f t="shared" si="80"/>
        <v>1</v>
      </c>
      <c r="CL46" s="274">
        <v>660.8</v>
      </c>
      <c r="CM46" s="274"/>
      <c r="CN46" s="274">
        <v>660.8</v>
      </c>
      <c r="CO46" s="274"/>
      <c r="CP46" s="274"/>
      <c r="CQ46" s="274"/>
      <c r="CR46" s="275">
        <f t="shared" si="81"/>
        <v>0</v>
      </c>
      <c r="CS46" s="276">
        <f t="shared" si="82"/>
        <v>1</v>
      </c>
      <c r="CT46" s="274">
        <v>687.2</v>
      </c>
      <c r="CU46" s="274"/>
      <c r="CV46" s="274">
        <v>687.2</v>
      </c>
      <c r="CW46" s="274"/>
      <c r="CX46" s="274"/>
      <c r="CY46" s="274"/>
      <c r="CZ46" s="275">
        <f t="shared" si="83"/>
        <v>0</v>
      </c>
      <c r="DA46" s="276">
        <f t="shared" si="84"/>
        <v>1</v>
      </c>
      <c r="DB46" s="274">
        <v>674.4</v>
      </c>
      <c r="DC46" s="274"/>
      <c r="DD46" s="274">
        <v>674.4</v>
      </c>
      <c r="DE46" s="274"/>
      <c r="DF46" s="274"/>
      <c r="DG46" s="274"/>
      <c r="DH46" s="275">
        <f t="shared" si="85"/>
        <v>0</v>
      </c>
      <c r="DI46" s="276">
        <f t="shared" si="86"/>
        <v>1</v>
      </c>
      <c r="DJ46" s="275">
        <f t="shared" si="87"/>
        <v>2038.7000000000003</v>
      </c>
      <c r="DK46" s="274"/>
      <c r="DL46" s="275">
        <f t="shared" si="88"/>
        <v>2038.7000000000003</v>
      </c>
      <c r="DM46" s="274"/>
      <c r="DN46" s="275">
        <f t="shared" si="89"/>
        <v>0</v>
      </c>
      <c r="DO46" s="274"/>
      <c r="DP46" s="275">
        <f t="shared" si="90"/>
        <v>0</v>
      </c>
      <c r="DQ46" s="276">
        <f t="shared" si="91"/>
        <v>1</v>
      </c>
      <c r="DR46" s="274">
        <v>681.7</v>
      </c>
      <c r="DS46" s="274"/>
      <c r="DT46" s="274">
        <v>681.7</v>
      </c>
      <c r="DU46" s="274"/>
      <c r="DV46" s="274"/>
      <c r="DW46" s="274"/>
      <c r="DX46" s="275">
        <f t="shared" si="92"/>
        <v>0</v>
      </c>
      <c r="DY46" s="276">
        <f t="shared" si="93"/>
        <v>1</v>
      </c>
      <c r="DZ46" s="274">
        <v>674.6</v>
      </c>
      <c r="EA46" s="274"/>
      <c r="EB46" s="274">
        <v>674.6</v>
      </c>
      <c r="EC46" s="274"/>
      <c r="ED46" s="274"/>
      <c r="EE46" s="274"/>
      <c r="EF46" s="275">
        <f t="shared" si="94"/>
        <v>0</v>
      </c>
      <c r="EG46" s="276">
        <f t="shared" si="95"/>
        <v>1</v>
      </c>
      <c r="EH46" s="274">
        <v>682.4</v>
      </c>
      <c r="EI46" s="274"/>
      <c r="EJ46" s="274">
        <v>682.4</v>
      </c>
      <c r="EK46" s="274"/>
      <c r="EL46" s="274"/>
      <c r="EM46" s="274"/>
      <c r="EN46" s="275">
        <f t="shared" si="96"/>
        <v>0</v>
      </c>
      <c r="EO46" s="276">
        <f t="shared" si="97"/>
        <v>1</v>
      </c>
    </row>
    <row r="47" spans="1:145" ht="18.75" customHeight="1" x14ac:dyDescent="0.3">
      <c r="A47" s="263"/>
      <c r="B47" s="226" t="s">
        <v>1615</v>
      </c>
      <c r="C47" s="234" t="s">
        <v>1616</v>
      </c>
      <c r="D47" s="234"/>
      <c r="E47" s="235"/>
      <c r="F47" s="232"/>
      <c r="G47" s="236"/>
      <c r="H47" s="243"/>
      <c r="I47" s="252"/>
      <c r="J47" s="275">
        <f t="shared" si="49"/>
        <v>12.6</v>
      </c>
      <c r="K47" s="274"/>
      <c r="L47" s="275">
        <f t="shared" si="50"/>
        <v>12.6</v>
      </c>
      <c r="M47" s="274"/>
      <c r="N47" s="275">
        <f t="shared" si="51"/>
        <v>5.5E-2</v>
      </c>
      <c r="O47" s="274"/>
      <c r="P47" s="275">
        <f t="shared" si="52"/>
        <v>0</v>
      </c>
      <c r="Q47" s="276">
        <f t="shared" si="53"/>
        <v>1</v>
      </c>
      <c r="R47" s="275">
        <f t="shared" si="54"/>
        <v>3.8</v>
      </c>
      <c r="S47" s="274"/>
      <c r="T47" s="275">
        <f t="shared" si="55"/>
        <v>3.8</v>
      </c>
      <c r="U47" s="274"/>
      <c r="V47" s="275">
        <f t="shared" si="56"/>
        <v>0</v>
      </c>
      <c r="W47" s="274"/>
      <c r="X47" s="275">
        <f t="shared" si="57"/>
        <v>0</v>
      </c>
      <c r="Y47" s="276">
        <f t="shared" si="58"/>
        <v>1</v>
      </c>
      <c r="Z47" s="274">
        <v>1.4</v>
      </c>
      <c r="AA47" s="274"/>
      <c r="AB47" s="274">
        <v>1.4</v>
      </c>
      <c r="AC47" s="274"/>
      <c r="AD47" s="274">
        <v>0</v>
      </c>
      <c r="AE47" s="274"/>
      <c r="AF47" s="275">
        <f t="shared" si="59"/>
        <v>0</v>
      </c>
      <c r="AG47" s="276">
        <f t="shared" si="60"/>
        <v>1</v>
      </c>
      <c r="AH47" s="274">
        <v>1.2</v>
      </c>
      <c r="AI47" s="274"/>
      <c r="AJ47" s="274">
        <v>1.2</v>
      </c>
      <c r="AK47" s="274"/>
      <c r="AL47" s="274">
        <v>0</v>
      </c>
      <c r="AM47" s="274"/>
      <c r="AN47" s="275">
        <f t="shared" si="61"/>
        <v>0</v>
      </c>
      <c r="AO47" s="276">
        <f t="shared" si="62"/>
        <v>1</v>
      </c>
      <c r="AP47" s="274">
        <v>1.2</v>
      </c>
      <c r="AQ47" s="274"/>
      <c r="AR47" s="274">
        <v>1.2</v>
      </c>
      <c r="AS47" s="274"/>
      <c r="AT47" s="274">
        <v>0</v>
      </c>
      <c r="AU47" s="274"/>
      <c r="AV47" s="275">
        <f t="shared" si="63"/>
        <v>0</v>
      </c>
      <c r="AW47" s="276">
        <f t="shared" si="64"/>
        <v>1</v>
      </c>
      <c r="AX47" s="275">
        <f t="shared" si="65"/>
        <v>1.5</v>
      </c>
      <c r="AY47" s="274"/>
      <c r="AZ47" s="275">
        <f t="shared" si="66"/>
        <v>1.5</v>
      </c>
      <c r="BA47" s="274"/>
      <c r="BB47" s="275">
        <f t="shared" si="67"/>
        <v>5.5E-2</v>
      </c>
      <c r="BC47" s="274"/>
      <c r="BD47" s="275">
        <f t="shared" si="68"/>
        <v>0</v>
      </c>
      <c r="BE47" s="276">
        <f t="shared" si="69"/>
        <v>1</v>
      </c>
      <c r="BF47" s="274">
        <v>1.2</v>
      </c>
      <c r="BG47" s="274"/>
      <c r="BH47" s="274">
        <v>1.2</v>
      </c>
      <c r="BI47" s="274"/>
      <c r="BJ47" s="274">
        <v>0</v>
      </c>
      <c r="BK47" s="274"/>
      <c r="BL47" s="275">
        <f t="shared" si="70"/>
        <v>0</v>
      </c>
      <c r="BM47" s="276">
        <f t="shared" si="71"/>
        <v>1</v>
      </c>
      <c r="BN47" s="274">
        <v>0.3</v>
      </c>
      <c r="BO47" s="274"/>
      <c r="BP47" s="274">
        <v>0.3</v>
      </c>
      <c r="BQ47" s="274"/>
      <c r="BR47" s="274">
        <v>5.5E-2</v>
      </c>
      <c r="BS47" s="274"/>
      <c r="BT47" s="275">
        <f t="shared" si="72"/>
        <v>0</v>
      </c>
      <c r="BU47" s="276">
        <f t="shared" si="73"/>
        <v>1</v>
      </c>
      <c r="BV47" s="274">
        <v>0</v>
      </c>
      <c r="BW47" s="274"/>
      <c r="BX47" s="274">
        <v>0</v>
      </c>
      <c r="BY47" s="274"/>
      <c r="BZ47" s="274">
        <v>0</v>
      </c>
      <c r="CA47" s="274"/>
      <c r="CB47" s="275">
        <f t="shared" si="74"/>
        <v>0</v>
      </c>
      <c r="CC47" s="276" t="str">
        <f t="shared" si="75"/>
        <v>-</v>
      </c>
      <c r="CD47" s="275">
        <f t="shared" si="76"/>
        <v>3.4000000000000004</v>
      </c>
      <c r="CE47" s="274"/>
      <c r="CF47" s="275">
        <f t="shared" si="77"/>
        <v>3.4000000000000004</v>
      </c>
      <c r="CG47" s="274"/>
      <c r="CH47" s="275">
        <f t="shared" si="78"/>
        <v>0</v>
      </c>
      <c r="CI47" s="274"/>
      <c r="CJ47" s="275">
        <f t="shared" si="79"/>
        <v>0</v>
      </c>
      <c r="CK47" s="276">
        <f t="shared" si="80"/>
        <v>1</v>
      </c>
      <c r="CL47" s="274">
        <v>0.9</v>
      </c>
      <c r="CM47" s="274"/>
      <c r="CN47" s="274">
        <v>0.9</v>
      </c>
      <c r="CO47" s="274"/>
      <c r="CP47" s="274"/>
      <c r="CQ47" s="274"/>
      <c r="CR47" s="275">
        <f t="shared" si="81"/>
        <v>0</v>
      </c>
      <c r="CS47" s="276">
        <f t="shared" si="82"/>
        <v>1</v>
      </c>
      <c r="CT47" s="274">
        <v>1.3</v>
      </c>
      <c r="CU47" s="274"/>
      <c r="CV47" s="274">
        <v>1.3</v>
      </c>
      <c r="CW47" s="274"/>
      <c r="CX47" s="274"/>
      <c r="CY47" s="274"/>
      <c r="CZ47" s="275">
        <f t="shared" si="83"/>
        <v>0</v>
      </c>
      <c r="DA47" s="276">
        <f t="shared" si="84"/>
        <v>1</v>
      </c>
      <c r="DB47" s="274">
        <v>1.2</v>
      </c>
      <c r="DC47" s="274"/>
      <c r="DD47" s="274">
        <v>1.2</v>
      </c>
      <c r="DE47" s="274"/>
      <c r="DF47" s="274"/>
      <c r="DG47" s="274"/>
      <c r="DH47" s="275">
        <f t="shared" si="85"/>
        <v>0</v>
      </c>
      <c r="DI47" s="276">
        <f t="shared" si="86"/>
        <v>1</v>
      </c>
      <c r="DJ47" s="275">
        <f t="shared" si="87"/>
        <v>3.9</v>
      </c>
      <c r="DK47" s="274"/>
      <c r="DL47" s="275">
        <f t="shared" si="88"/>
        <v>3.9</v>
      </c>
      <c r="DM47" s="274"/>
      <c r="DN47" s="275">
        <f t="shared" si="89"/>
        <v>0</v>
      </c>
      <c r="DO47" s="274"/>
      <c r="DP47" s="275">
        <f t="shared" si="90"/>
        <v>0</v>
      </c>
      <c r="DQ47" s="276">
        <f t="shared" si="91"/>
        <v>1</v>
      </c>
      <c r="DR47" s="274">
        <v>1.3</v>
      </c>
      <c r="DS47" s="274"/>
      <c r="DT47" s="274">
        <v>1.3</v>
      </c>
      <c r="DU47" s="274"/>
      <c r="DV47" s="274"/>
      <c r="DW47" s="274"/>
      <c r="DX47" s="275">
        <f t="shared" si="92"/>
        <v>0</v>
      </c>
      <c r="DY47" s="276">
        <f t="shared" si="93"/>
        <v>1</v>
      </c>
      <c r="DZ47" s="274">
        <v>1.2</v>
      </c>
      <c r="EA47" s="274"/>
      <c r="EB47" s="274">
        <v>1.2</v>
      </c>
      <c r="EC47" s="274"/>
      <c r="ED47" s="274"/>
      <c r="EE47" s="274"/>
      <c r="EF47" s="275">
        <f t="shared" si="94"/>
        <v>0</v>
      </c>
      <c r="EG47" s="276">
        <f t="shared" si="95"/>
        <v>1</v>
      </c>
      <c r="EH47" s="274">
        <v>1.4</v>
      </c>
      <c r="EI47" s="274"/>
      <c r="EJ47" s="274">
        <v>1.4</v>
      </c>
      <c r="EK47" s="274"/>
      <c r="EL47" s="274"/>
      <c r="EM47" s="274"/>
      <c r="EN47" s="275">
        <f t="shared" si="96"/>
        <v>0</v>
      </c>
      <c r="EO47" s="276">
        <f t="shared" si="97"/>
        <v>1</v>
      </c>
    </row>
    <row r="48" spans="1:145" ht="18.75" customHeight="1" x14ac:dyDescent="0.3">
      <c r="A48" s="263"/>
      <c r="B48" s="226" t="s">
        <v>1617</v>
      </c>
      <c r="C48" s="234" t="s">
        <v>1618</v>
      </c>
      <c r="D48" s="234"/>
      <c r="E48" s="235"/>
      <c r="F48" s="232"/>
      <c r="G48" s="236"/>
      <c r="H48" s="243"/>
      <c r="I48" s="252"/>
      <c r="J48" s="275">
        <f t="shared" si="49"/>
        <v>7239.2</v>
      </c>
      <c r="K48" s="274"/>
      <c r="L48" s="275">
        <f t="shared" si="50"/>
        <v>7239.2</v>
      </c>
      <c r="M48" s="274"/>
      <c r="N48" s="275">
        <f t="shared" si="51"/>
        <v>1997.064394</v>
      </c>
      <c r="O48" s="274"/>
      <c r="P48" s="275">
        <f t="shared" si="52"/>
        <v>0</v>
      </c>
      <c r="Q48" s="276">
        <f t="shared" si="53"/>
        <v>1</v>
      </c>
      <c r="R48" s="275">
        <f t="shared" si="54"/>
        <v>1810.1</v>
      </c>
      <c r="S48" s="274"/>
      <c r="T48" s="275">
        <f t="shared" si="55"/>
        <v>1810.1</v>
      </c>
      <c r="U48" s="274"/>
      <c r="V48" s="275">
        <f t="shared" si="56"/>
        <v>1317.7720380000001</v>
      </c>
      <c r="W48" s="274"/>
      <c r="X48" s="275">
        <f t="shared" si="57"/>
        <v>0</v>
      </c>
      <c r="Y48" s="276">
        <f t="shared" si="58"/>
        <v>1</v>
      </c>
      <c r="Z48" s="274">
        <v>621.20000000000005</v>
      </c>
      <c r="AA48" s="274"/>
      <c r="AB48" s="274">
        <v>621.20000000000005</v>
      </c>
      <c r="AC48" s="274"/>
      <c r="AD48" s="274">
        <v>460.40707300000003</v>
      </c>
      <c r="AE48" s="274"/>
      <c r="AF48" s="275">
        <f t="shared" si="59"/>
        <v>0</v>
      </c>
      <c r="AG48" s="276">
        <f t="shared" si="60"/>
        <v>1</v>
      </c>
      <c r="AH48" s="274">
        <v>563.9</v>
      </c>
      <c r="AI48" s="274"/>
      <c r="AJ48" s="274">
        <v>563.9</v>
      </c>
      <c r="AK48" s="274"/>
      <c r="AL48" s="274">
        <v>400.85111000000001</v>
      </c>
      <c r="AM48" s="274"/>
      <c r="AN48" s="275">
        <f t="shared" si="61"/>
        <v>0</v>
      </c>
      <c r="AO48" s="276">
        <f t="shared" si="62"/>
        <v>1</v>
      </c>
      <c r="AP48" s="274">
        <v>625</v>
      </c>
      <c r="AQ48" s="274"/>
      <c r="AR48" s="274">
        <v>625</v>
      </c>
      <c r="AS48" s="274"/>
      <c r="AT48" s="274">
        <v>456.51385499999998</v>
      </c>
      <c r="AU48" s="274"/>
      <c r="AV48" s="275">
        <f t="shared" si="63"/>
        <v>0</v>
      </c>
      <c r="AW48" s="276">
        <f t="shared" si="64"/>
        <v>1</v>
      </c>
      <c r="AX48" s="275">
        <f t="shared" si="65"/>
        <v>1375.3</v>
      </c>
      <c r="AY48" s="274"/>
      <c r="AZ48" s="275">
        <f t="shared" si="66"/>
        <v>1375.3</v>
      </c>
      <c r="BA48" s="274"/>
      <c r="BB48" s="275">
        <f t="shared" si="67"/>
        <v>679.29235600000004</v>
      </c>
      <c r="BC48" s="274"/>
      <c r="BD48" s="275">
        <f t="shared" si="68"/>
        <v>0</v>
      </c>
      <c r="BE48" s="276">
        <f t="shared" si="69"/>
        <v>1</v>
      </c>
      <c r="BF48" s="274">
        <v>605.5</v>
      </c>
      <c r="BG48" s="274"/>
      <c r="BH48" s="274">
        <v>605.5</v>
      </c>
      <c r="BI48" s="274"/>
      <c r="BJ48" s="274">
        <v>402.18023599999998</v>
      </c>
      <c r="BK48" s="274"/>
      <c r="BL48" s="275">
        <f t="shared" si="70"/>
        <v>0</v>
      </c>
      <c r="BM48" s="276">
        <f t="shared" si="71"/>
        <v>1</v>
      </c>
      <c r="BN48" s="274">
        <v>428.1</v>
      </c>
      <c r="BO48" s="274"/>
      <c r="BP48" s="274">
        <v>428.1</v>
      </c>
      <c r="BQ48" s="274"/>
      <c r="BR48" s="274">
        <v>168.14</v>
      </c>
      <c r="BS48" s="274"/>
      <c r="BT48" s="275">
        <f t="shared" si="72"/>
        <v>0</v>
      </c>
      <c r="BU48" s="276">
        <f t="shared" si="73"/>
        <v>1</v>
      </c>
      <c r="BV48" s="274">
        <v>341.7</v>
      </c>
      <c r="BW48" s="274"/>
      <c r="BX48" s="274">
        <v>341.7</v>
      </c>
      <c r="BY48" s="274"/>
      <c r="BZ48" s="274">
        <v>108.97212</v>
      </c>
      <c r="CA48" s="274"/>
      <c r="CB48" s="275">
        <f t="shared" si="74"/>
        <v>0</v>
      </c>
      <c r="CC48" s="276">
        <f t="shared" si="75"/>
        <v>1</v>
      </c>
      <c r="CD48" s="275">
        <f t="shared" si="76"/>
        <v>2019</v>
      </c>
      <c r="CE48" s="274"/>
      <c r="CF48" s="275">
        <f t="shared" si="77"/>
        <v>2019</v>
      </c>
      <c r="CG48" s="274"/>
      <c r="CH48" s="275">
        <f t="shared" si="78"/>
        <v>0</v>
      </c>
      <c r="CI48" s="274"/>
      <c r="CJ48" s="275">
        <f t="shared" si="79"/>
        <v>0</v>
      </c>
      <c r="CK48" s="276">
        <f t="shared" si="80"/>
        <v>1</v>
      </c>
      <c r="CL48" s="274">
        <v>659.9</v>
      </c>
      <c r="CM48" s="274"/>
      <c r="CN48" s="274">
        <v>659.9</v>
      </c>
      <c r="CO48" s="274"/>
      <c r="CP48" s="274"/>
      <c r="CQ48" s="274"/>
      <c r="CR48" s="275">
        <f t="shared" si="81"/>
        <v>0</v>
      </c>
      <c r="CS48" s="276">
        <f t="shared" si="82"/>
        <v>1</v>
      </c>
      <c r="CT48" s="274">
        <v>685.9</v>
      </c>
      <c r="CU48" s="274"/>
      <c r="CV48" s="274">
        <v>685.9</v>
      </c>
      <c r="CW48" s="274"/>
      <c r="CX48" s="274"/>
      <c r="CY48" s="274"/>
      <c r="CZ48" s="275">
        <f t="shared" si="83"/>
        <v>0</v>
      </c>
      <c r="DA48" s="276">
        <f t="shared" si="84"/>
        <v>1</v>
      </c>
      <c r="DB48" s="274">
        <v>673.2</v>
      </c>
      <c r="DC48" s="274"/>
      <c r="DD48" s="274">
        <v>673.2</v>
      </c>
      <c r="DE48" s="274"/>
      <c r="DF48" s="274"/>
      <c r="DG48" s="274"/>
      <c r="DH48" s="275">
        <f t="shared" si="85"/>
        <v>0</v>
      </c>
      <c r="DI48" s="276">
        <f t="shared" si="86"/>
        <v>1</v>
      </c>
      <c r="DJ48" s="275">
        <f t="shared" si="87"/>
        <v>2034.8</v>
      </c>
      <c r="DK48" s="274"/>
      <c r="DL48" s="275">
        <f t="shared" si="88"/>
        <v>2034.8</v>
      </c>
      <c r="DM48" s="274"/>
      <c r="DN48" s="275">
        <f t="shared" si="89"/>
        <v>0</v>
      </c>
      <c r="DO48" s="274"/>
      <c r="DP48" s="275">
        <f t="shared" si="90"/>
        <v>0</v>
      </c>
      <c r="DQ48" s="276">
        <f t="shared" si="91"/>
        <v>1</v>
      </c>
      <c r="DR48" s="274">
        <v>680.4</v>
      </c>
      <c r="DS48" s="274"/>
      <c r="DT48" s="274">
        <v>680.4</v>
      </c>
      <c r="DU48" s="274"/>
      <c r="DV48" s="274"/>
      <c r="DW48" s="274"/>
      <c r="DX48" s="275">
        <f t="shared" si="92"/>
        <v>0</v>
      </c>
      <c r="DY48" s="276">
        <f t="shared" si="93"/>
        <v>1</v>
      </c>
      <c r="DZ48" s="274">
        <v>673.4</v>
      </c>
      <c r="EA48" s="274"/>
      <c r="EB48" s="274">
        <v>673.4</v>
      </c>
      <c r="EC48" s="274"/>
      <c r="ED48" s="274"/>
      <c r="EE48" s="274"/>
      <c r="EF48" s="275">
        <f t="shared" si="94"/>
        <v>0</v>
      </c>
      <c r="EG48" s="276">
        <f t="shared" si="95"/>
        <v>1</v>
      </c>
      <c r="EH48" s="274">
        <v>681</v>
      </c>
      <c r="EI48" s="274"/>
      <c r="EJ48" s="274">
        <v>681</v>
      </c>
      <c r="EK48" s="274"/>
      <c r="EL48" s="274"/>
      <c r="EM48" s="274"/>
      <c r="EN48" s="275">
        <f t="shared" si="96"/>
        <v>0</v>
      </c>
      <c r="EO48" s="276">
        <f t="shared" si="97"/>
        <v>1</v>
      </c>
    </row>
    <row r="49" spans="1:145" ht="18.75" customHeight="1" x14ac:dyDescent="0.3">
      <c r="A49" s="264" t="s">
        <v>1619</v>
      </c>
      <c r="B49" s="227" t="s">
        <v>1620</v>
      </c>
      <c r="C49" s="234" t="s">
        <v>1621</v>
      </c>
      <c r="D49" s="234"/>
      <c r="E49" s="235"/>
      <c r="F49" s="232"/>
      <c r="G49" s="236"/>
      <c r="H49" s="243"/>
      <c r="I49" s="252"/>
      <c r="J49" s="275">
        <f t="shared" si="49"/>
        <v>81.400000000000006</v>
      </c>
      <c r="K49" s="274"/>
      <c r="L49" s="275">
        <f t="shared" si="50"/>
        <v>81.400000000000006</v>
      </c>
      <c r="M49" s="274"/>
      <c r="N49" s="275">
        <f t="shared" si="51"/>
        <v>47.329122999999996</v>
      </c>
      <c r="O49" s="274"/>
      <c r="P49" s="275">
        <f t="shared" si="52"/>
        <v>0</v>
      </c>
      <c r="Q49" s="276">
        <f t="shared" si="53"/>
        <v>1</v>
      </c>
      <c r="R49" s="275">
        <f t="shared" si="54"/>
        <v>0</v>
      </c>
      <c r="S49" s="274"/>
      <c r="T49" s="275">
        <f t="shared" si="55"/>
        <v>0</v>
      </c>
      <c r="U49" s="274"/>
      <c r="V49" s="275">
        <f t="shared" si="56"/>
        <v>39.902087999999999</v>
      </c>
      <c r="W49" s="274"/>
      <c r="X49" s="275">
        <f t="shared" si="57"/>
        <v>0</v>
      </c>
      <c r="Y49" s="276" t="str">
        <f t="shared" si="58"/>
        <v>-</v>
      </c>
      <c r="Z49" s="274"/>
      <c r="AA49" s="274"/>
      <c r="AB49" s="274"/>
      <c r="AC49" s="274"/>
      <c r="AD49" s="274">
        <v>27.933160000000001</v>
      </c>
      <c r="AE49" s="274"/>
      <c r="AF49" s="275">
        <f t="shared" si="59"/>
        <v>0</v>
      </c>
      <c r="AG49" s="276" t="str">
        <f t="shared" si="60"/>
        <v>-</v>
      </c>
      <c r="AH49" s="274"/>
      <c r="AI49" s="274"/>
      <c r="AJ49" s="274"/>
      <c r="AK49" s="274"/>
      <c r="AL49" s="274">
        <v>10.476258</v>
      </c>
      <c r="AM49" s="274"/>
      <c r="AN49" s="275">
        <f t="shared" si="61"/>
        <v>0</v>
      </c>
      <c r="AO49" s="276" t="str">
        <f t="shared" si="62"/>
        <v>-</v>
      </c>
      <c r="AP49" s="274"/>
      <c r="AQ49" s="274"/>
      <c r="AR49" s="274"/>
      <c r="AS49" s="274"/>
      <c r="AT49" s="274">
        <v>1.4926699999999999</v>
      </c>
      <c r="AU49" s="274"/>
      <c r="AV49" s="275">
        <f t="shared" si="63"/>
        <v>0</v>
      </c>
      <c r="AW49" s="276" t="str">
        <f t="shared" si="64"/>
        <v>-</v>
      </c>
      <c r="AX49" s="275">
        <f t="shared" si="65"/>
        <v>41.7</v>
      </c>
      <c r="AY49" s="274"/>
      <c r="AZ49" s="275">
        <f t="shared" si="66"/>
        <v>41.7</v>
      </c>
      <c r="BA49" s="274"/>
      <c r="BB49" s="275">
        <f t="shared" si="67"/>
        <v>7.4270349999999992</v>
      </c>
      <c r="BC49" s="274"/>
      <c r="BD49" s="275">
        <f t="shared" si="68"/>
        <v>0</v>
      </c>
      <c r="BE49" s="276">
        <f t="shared" si="69"/>
        <v>1</v>
      </c>
      <c r="BF49" s="274"/>
      <c r="BG49" s="274"/>
      <c r="BH49" s="274"/>
      <c r="BI49" s="274"/>
      <c r="BJ49" s="274">
        <v>0.183335</v>
      </c>
      <c r="BK49" s="274"/>
      <c r="BL49" s="275">
        <f t="shared" si="70"/>
        <v>0</v>
      </c>
      <c r="BM49" s="276" t="str">
        <f t="shared" si="71"/>
        <v>-</v>
      </c>
      <c r="BN49" s="274">
        <v>18.399999999999999</v>
      </c>
      <c r="BO49" s="274"/>
      <c r="BP49" s="274">
        <v>18.399999999999999</v>
      </c>
      <c r="BQ49" s="274"/>
      <c r="BR49" s="274"/>
      <c r="BS49" s="274"/>
      <c r="BT49" s="275">
        <f t="shared" si="72"/>
        <v>0</v>
      </c>
      <c r="BU49" s="276">
        <f t="shared" si="73"/>
        <v>1</v>
      </c>
      <c r="BV49" s="274">
        <v>23.3</v>
      </c>
      <c r="BW49" s="274"/>
      <c r="BX49" s="274">
        <v>23.3</v>
      </c>
      <c r="BY49" s="274"/>
      <c r="BZ49" s="274">
        <v>7.2436999999999996</v>
      </c>
      <c r="CA49" s="274"/>
      <c r="CB49" s="275">
        <f t="shared" si="74"/>
        <v>0</v>
      </c>
      <c r="CC49" s="276">
        <f t="shared" si="75"/>
        <v>1</v>
      </c>
      <c r="CD49" s="275">
        <f t="shared" si="76"/>
        <v>31.5</v>
      </c>
      <c r="CE49" s="274"/>
      <c r="CF49" s="275">
        <f t="shared" si="77"/>
        <v>31.5</v>
      </c>
      <c r="CG49" s="274"/>
      <c r="CH49" s="275">
        <f t="shared" si="78"/>
        <v>0</v>
      </c>
      <c r="CI49" s="274"/>
      <c r="CJ49" s="275">
        <f t="shared" si="79"/>
        <v>0</v>
      </c>
      <c r="CK49" s="276">
        <f t="shared" si="80"/>
        <v>1</v>
      </c>
      <c r="CL49" s="274">
        <v>14.3</v>
      </c>
      <c r="CM49" s="274"/>
      <c r="CN49" s="274">
        <v>14.3</v>
      </c>
      <c r="CO49" s="274"/>
      <c r="CP49" s="274"/>
      <c r="CQ49" s="274"/>
      <c r="CR49" s="275">
        <f t="shared" si="81"/>
        <v>0</v>
      </c>
      <c r="CS49" s="276">
        <f t="shared" si="82"/>
        <v>1</v>
      </c>
      <c r="CT49" s="274">
        <v>8.6</v>
      </c>
      <c r="CU49" s="274"/>
      <c r="CV49" s="274">
        <v>8.6</v>
      </c>
      <c r="CW49" s="274"/>
      <c r="CX49" s="274"/>
      <c r="CY49" s="274"/>
      <c r="CZ49" s="275">
        <f t="shared" si="83"/>
        <v>0</v>
      </c>
      <c r="DA49" s="276">
        <f t="shared" si="84"/>
        <v>1</v>
      </c>
      <c r="DB49" s="274">
        <v>8.6</v>
      </c>
      <c r="DC49" s="274"/>
      <c r="DD49" s="274">
        <v>8.6</v>
      </c>
      <c r="DE49" s="274"/>
      <c r="DF49" s="274"/>
      <c r="DG49" s="274"/>
      <c r="DH49" s="275">
        <f t="shared" si="85"/>
        <v>0</v>
      </c>
      <c r="DI49" s="276">
        <f t="shared" si="86"/>
        <v>1</v>
      </c>
      <c r="DJ49" s="275">
        <f t="shared" si="87"/>
        <v>8.1999999999999993</v>
      </c>
      <c r="DK49" s="274"/>
      <c r="DL49" s="275">
        <f t="shared" si="88"/>
        <v>8.1999999999999993</v>
      </c>
      <c r="DM49" s="274"/>
      <c r="DN49" s="275">
        <f t="shared" si="89"/>
        <v>0</v>
      </c>
      <c r="DO49" s="274"/>
      <c r="DP49" s="275">
        <f t="shared" si="90"/>
        <v>0</v>
      </c>
      <c r="DQ49" s="276">
        <f t="shared" si="91"/>
        <v>1</v>
      </c>
      <c r="DR49" s="274">
        <v>2.8</v>
      </c>
      <c r="DS49" s="274"/>
      <c r="DT49" s="274">
        <v>2.8</v>
      </c>
      <c r="DU49" s="274"/>
      <c r="DV49" s="274"/>
      <c r="DW49" s="274"/>
      <c r="DX49" s="275">
        <f t="shared" si="92"/>
        <v>0</v>
      </c>
      <c r="DY49" s="276">
        <f t="shared" si="93"/>
        <v>1</v>
      </c>
      <c r="DZ49" s="274">
        <v>2.6</v>
      </c>
      <c r="EA49" s="274"/>
      <c r="EB49" s="274">
        <v>2.6</v>
      </c>
      <c r="EC49" s="274"/>
      <c r="ED49" s="274"/>
      <c r="EE49" s="274"/>
      <c r="EF49" s="275">
        <f t="shared" si="94"/>
        <v>0</v>
      </c>
      <c r="EG49" s="276">
        <f t="shared" si="95"/>
        <v>1</v>
      </c>
      <c r="EH49" s="274">
        <v>2.8</v>
      </c>
      <c r="EI49" s="274"/>
      <c r="EJ49" s="274">
        <v>2.8</v>
      </c>
      <c r="EK49" s="274"/>
      <c r="EL49" s="274"/>
      <c r="EM49" s="274"/>
      <c r="EN49" s="275">
        <f t="shared" si="96"/>
        <v>0</v>
      </c>
      <c r="EO49" s="276">
        <f t="shared" si="97"/>
        <v>1</v>
      </c>
    </row>
    <row r="50" spans="1:145" ht="18.75" customHeight="1" x14ac:dyDescent="0.3">
      <c r="A50" s="263" t="s">
        <v>1622</v>
      </c>
      <c r="B50" s="225" t="s">
        <v>1623</v>
      </c>
      <c r="C50" s="234" t="s">
        <v>1624</v>
      </c>
      <c r="D50" s="234"/>
      <c r="E50" s="235"/>
      <c r="F50" s="232"/>
      <c r="G50" s="236"/>
      <c r="H50" s="243"/>
      <c r="I50" s="252"/>
      <c r="J50" s="275">
        <f t="shared" si="49"/>
        <v>81.400000000000006</v>
      </c>
      <c r="K50" s="274"/>
      <c r="L50" s="275">
        <f t="shared" si="50"/>
        <v>81.400000000000006</v>
      </c>
      <c r="M50" s="274"/>
      <c r="N50" s="275">
        <f t="shared" si="51"/>
        <v>47.329122999999996</v>
      </c>
      <c r="O50" s="274"/>
      <c r="P50" s="275">
        <f t="shared" si="52"/>
        <v>0</v>
      </c>
      <c r="Q50" s="276">
        <f t="shared" si="53"/>
        <v>1</v>
      </c>
      <c r="R50" s="275">
        <f t="shared" si="54"/>
        <v>0</v>
      </c>
      <c r="S50" s="274"/>
      <c r="T50" s="275">
        <f t="shared" si="55"/>
        <v>0</v>
      </c>
      <c r="U50" s="274"/>
      <c r="V50" s="275">
        <f t="shared" si="56"/>
        <v>39.902087999999999</v>
      </c>
      <c r="W50" s="274"/>
      <c r="X50" s="275">
        <f t="shared" si="57"/>
        <v>0</v>
      </c>
      <c r="Y50" s="276" t="str">
        <f t="shared" si="58"/>
        <v>-</v>
      </c>
      <c r="Z50" s="274">
        <v>0</v>
      </c>
      <c r="AA50" s="274"/>
      <c r="AB50" s="274">
        <v>0</v>
      </c>
      <c r="AC50" s="274"/>
      <c r="AD50" s="274">
        <v>27.933160000000001</v>
      </c>
      <c r="AE50" s="274"/>
      <c r="AF50" s="275">
        <f t="shared" si="59"/>
        <v>0</v>
      </c>
      <c r="AG50" s="276" t="str">
        <f t="shared" si="60"/>
        <v>-</v>
      </c>
      <c r="AH50" s="274">
        <v>0</v>
      </c>
      <c r="AI50" s="274"/>
      <c r="AJ50" s="274">
        <v>0</v>
      </c>
      <c r="AK50" s="274"/>
      <c r="AL50" s="274">
        <v>10.476258</v>
      </c>
      <c r="AM50" s="274"/>
      <c r="AN50" s="275">
        <f t="shared" si="61"/>
        <v>0</v>
      </c>
      <c r="AO50" s="276" t="str">
        <f t="shared" si="62"/>
        <v>-</v>
      </c>
      <c r="AP50" s="274">
        <v>0</v>
      </c>
      <c r="AQ50" s="274"/>
      <c r="AR50" s="274">
        <v>0</v>
      </c>
      <c r="AS50" s="274"/>
      <c r="AT50" s="274">
        <v>1.4926699999999999</v>
      </c>
      <c r="AU50" s="274"/>
      <c r="AV50" s="275">
        <f t="shared" si="63"/>
        <v>0</v>
      </c>
      <c r="AW50" s="276" t="str">
        <f t="shared" si="64"/>
        <v>-</v>
      </c>
      <c r="AX50" s="275">
        <f t="shared" si="65"/>
        <v>41.7</v>
      </c>
      <c r="AY50" s="274"/>
      <c r="AZ50" s="275">
        <f t="shared" si="66"/>
        <v>41.7</v>
      </c>
      <c r="BA50" s="274"/>
      <c r="BB50" s="275">
        <f t="shared" si="67"/>
        <v>7.4270349999999992</v>
      </c>
      <c r="BC50" s="274"/>
      <c r="BD50" s="275">
        <f t="shared" si="68"/>
        <v>0</v>
      </c>
      <c r="BE50" s="276">
        <f t="shared" si="69"/>
        <v>1</v>
      </c>
      <c r="BF50" s="274">
        <v>0</v>
      </c>
      <c r="BG50" s="274"/>
      <c r="BH50" s="274">
        <v>0</v>
      </c>
      <c r="BI50" s="274"/>
      <c r="BJ50" s="274">
        <v>0.183335</v>
      </c>
      <c r="BK50" s="274"/>
      <c r="BL50" s="275">
        <f t="shared" si="70"/>
        <v>0</v>
      </c>
      <c r="BM50" s="276" t="str">
        <f t="shared" si="71"/>
        <v>-</v>
      </c>
      <c r="BN50" s="274">
        <v>18.399999999999999</v>
      </c>
      <c r="BO50" s="274"/>
      <c r="BP50" s="274">
        <v>18.399999999999999</v>
      </c>
      <c r="BQ50" s="274"/>
      <c r="BR50" s="274">
        <v>0</v>
      </c>
      <c r="BS50" s="274"/>
      <c r="BT50" s="275">
        <f t="shared" si="72"/>
        <v>0</v>
      </c>
      <c r="BU50" s="276">
        <f t="shared" si="73"/>
        <v>1</v>
      </c>
      <c r="BV50" s="274">
        <v>23.3</v>
      </c>
      <c r="BW50" s="274"/>
      <c r="BX50" s="274">
        <v>23.3</v>
      </c>
      <c r="BY50" s="274"/>
      <c r="BZ50" s="274">
        <v>7.2436999999999996</v>
      </c>
      <c r="CA50" s="274"/>
      <c r="CB50" s="275">
        <f t="shared" si="74"/>
        <v>0</v>
      </c>
      <c r="CC50" s="276">
        <f t="shared" si="75"/>
        <v>1</v>
      </c>
      <c r="CD50" s="275">
        <f t="shared" si="76"/>
        <v>31.5</v>
      </c>
      <c r="CE50" s="274"/>
      <c r="CF50" s="275">
        <f t="shared" si="77"/>
        <v>31.5</v>
      </c>
      <c r="CG50" s="274"/>
      <c r="CH50" s="275">
        <f t="shared" si="78"/>
        <v>0</v>
      </c>
      <c r="CI50" s="274"/>
      <c r="CJ50" s="275">
        <f t="shared" si="79"/>
        <v>0</v>
      </c>
      <c r="CK50" s="276">
        <f t="shared" si="80"/>
        <v>1</v>
      </c>
      <c r="CL50" s="274">
        <v>14.3</v>
      </c>
      <c r="CM50" s="274"/>
      <c r="CN50" s="274">
        <v>14.3</v>
      </c>
      <c r="CO50" s="274"/>
      <c r="CP50" s="274"/>
      <c r="CQ50" s="274"/>
      <c r="CR50" s="275">
        <f t="shared" si="81"/>
        <v>0</v>
      </c>
      <c r="CS50" s="276">
        <f t="shared" si="82"/>
        <v>1</v>
      </c>
      <c r="CT50" s="274">
        <v>8.6</v>
      </c>
      <c r="CU50" s="274"/>
      <c r="CV50" s="274">
        <v>8.6</v>
      </c>
      <c r="CW50" s="274"/>
      <c r="CX50" s="274"/>
      <c r="CY50" s="274"/>
      <c r="CZ50" s="275">
        <f t="shared" si="83"/>
        <v>0</v>
      </c>
      <c r="DA50" s="276">
        <f t="shared" si="84"/>
        <v>1</v>
      </c>
      <c r="DB50" s="274">
        <v>8.6</v>
      </c>
      <c r="DC50" s="274"/>
      <c r="DD50" s="274">
        <v>8.6</v>
      </c>
      <c r="DE50" s="274"/>
      <c r="DF50" s="274"/>
      <c r="DG50" s="274"/>
      <c r="DH50" s="275">
        <f t="shared" si="85"/>
        <v>0</v>
      </c>
      <c r="DI50" s="276">
        <f t="shared" si="86"/>
        <v>1</v>
      </c>
      <c r="DJ50" s="275">
        <f t="shared" si="87"/>
        <v>8.1999999999999993</v>
      </c>
      <c r="DK50" s="274"/>
      <c r="DL50" s="275">
        <f t="shared" si="88"/>
        <v>8.1999999999999993</v>
      </c>
      <c r="DM50" s="274"/>
      <c r="DN50" s="275">
        <f t="shared" si="89"/>
        <v>0</v>
      </c>
      <c r="DO50" s="274"/>
      <c r="DP50" s="275">
        <f t="shared" si="90"/>
        <v>0</v>
      </c>
      <c r="DQ50" s="276">
        <f t="shared" si="91"/>
        <v>1</v>
      </c>
      <c r="DR50" s="274">
        <v>2.8</v>
      </c>
      <c r="DS50" s="274"/>
      <c r="DT50" s="274">
        <v>2.8</v>
      </c>
      <c r="DU50" s="274"/>
      <c r="DV50" s="274"/>
      <c r="DW50" s="274"/>
      <c r="DX50" s="275">
        <f t="shared" si="92"/>
        <v>0</v>
      </c>
      <c r="DY50" s="276">
        <f t="shared" si="93"/>
        <v>1</v>
      </c>
      <c r="DZ50" s="274">
        <v>2.6</v>
      </c>
      <c r="EA50" s="274"/>
      <c r="EB50" s="274">
        <v>2.6</v>
      </c>
      <c r="EC50" s="274"/>
      <c r="ED50" s="274"/>
      <c r="EE50" s="274"/>
      <c r="EF50" s="275">
        <f t="shared" si="94"/>
        <v>0</v>
      </c>
      <c r="EG50" s="276">
        <f t="shared" si="95"/>
        <v>1</v>
      </c>
      <c r="EH50" s="274">
        <v>2.8</v>
      </c>
      <c r="EI50" s="274"/>
      <c r="EJ50" s="274">
        <v>2.8</v>
      </c>
      <c r="EK50" s="274"/>
      <c r="EL50" s="274"/>
      <c r="EM50" s="274"/>
      <c r="EN50" s="275">
        <f t="shared" si="96"/>
        <v>0</v>
      </c>
      <c r="EO50" s="276">
        <f t="shared" si="97"/>
        <v>1</v>
      </c>
    </row>
    <row r="51" spans="1:145" ht="18.75" customHeight="1" x14ac:dyDescent="0.3">
      <c r="A51" s="14"/>
      <c r="B51" s="228" t="s">
        <v>1625</v>
      </c>
      <c r="C51" s="234" t="s">
        <v>1626</v>
      </c>
      <c r="D51" s="234"/>
      <c r="E51" s="235"/>
      <c r="F51" s="232"/>
      <c r="G51" s="236"/>
      <c r="H51" s="243"/>
      <c r="I51" s="252"/>
      <c r="J51" s="275">
        <f t="shared" si="49"/>
        <v>13.3</v>
      </c>
      <c r="K51" s="274"/>
      <c r="L51" s="275">
        <f t="shared" si="50"/>
        <v>13.3</v>
      </c>
      <c r="M51" s="274"/>
      <c r="N51" s="275">
        <f t="shared" si="51"/>
        <v>18.855999999999998</v>
      </c>
      <c r="O51" s="274"/>
      <c r="P51" s="275">
        <f t="shared" si="52"/>
        <v>0</v>
      </c>
      <c r="Q51" s="276">
        <f t="shared" si="53"/>
        <v>1</v>
      </c>
      <c r="R51" s="275">
        <f t="shared" si="54"/>
        <v>0</v>
      </c>
      <c r="S51" s="274"/>
      <c r="T51" s="275">
        <f t="shared" si="55"/>
        <v>0</v>
      </c>
      <c r="U51" s="274"/>
      <c r="V51" s="275">
        <f t="shared" si="56"/>
        <v>15.657999999999999</v>
      </c>
      <c r="W51" s="274"/>
      <c r="X51" s="275">
        <f t="shared" si="57"/>
        <v>0</v>
      </c>
      <c r="Y51" s="276" t="str">
        <f t="shared" si="58"/>
        <v>-</v>
      </c>
      <c r="Z51" s="274">
        <v>0</v>
      </c>
      <c r="AA51" s="274"/>
      <c r="AB51" s="274">
        <v>0</v>
      </c>
      <c r="AC51" s="274"/>
      <c r="AD51" s="274">
        <v>10.832000000000001</v>
      </c>
      <c r="AE51" s="274"/>
      <c r="AF51" s="275">
        <f t="shared" si="59"/>
        <v>0</v>
      </c>
      <c r="AG51" s="276" t="str">
        <f t="shared" si="60"/>
        <v>-</v>
      </c>
      <c r="AH51" s="274">
        <v>0</v>
      </c>
      <c r="AI51" s="274"/>
      <c r="AJ51" s="274">
        <v>0</v>
      </c>
      <c r="AK51" s="274"/>
      <c r="AL51" s="274">
        <v>3.847</v>
      </c>
      <c r="AM51" s="274"/>
      <c r="AN51" s="275">
        <f t="shared" si="61"/>
        <v>0</v>
      </c>
      <c r="AO51" s="276" t="str">
        <f t="shared" si="62"/>
        <v>-</v>
      </c>
      <c r="AP51" s="274">
        <v>0</v>
      </c>
      <c r="AQ51" s="274"/>
      <c r="AR51" s="274">
        <v>0</v>
      </c>
      <c r="AS51" s="274"/>
      <c r="AT51" s="274">
        <v>0.97899999999999998</v>
      </c>
      <c r="AU51" s="274"/>
      <c r="AV51" s="275">
        <f t="shared" si="63"/>
        <v>0</v>
      </c>
      <c r="AW51" s="276" t="str">
        <f t="shared" si="64"/>
        <v>-</v>
      </c>
      <c r="AX51" s="275">
        <f t="shared" si="65"/>
        <v>7.5</v>
      </c>
      <c r="AY51" s="274"/>
      <c r="AZ51" s="275">
        <f t="shared" si="66"/>
        <v>7.5</v>
      </c>
      <c r="BA51" s="274"/>
      <c r="BB51" s="275">
        <f t="shared" si="67"/>
        <v>3.198</v>
      </c>
      <c r="BC51" s="274"/>
      <c r="BD51" s="275">
        <f t="shared" si="68"/>
        <v>0</v>
      </c>
      <c r="BE51" s="276">
        <f t="shared" si="69"/>
        <v>1</v>
      </c>
      <c r="BF51" s="274">
        <v>0</v>
      </c>
      <c r="BG51" s="274"/>
      <c r="BH51" s="274">
        <v>0</v>
      </c>
      <c r="BI51" s="274"/>
      <c r="BJ51" s="274">
        <v>0</v>
      </c>
      <c r="BK51" s="274"/>
      <c r="BL51" s="275">
        <f t="shared" si="70"/>
        <v>0</v>
      </c>
      <c r="BM51" s="276" t="str">
        <f t="shared" si="71"/>
        <v>-</v>
      </c>
      <c r="BN51" s="274">
        <v>3.3</v>
      </c>
      <c r="BO51" s="274"/>
      <c r="BP51" s="274">
        <v>3.3</v>
      </c>
      <c r="BQ51" s="274"/>
      <c r="BR51" s="274">
        <v>0</v>
      </c>
      <c r="BS51" s="274"/>
      <c r="BT51" s="275">
        <f t="shared" si="72"/>
        <v>0</v>
      </c>
      <c r="BU51" s="276">
        <f t="shared" si="73"/>
        <v>1</v>
      </c>
      <c r="BV51" s="274">
        <v>4.2</v>
      </c>
      <c r="BW51" s="274"/>
      <c r="BX51" s="274">
        <v>4.2</v>
      </c>
      <c r="BY51" s="274"/>
      <c r="BZ51" s="274">
        <v>3.198</v>
      </c>
      <c r="CA51" s="274"/>
      <c r="CB51" s="275">
        <f t="shared" si="74"/>
        <v>0</v>
      </c>
      <c r="CC51" s="276">
        <f t="shared" si="75"/>
        <v>1</v>
      </c>
      <c r="CD51" s="275">
        <f t="shared" si="76"/>
        <v>5.8000000000000007</v>
      </c>
      <c r="CE51" s="274"/>
      <c r="CF51" s="275">
        <f t="shared" si="77"/>
        <v>5.8000000000000007</v>
      </c>
      <c r="CG51" s="274"/>
      <c r="CH51" s="275">
        <f t="shared" si="78"/>
        <v>0</v>
      </c>
      <c r="CI51" s="274"/>
      <c r="CJ51" s="275">
        <f t="shared" si="79"/>
        <v>0</v>
      </c>
      <c r="CK51" s="276">
        <f t="shared" si="80"/>
        <v>1</v>
      </c>
      <c r="CL51" s="274">
        <v>2.6</v>
      </c>
      <c r="CM51" s="274"/>
      <c r="CN51" s="274">
        <v>2.6</v>
      </c>
      <c r="CO51" s="274"/>
      <c r="CP51" s="274"/>
      <c r="CQ51" s="274"/>
      <c r="CR51" s="275">
        <f t="shared" si="81"/>
        <v>0</v>
      </c>
      <c r="CS51" s="276">
        <f t="shared" si="82"/>
        <v>1</v>
      </c>
      <c r="CT51" s="274">
        <v>1.6</v>
      </c>
      <c r="CU51" s="274"/>
      <c r="CV51" s="274">
        <v>1.6</v>
      </c>
      <c r="CW51" s="274"/>
      <c r="CX51" s="274"/>
      <c r="CY51" s="274"/>
      <c r="CZ51" s="275">
        <f t="shared" si="83"/>
        <v>0</v>
      </c>
      <c r="DA51" s="276">
        <f t="shared" si="84"/>
        <v>1</v>
      </c>
      <c r="DB51" s="274">
        <v>1.6</v>
      </c>
      <c r="DC51" s="274"/>
      <c r="DD51" s="274">
        <v>1.6</v>
      </c>
      <c r="DE51" s="274"/>
      <c r="DF51" s="274"/>
      <c r="DG51" s="274"/>
      <c r="DH51" s="275">
        <f t="shared" si="85"/>
        <v>0</v>
      </c>
      <c r="DI51" s="276">
        <f t="shared" si="86"/>
        <v>1</v>
      </c>
      <c r="DJ51" s="275">
        <f t="shared" si="87"/>
        <v>0</v>
      </c>
      <c r="DK51" s="274"/>
      <c r="DL51" s="275">
        <f t="shared" si="88"/>
        <v>0</v>
      </c>
      <c r="DM51" s="274"/>
      <c r="DN51" s="275">
        <f t="shared" si="89"/>
        <v>0</v>
      </c>
      <c r="DO51" s="274"/>
      <c r="DP51" s="275">
        <f t="shared" si="90"/>
        <v>0</v>
      </c>
      <c r="DQ51" s="276" t="str">
        <f t="shared" si="91"/>
        <v>-</v>
      </c>
      <c r="DR51" s="274">
        <v>0</v>
      </c>
      <c r="DS51" s="274"/>
      <c r="DT51" s="274">
        <v>0</v>
      </c>
      <c r="DU51" s="274"/>
      <c r="DV51" s="274"/>
      <c r="DW51" s="274"/>
      <c r="DX51" s="275">
        <f t="shared" si="92"/>
        <v>0</v>
      </c>
      <c r="DY51" s="276" t="str">
        <f t="shared" si="93"/>
        <v>-</v>
      </c>
      <c r="DZ51" s="274">
        <v>0</v>
      </c>
      <c r="EA51" s="274"/>
      <c r="EB51" s="274">
        <v>0</v>
      </c>
      <c r="EC51" s="274"/>
      <c r="ED51" s="274"/>
      <c r="EE51" s="274"/>
      <c r="EF51" s="275">
        <f t="shared" si="94"/>
        <v>0</v>
      </c>
      <c r="EG51" s="276" t="str">
        <f t="shared" si="95"/>
        <v>-</v>
      </c>
      <c r="EH51" s="274">
        <v>0</v>
      </c>
      <c r="EI51" s="274"/>
      <c r="EJ51" s="274">
        <v>0</v>
      </c>
      <c r="EK51" s="274"/>
      <c r="EL51" s="274"/>
      <c r="EM51" s="274"/>
      <c r="EN51" s="275">
        <f t="shared" si="96"/>
        <v>0</v>
      </c>
      <c r="EO51" s="276" t="str">
        <f t="shared" si="97"/>
        <v>-</v>
      </c>
    </row>
    <row r="52" spans="1:145" ht="19.5" customHeight="1" x14ac:dyDescent="0.35">
      <c r="A52" s="22"/>
      <c r="B52" s="23" t="s">
        <v>815</v>
      </c>
      <c r="C52" s="234"/>
      <c r="D52" s="234"/>
      <c r="E52" s="235">
        <v>3</v>
      </c>
      <c r="F52" s="232"/>
      <c r="G52" s="236"/>
      <c r="H52" s="243"/>
      <c r="I52" s="252"/>
      <c r="J52" s="275">
        <f t="shared" si="49"/>
        <v>0</v>
      </c>
      <c r="K52" s="274"/>
      <c r="L52" s="275">
        <f t="shared" si="50"/>
        <v>0</v>
      </c>
      <c r="M52" s="274"/>
      <c r="N52" s="275">
        <f t="shared" si="51"/>
        <v>0</v>
      </c>
      <c r="O52" s="274"/>
      <c r="P52" s="275">
        <f t="shared" si="52"/>
        <v>0</v>
      </c>
      <c r="Q52" s="276" t="str">
        <f t="shared" si="53"/>
        <v>-</v>
      </c>
      <c r="R52" s="275">
        <f t="shared" si="54"/>
        <v>0</v>
      </c>
      <c r="S52" s="274"/>
      <c r="T52" s="275">
        <f t="shared" si="55"/>
        <v>0</v>
      </c>
      <c r="U52" s="274"/>
      <c r="V52" s="275">
        <f t="shared" si="56"/>
        <v>0</v>
      </c>
      <c r="W52" s="274"/>
      <c r="X52" s="275">
        <f t="shared" si="57"/>
        <v>0</v>
      </c>
      <c r="Y52" s="276" t="str">
        <f t="shared" si="58"/>
        <v>-</v>
      </c>
      <c r="Z52" s="277"/>
      <c r="AA52" s="274"/>
      <c r="AB52" s="277"/>
      <c r="AC52" s="274"/>
      <c r="AD52" s="277"/>
      <c r="AE52" s="274"/>
      <c r="AF52" s="275">
        <f t="shared" si="59"/>
        <v>0</v>
      </c>
      <c r="AG52" s="276" t="str">
        <f t="shared" si="60"/>
        <v>-</v>
      </c>
      <c r="AH52" s="277"/>
      <c r="AI52" s="274"/>
      <c r="AJ52" s="277"/>
      <c r="AK52" s="274"/>
      <c r="AL52" s="277"/>
      <c r="AM52" s="274"/>
      <c r="AN52" s="275">
        <f t="shared" si="61"/>
        <v>0</v>
      </c>
      <c r="AO52" s="276" t="str">
        <f t="shared" si="62"/>
        <v>-</v>
      </c>
      <c r="AP52" s="277"/>
      <c r="AQ52" s="274"/>
      <c r="AR52" s="277"/>
      <c r="AS52" s="274"/>
      <c r="AT52" s="277"/>
      <c r="AU52" s="274"/>
      <c r="AV52" s="275">
        <f t="shared" si="63"/>
        <v>0</v>
      </c>
      <c r="AW52" s="276" t="str">
        <f t="shared" si="64"/>
        <v>-</v>
      </c>
      <c r="AX52" s="275">
        <f t="shared" si="65"/>
        <v>0</v>
      </c>
      <c r="AY52" s="274"/>
      <c r="AZ52" s="275">
        <f t="shared" si="66"/>
        <v>0</v>
      </c>
      <c r="BA52" s="274"/>
      <c r="BB52" s="275">
        <f t="shared" si="67"/>
        <v>0</v>
      </c>
      <c r="BC52" s="274"/>
      <c r="BD52" s="275">
        <f t="shared" si="68"/>
        <v>0</v>
      </c>
      <c r="BE52" s="276" t="str">
        <f t="shared" si="69"/>
        <v>-</v>
      </c>
      <c r="BF52" s="277"/>
      <c r="BG52" s="274"/>
      <c r="BH52" s="277"/>
      <c r="BI52" s="274"/>
      <c r="BJ52" s="277"/>
      <c r="BK52" s="274"/>
      <c r="BL52" s="275">
        <f t="shared" si="70"/>
        <v>0</v>
      </c>
      <c r="BM52" s="276" t="str">
        <f t="shared" si="71"/>
        <v>-</v>
      </c>
      <c r="BN52" s="277"/>
      <c r="BO52" s="274"/>
      <c r="BP52" s="277"/>
      <c r="BQ52" s="274"/>
      <c r="BR52" s="277"/>
      <c r="BS52" s="274"/>
      <c r="BT52" s="275">
        <f t="shared" si="72"/>
        <v>0</v>
      </c>
      <c r="BU52" s="276" t="str">
        <f t="shared" si="73"/>
        <v>-</v>
      </c>
      <c r="BV52" s="277"/>
      <c r="BW52" s="274"/>
      <c r="BX52" s="277"/>
      <c r="BY52" s="274"/>
      <c r="BZ52" s="277"/>
      <c r="CA52" s="274"/>
      <c r="CB52" s="275">
        <f t="shared" si="74"/>
        <v>0</v>
      </c>
      <c r="CC52" s="276" t="str">
        <f t="shared" si="75"/>
        <v>-</v>
      </c>
      <c r="CD52" s="275">
        <f t="shared" si="76"/>
        <v>0</v>
      </c>
      <c r="CE52" s="274"/>
      <c r="CF52" s="275">
        <f t="shared" si="77"/>
        <v>0</v>
      </c>
      <c r="CG52" s="274"/>
      <c r="CH52" s="275">
        <f t="shared" si="78"/>
        <v>0</v>
      </c>
      <c r="CI52" s="274"/>
      <c r="CJ52" s="275">
        <f t="shared" si="79"/>
        <v>0</v>
      </c>
      <c r="CK52" s="276" t="str">
        <f t="shared" si="80"/>
        <v>-</v>
      </c>
      <c r="CL52" s="277"/>
      <c r="CM52" s="274"/>
      <c r="CN52" s="277"/>
      <c r="CO52" s="274"/>
      <c r="CP52" s="277"/>
      <c r="CQ52" s="274"/>
      <c r="CR52" s="275">
        <f t="shared" si="81"/>
        <v>0</v>
      </c>
      <c r="CS52" s="276" t="str">
        <f t="shared" si="82"/>
        <v>-</v>
      </c>
      <c r="CT52" s="277"/>
      <c r="CU52" s="274"/>
      <c r="CV52" s="277"/>
      <c r="CW52" s="274"/>
      <c r="CX52" s="277"/>
      <c r="CY52" s="274"/>
      <c r="CZ52" s="275">
        <f t="shared" si="83"/>
        <v>0</v>
      </c>
      <c r="DA52" s="276" t="str">
        <f t="shared" si="84"/>
        <v>-</v>
      </c>
      <c r="DB52" s="277"/>
      <c r="DC52" s="274"/>
      <c r="DD52" s="277"/>
      <c r="DE52" s="274"/>
      <c r="DF52" s="277"/>
      <c r="DG52" s="274"/>
      <c r="DH52" s="275">
        <f t="shared" si="85"/>
        <v>0</v>
      </c>
      <c r="DI52" s="276" t="str">
        <f t="shared" si="86"/>
        <v>-</v>
      </c>
      <c r="DJ52" s="275">
        <f t="shared" si="87"/>
        <v>0</v>
      </c>
      <c r="DK52" s="274"/>
      <c r="DL52" s="275">
        <f t="shared" si="88"/>
        <v>0</v>
      </c>
      <c r="DM52" s="274"/>
      <c r="DN52" s="275">
        <f t="shared" si="89"/>
        <v>0</v>
      </c>
      <c r="DO52" s="274"/>
      <c r="DP52" s="275">
        <f t="shared" si="90"/>
        <v>0</v>
      </c>
      <c r="DQ52" s="276" t="str">
        <f t="shared" si="91"/>
        <v>-</v>
      </c>
      <c r="DR52" s="277"/>
      <c r="DS52" s="274"/>
      <c r="DT52" s="277"/>
      <c r="DU52" s="274"/>
      <c r="DV52" s="277"/>
      <c r="DW52" s="274"/>
      <c r="DX52" s="275">
        <f t="shared" si="92"/>
        <v>0</v>
      </c>
      <c r="DY52" s="276" t="str">
        <f t="shared" si="93"/>
        <v>-</v>
      </c>
      <c r="DZ52" s="277"/>
      <c r="EA52" s="274"/>
      <c r="EB52" s="277"/>
      <c r="EC52" s="274"/>
      <c r="ED52" s="277"/>
      <c r="EE52" s="274"/>
      <c r="EF52" s="275">
        <f t="shared" si="94"/>
        <v>0</v>
      </c>
      <c r="EG52" s="276" t="str">
        <f t="shared" si="95"/>
        <v>-</v>
      </c>
      <c r="EH52" s="277"/>
      <c r="EI52" s="274"/>
      <c r="EJ52" s="277"/>
      <c r="EK52" s="274"/>
      <c r="EL52" s="277"/>
      <c r="EM52" s="274"/>
      <c r="EN52" s="275">
        <f t="shared" si="96"/>
        <v>0</v>
      </c>
      <c r="EO52" s="276" t="str">
        <f t="shared" si="97"/>
        <v>-</v>
      </c>
    </row>
    <row r="53" spans="1:145" ht="18.75" customHeight="1" x14ac:dyDescent="0.3">
      <c r="A53" s="22"/>
      <c r="B53" s="24" t="s">
        <v>1627</v>
      </c>
      <c r="C53" s="234" t="s">
        <v>1628</v>
      </c>
      <c r="D53" s="234"/>
      <c r="E53" s="235"/>
      <c r="F53" s="232"/>
      <c r="G53" s="236"/>
      <c r="H53" s="243"/>
      <c r="I53" s="252"/>
      <c r="J53" s="275">
        <f t="shared" si="49"/>
        <v>81.400000000000006</v>
      </c>
      <c r="K53" s="274"/>
      <c r="L53" s="275">
        <f t="shared" si="50"/>
        <v>81.400000000000006</v>
      </c>
      <c r="M53" s="274"/>
      <c r="N53" s="275">
        <f t="shared" si="51"/>
        <v>50.158200000000001</v>
      </c>
      <c r="O53" s="274"/>
      <c r="P53" s="275">
        <f t="shared" si="52"/>
        <v>0</v>
      </c>
      <c r="Q53" s="276">
        <f t="shared" si="53"/>
        <v>1</v>
      </c>
      <c r="R53" s="275">
        <f t="shared" si="54"/>
        <v>0</v>
      </c>
      <c r="S53" s="274"/>
      <c r="T53" s="275">
        <f t="shared" si="55"/>
        <v>0</v>
      </c>
      <c r="U53" s="274"/>
      <c r="V53" s="275">
        <f t="shared" si="56"/>
        <v>42.914500000000004</v>
      </c>
      <c r="W53" s="274"/>
      <c r="X53" s="275">
        <f t="shared" si="57"/>
        <v>0</v>
      </c>
      <c r="Y53" s="276" t="str">
        <f t="shared" si="58"/>
        <v>-</v>
      </c>
      <c r="Z53" s="274">
        <v>0</v>
      </c>
      <c r="AA53" s="274"/>
      <c r="AB53" s="274">
        <v>0</v>
      </c>
      <c r="AC53" s="274"/>
      <c r="AD53" s="274">
        <v>30.033650000000002</v>
      </c>
      <c r="AE53" s="274"/>
      <c r="AF53" s="275">
        <f t="shared" si="59"/>
        <v>0</v>
      </c>
      <c r="AG53" s="276" t="str">
        <f t="shared" si="60"/>
        <v>-</v>
      </c>
      <c r="AH53" s="274">
        <v>0</v>
      </c>
      <c r="AI53" s="274"/>
      <c r="AJ53" s="274">
        <v>0</v>
      </c>
      <c r="AK53" s="274"/>
      <c r="AL53" s="274">
        <v>10.1373</v>
      </c>
      <c r="AM53" s="274"/>
      <c r="AN53" s="275">
        <f t="shared" si="61"/>
        <v>0</v>
      </c>
      <c r="AO53" s="276" t="str">
        <f t="shared" si="62"/>
        <v>-</v>
      </c>
      <c r="AP53" s="274">
        <v>0</v>
      </c>
      <c r="AQ53" s="274"/>
      <c r="AR53" s="274">
        <v>0</v>
      </c>
      <c r="AS53" s="274"/>
      <c r="AT53" s="274">
        <v>2.7435499999999999</v>
      </c>
      <c r="AU53" s="274"/>
      <c r="AV53" s="275">
        <f t="shared" si="63"/>
        <v>0</v>
      </c>
      <c r="AW53" s="276" t="str">
        <f t="shared" si="64"/>
        <v>-</v>
      </c>
      <c r="AX53" s="275">
        <f t="shared" si="65"/>
        <v>41.7</v>
      </c>
      <c r="AY53" s="274"/>
      <c r="AZ53" s="275">
        <f t="shared" si="66"/>
        <v>41.7</v>
      </c>
      <c r="BA53" s="274"/>
      <c r="BB53" s="275">
        <f t="shared" si="67"/>
        <v>7.2436999999999996</v>
      </c>
      <c r="BC53" s="274"/>
      <c r="BD53" s="275">
        <f t="shared" si="68"/>
        <v>0</v>
      </c>
      <c r="BE53" s="276">
        <f t="shared" si="69"/>
        <v>1</v>
      </c>
      <c r="BF53" s="274">
        <v>0</v>
      </c>
      <c r="BG53" s="274"/>
      <c r="BH53" s="274">
        <v>0</v>
      </c>
      <c r="BI53" s="274"/>
      <c r="BJ53" s="274">
        <v>0</v>
      </c>
      <c r="BK53" s="274"/>
      <c r="BL53" s="275">
        <f t="shared" si="70"/>
        <v>0</v>
      </c>
      <c r="BM53" s="276" t="str">
        <f t="shared" si="71"/>
        <v>-</v>
      </c>
      <c r="BN53" s="274">
        <v>18.399999999999999</v>
      </c>
      <c r="BO53" s="274"/>
      <c r="BP53" s="274">
        <v>18.399999999999999</v>
      </c>
      <c r="BQ53" s="274"/>
      <c r="BR53" s="274">
        <v>0</v>
      </c>
      <c r="BS53" s="274"/>
      <c r="BT53" s="275">
        <f t="shared" si="72"/>
        <v>0</v>
      </c>
      <c r="BU53" s="276">
        <f t="shared" si="73"/>
        <v>1</v>
      </c>
      <c r="BV53" s="274">
        <v>23.3</v>
      </c>
      <c r="BW53" s="274"/>
      <c r="BX53" s="274">
        <v>23.3</v>
      </c>
      <c r="BY53" s="274"/>
      <c r="BZ53" s="274">
        <v>7.2436999999999996</v>
      </c>
      <c r="CA53" s="274"/>
      <c r="CB53" s="275">
        <f t="shared" si="74"/>
        <v>0</v>
      </c>
      <c r="CC53" s="276">
        <f t="shared" si="75"/>
        <v>1</v>
      </c>
      <c r="CD53" s="275">
        <f t="shared" si="76"/>
        <v>31.5</v>
      </c>
      <c r="CE53" s="274"/>
      <c r="CF53" s="275">
        <f t="shared" si="77"/>
        <v>31.5</v>
      </c>
      <c r="CG53" s="274"/>
      <c r="CH53" s="275">
        <f t="shared" si="78"/>
        <v>0</v>
      </c>
      <c r="CI53" s="274"/>
      <c r="CJ53" s="275">
        <f t="shared" si="79"/>
        <v>0</v>
      </c>
      <c r="CK53" s="276">
        <f t="shared" si="80"/>
        <v>1</v>
      </c>
      <c r="CL53" s="274">
        <v>14.3</v>
      </c>
      <c r="CM53" s="274"/>
      <c r="CN53" s="274">
        <v>14.3</v>
      </c>
      <c r="CO53" s="274"/>
      <c r="CP53" s="274"/>
      <c r="CQ53" s="274"/>
      <c r="CR53" s="275">
        <f t="shared" si="81"/>
        <v>0</v>
      </c>
      <c r="CS53" s="276">
        <f t="shared" si="82"/>
        <v>1</v>
      </c>
      <c r="CT53" s="274">
        <v>8.6</v>
      </c>
      <c r="CU53" s="274"/>
      <c r="CV53" s="274">
        <v>8.6</v>
      </c>
      <c r="CW53" s="274"/>
      <c r="CX53" s="274"/>
      <c r="CY53" s="274"/>
      <c r="CZ53" s="275">
        <f t="shared" si="83"/>
        <v>0</v>
      </c>
      <c r="DA53" s="276">
        <f t="shared" si="84"/>
        <v>1</v>
      </c>
      <c r="DB53" s="274">
        <v>8.6</v>
      </c>
      <c r="DC53" s="274"/>
      <c r="DD53" s="274">
        <v>8.6</v>
      </c>
      <c r="DE53" s="274"/>
      <c r="DF53" s="274"/>
      <c r="DG53" s="274"/>
      <c r="DH53" s="275">
        <f t="shared" si="85"/>
        <v>0</v>
      </c>
      <c r="DI53" s="276">
        <f t="shared" si="86"/>
        <v>1</v>
      </c>
      <c r="DJ53" s="275">
        <f t="shared" si="87"/>
        <v>8.1999999999999993</v>
      </c>
      <c r="DK53" s="274"/>
      <c r="DL53" s="275">
        <f t="shared" si="88"/>
        <v>8.1999999999999993</v>
      </c>
      <c r="DM53" s="274"/>
      <c r="DN53" s="275">
        <f t="shared" si="89"/>
        <v>0</v>
      </c>
      <c r="DO53" s="274"/>
      <c r="DP53" s="275">
        <f t="shared" si="90"/>
        <v>0</v>
      </c>
      <c r="DQ53" s="276">
        <f t="shared" si="91"/>
        <v>1</v>
      </c>
      <c r="DR53" s="274">
        <v>2.8</v>
      </c>
      <c r="DS53" s="274"/>
      <c r="DT53" s="274">
        <v>2.8</v>
      </c>
      <c r="DU53" s="274"/>
      <c r="DV53" s="274"/>
      <c r="DW53" s="274"/>
      <c r="DX53" s="275">
        <f t="shared" si="92"/>
        <v>0</v>
      </c>
      <c r="DY53" s="276">
        <f t="shared" si="93"/>
        <v>1</v>
      </c>
      <c r="DZ53" s="274">
        <v>2.6</v>
      </c>
      <c r="EA53" s="274"/>
      <c r="EB53" s="274">
        <v>2.6</v>
      </c>
      <c r="EC53" s="274"/>
      <c r="ED53" s="274"/>
      <c r="EE53" s="274"/>
      <c r="EF53" s="275">
        <f t="shared" si="94"/>
        <v>0</v>
      </c>
      <c r="EG53" s="276">
        <f t="shared" si="95"/>
        <v>1</v>
      </c>
      <c r="EH53" s="274">
        <v>2.8</v>
      </c>
      <c r="EI53" s="274"/>
      <c r="EJ53" s="274">
        <v>2.8</v>
      </c>
      <c r="EK53" s="274"/>
      <c r="EL53" s="274"/>
      <c r="EM53" s="274"/>
      <c r="EN53" s="275">
        <f t="shared" si="96"/>
        <v>0</v>
      </c>
      <c r="EO53" s="276">
        <f t="shared" si="97"/>
        <v>1</v>
      </c>
    </row>
    <row r="54" spans="1:145" ht="18.75" customHeight="1" x14ac:dyDescent="0.3">
      <c r="A54" s="25"/>
      <c r="B54" s="24" t="s">
        <v>1629</v>
      </c>
      <c r="C54" s="234" t="s">
        <v>1630</v>
      </c>
      <c r="D54" s="234"/>
      <c r="E54" s="235"/>
      <c r="F54" s="232"/>
      <c r="G54" s="236"/>
      <c r="H54" s="243"/>
      <c r="I54" s="252"/>
      <c r="J54" s="275">
        <f t="shared" si="49"/>
        <v>455.6</v>
      </c>
      <c r="K54" s="274"/>
      <c r="L54" s="275">
        <f t="shared" si="50"/>
        <v>455.6</v>
      </c>
      <c r="M54" s="274"/>
      <c r="N54" s="275">
        <f t="shared" si="51"/>
        <v>64.250110000000006</v>
      </c>
      <c r="O54" s="274"/>
      <c r="P54" s="275">
        <f t="shared" si="52"/>
        <v>0</v>
      </c>
      <c r="Q54" s="276">
        <f t="shared" si="53"/>
        <v>1</v>
      </c>
      <c r="R54" s="275">
        <f t="shared" si="54"/>
        <v>112.3</v>
      </c>
      <c r="S54" s="274"/>
      <c r="T54" s="275">
        <f t="shared" si="55"/>
        <v>112.3</v>
      </c>
      <c r="U54" s="274"/>
      <c r="V54" s="275">
        <f t="shared" si="56"/>
        <v>42.914500000000004</v>
      </c>
      <c r="W54" s="274"/>
      <c r="X54" s="275">
        <f t="shared" si="57"/>
        <v>0</v>
      </c>
      <c r="Y54" s="276">
        <f t="shared" si="58"/>
        <v>1</v>
      </c>
      <c r="Z54" s="274">
        <v>39</v>
      </c>
      <c r="AA54" s="274"/>
      <c r="AB54" s="274">
        <v>39</v>
      </c>
      <c r="AC54" s="274"/>
      <c r="AD54" s="274">
        <v>30.033650000000002</v>
      </c>
      <c r="AE54" s="274"/>
      <c r="AF54" s="275">
        <f t="shared" si="59"/>
        <v>0</v>
      </c>
      <c r="AG54" s="276">
        <f t="shared" si="60"/>
        <v>1</v>
      </c>
      <c r="AH54" s="274">
        <v>35</v>
      </c>
      <c r="AI54" s="274"/>
      <c r="AJ54" s="274">
        <v>35</v>
      </c>
      <c r="AK54" s="274"/>
      <c r="AL54" s="274">
        <v>10.1373</v>
      </c>
      <c r="AM54" s="274"/>
      <c r="AN54" s="275">
        <f t="shared" si="61"/>
        <v>0</v>
      </c>
      <c r="AO54" s="276">
        <f t="shared" si="62"/>
        <v>1</v>
      </c>
      <c r="AP54" s="274">
        <v>38.299999999999997</v>
      </c>
      <c r="AQ54" s="274"/>
      <c r="AR54" s="274">
        <v>38.299999999999997</v>
      </c>
      <c r="AS54" s="274"/>
      <c r="AT54" s="274">
        <v>2.7435499999999999</v>
      </c>
      <c r="AU54" s="274"/>
      <c r="AV54" s="275">
        <f t="shared" si="63"/>
        <v>0</v>
      </c>
      <c r="AW54" s="276">
        <f t="shared" si="64"/>
        <v>1</v>
      </c>
      <c r="AX54" s="275">
        <f t="shared" si="65"/>
        <v>90.8</v>
      </c>
      <c r="AY54" s="274"/>
      <c r="AZ54" s="275">
        <f t="shared" si="66"/>
        <v>90.8</v>
      </c>
      <c r="BA54" s="274"/>
      <c r="BB54" s="275">
        <f t="shared" si="67"/>
        <v>21.335610000000003</v>
      </c>
      <c r="BC54" s="274"/>
      <c r="BD54" s="275">
        <f t="shared" si="68"/>
        <v>0</v>
      </c>
      <c r="BE54" s="276">
        <f t="shared" si="69"/>
        <v>1</v>
      </c>
      <c r="BF54" s="274">
        <v>39.4</v>
      </c>
      <c r="BG54" s="274"/>
      <c r="BH54" s="274">
        <v>39.4</v>
      </c>
      <c r="BI54" s="274"/>
      <c r="BJ54" s="274">
        <v>0</v>
      </c>
      <c r="BK54" s="274"/>
      <c r="BL54" s="275">
        <f t="shared" si="70"/>
        <v>0</v>
      </c>
      <c r="BM54" s="276">
        <f t="shared" si="71"/>
        <v>1</v>
      </c>
      <c r="BN54" s="274">
        <v>28.1</v>
      </c>
      <c r="BO54" s="274"/>
      <c r="BP54" s="274">
        <v>28.1</v>
      </c>
      <c r="BQ54" s="274"/>
      <c r="BR54" s="274">
        <v>13.348000000000001</v>
      </c>
      <c r="BS54" s="274"/>
      <c r="BT54" s="275">
        <f t="shared" si="72"/>
        <v>0</v>
      </c>
      <c r="BU54" s="276">
        <f t="shared" si="73"/>
        <v>1</v>
      </c>
      <c r="BV54" s="274">
        <v>23.3</v>
      </c>
      <c r="BW54" s="274"/>
      <c r="BX54" s="274">
        <v>23.3</v>
      </c>
      <c r="BY54" s="274"/>
      <c r="BZ54" s="274">
        <v>7.9876100000000001</v>
      </c>
      <c r="CA54" s="274"/>
      <c r="CB54" s="275">
        <f t="shared" si="74"/>
        <v>0</v>
      </c>
      <c r="CC54" s="276">
        <f t="shared" si="75"/>
        <v>1</v>
      </c>
      <c r="CD54" s="275">
        <f t="shared" si="76"/>
        <v>122.7</v>
      </c>
      <c r="CE54" s="274"/>
      <c r="CF54" s="275">
        <f t="shared" si="77"/>
        <v>122.7</v>
      </c>
      <c r="CG54" s="274"/>
      <c r="CH54" s="275">
        <f t="shared" si="78"/>
        <v>0</v>
      </c>
      <c r="CI54" s="274"/>
      <c r="CJ54" s="275">
        <f t="shared" si="79"/>
        <v>0</v>
      </c>
      <c r="CK54" s="276">
        <f t="shared" si="80"/>
        <v>1</v>
      </c>
      <c r="CL54" s="274">
        <v>41.5</v>
      </c>
      <c r="CM54" s="274"/>
      <c r="CN54" s="274">
        <v>41.5</v>
      </c>
      <c r="CO54" s="274"/>
      <c r="CP54" s="274"/>
      <c r="CQ54" s="274"/>
      <c r="CR54" s="275">
        <f t="shared" si="81"/>
        <v>0</v>
      </c>
      <c r="CS54" s="276">
        <f t="shared" si="82"/>
        <v>1</v>
      </c>
      <c r="CT54" s="274">
        <v>40.200000000000003</v>
      </c>
      <c r="CU54" s="274"/>
      <c r="CV54" s="274">
        <v>40.200000000000003</v>
      </c>
      <c r="CW54" s="274"/>
      <c r="CX54" s="274"/>
      <c r="CY54" s="274"/>
      <c r="CZ54" s="275">
        <f t="shared" si="83"/>
        <v>0</v>
      </c>
      <c r="DA54" s="276">
        <f t="shared" si="84"/>
        <v>1</v>
      </c>
      <c r="DB54" s="274">
        <v>41</v>
      </c>
      <c r="DC54" s="274"/>
      <c r="DD54" s="274">
        <v>41</v>
      </c>
      <c r="DE54" s="274"/>
      <c r="DF54" s="274"/>
      <c r="DG54" s="274"/>
      <c r="DH54" s="275">
        <f t="shared" si="85"/>
        <v>0</v>
      </c>
      <c r="DI54" s="276">
        <f t="shared" si="86"/>
        <v>1</v>
      </c>
      <c r="DJ54" s="275">
        <f t="shared" si="87"/>
        <v>129.80000000000001</v>
      </c>
      <c r="DK54" s="274"/>
      <c r="DL54" s="275">
        <f t="shared" si="88"/>
        <v>129.80000000000001</v>
      </c>
      <c r="DM54" s="274"/>
      <c r="DN54" s="275">
        <f t="shared" si="89"/>
        <v>0</v>
      </c>
      <c r="DO54" s="274"/>
      <c r="DP54" s="275">
        <f t="shared" si="90"/>
        <v>0</v>
      </c>
      <c r="DQ54" s="276">
        <f t="shared" si="91"/>
        <v>1</v>
      </c>
      <c r="DR54" s="274">
        <v>43.9</v>
      </c>
      <c r="DS54" s="274"/>
      <c r="DT54" s="274">
        <v>43.9</v>
      </c>
      <c r="DU54" s="274"/>
      <c r="DV54" s="274"/>
      <c r="DW54" s="274"/>
      <c r="DX54" s="275">
        <f t="shared" si="92"/>
        <v>0</v>
      </c>
      <c r="DY54" s="276">
        <f t="shared" si="93"/>
        <v>1</v>
      </c>
      <c r="DZ54" s="274">
        <v>42.5</v>
      </c>
      <c r="EA54" s="274"/>
      <c r="EB54" s="274">
        <v>42.5</v>
      </c>
      <c r="EC54" s="274"/>
      <c r="ED54" s="274"/>
      <c r="EE54" s="274"/>
      <c r="EF54" s="275">
        <f t="shared" si="94"/>
        <v>0</v>
      </c>
      <c r="EG54" s="276">
        <f t="shared" si="95"/>
        <v>1</v>
      </c>
      <c r="EH54" s="274">
        <v>43.4</v>
      </c>
      <c r="EI54" s="274"/>
      <c r="EJ54" s="274">
        <v>43.4</v>
      </c>
      <c r="EK54" s="274"/>
      <c r="EL54" s="274"/>
      <c r="EM54" s="274"/>
      <c r="EN54" s="275">
        <f t="shared" si="96"/>
        <v>0</v>
      </c>
      <c r="EO54" s="276">
        <f t="shared" si="97"/>
        <v>1</v>
      </c>
    </row>
    <row r="55" spans="1:145" ht="18.75" customHeight="1" x14ac:dyDescent="0.3">
      <c r="A55" s="25"/>
      <c r="B55" s="26" t="s">
        <v>1625</v>
      </c>
      <c r="C55" s="234" t="s">
        <v>1631</v>
      </c>
      <c r="D55" s="234"/>
      <c r="E55" s="235"/>
      <c r="F55" s="232"/>
      <c r="G55" s="236"/>
      <c r="H55" s="243"/>
      <c r="I55" s="252"/>
      <c r="J55" s="275">
        <f t="shared" si="49"/>
        <v>82.5</v>
      </c>
      <c r="K55" s="274"/>
      <c r="L55" s="275">
        <f t="shared" si="50"/>
        <v>82.5</v>
      </c>
      <c r="M55" s="274"/>
      <c r="N55" s="275">
        <f t="shared" si="51"/>
        <v>38.440000000000005</v>
      </c>
      <c r="O55" s="274"/>
      <c r="P55" s="275">
        <f t="shared" si="52"/>
        <v>0</v>
      </c>
      <c r="Q55" s="276">
        <f t="shared" si="53"/>
        <v>1</v>
      </c>
      <c r="R55" s="275">
        <f t="shared" si="54"/>
        <v>20.299999999999997</v>
      </c>
      <c r="S55" s="274"/>
      <c r="T55" s="275">
        <f t="shared" si="55"/>
        <v>20.299999999999997</v>
      </c>
      <c r="U55" s="274"/>
      <c r="V55" s="275">
        <f t="shared" si="56"/>
        <v>21.877000000000002</v>
      </c>
      <c r="W55" s="274"/>
      <c r="X55" s="275">
        <f t="shared" si="57"/>
        <v>0</v>
      </c>
      <c r="Y55" s="276">
        <f t="shared" si="58"/>
        <v>1</v>
      </c>
      <c r="Z55" s="274">
        <v>7.1</v>
      </c>
      <c r="AA55" s="274"/>
      <c r="AB55" s="274">
        <v>7.1</v>
      </c>
      <c r="AC55" s="274"/>
      <c r="AD55" s="274">
        <v>10.832000000000001</v>
      </c>
      <c r="AE55" s="274"/>
      <c r="AF55" s="275">
        <f t="shared" si="59"/>
        <v>0</v>
      </c>
      <c r="AG55" s="276">
        <f t="shared" si="60"/>
        <v>1</v>
      </c>
      <c r="AH55" s="274">
        <v>6.3</v>
      </c>
      <c r="AI55" s="274"/>
      <c r="AJ55" s="274">
        <v>6.3</v>
      </c>
      <c r="AK55" s="274"/>
      <c r="AL55" s="274">
        <v>3.847</v>
      </c>
      <c r="AM55" s="274"/>
      <c r="AN55" s="275">
        <f t="shared" si="61"/>
        <v>0</v>
      </c>
      <c r="AO55" s="276">
        <f t="shared" si="62"/>
        <v>1</v>
      </c>
      <c r="AP55" s="274">
        <v>6.9</v>
      </c>
      <c r="AQ55" s="274"/>
      <c r="AR55" s="274">
        <v>6.9</v>
      </c>
      <c r="AS55" s="274"/>
      <c r="AT55" s="274">
        <v>7.1980000000000004</v>
      </c>
      <c r="AU55" s="274"/>
      <c r="AV55" s="275">
        <f t="shared" si="63"/>
        <v>0</v>
      </c>
      <c r="AW55" s="276">
        <f t="shared" si="64"/>
        <v>1</v>
      </c>
      <c r="AX55" s="275">
        <f t="shared" si="65"/>
        <v>16.399999999999999</v>
      </c>
      <c r="AY55" s="274"/>
      <c r="AZ55" s="275">
        <f t="shared" si="66"/>
        <v>16.399999999999999</v>
      </c>
      <c r="BA55" s="274"/>
      <c r="BB55" s="275">
        <f t="shared" si="67"/>
        <v>16.563000000000002</v>
      </c>
      <c r="BC55" s="274"/>
      <c r="BD55" s="275">
        <f t="shared" si="68"/>
        <v>0</v>
      </c>
      <c r="BE55" s="276">
        <f t="shared" si="69"/>
        <v>1</v>
      </c>
      <c r="BF55" s="274">
        <v>7.1</v>
      </c>
      <c r="BG55" s="274"/>
      <c r="BH55" s="274">
        <v>7.1</v>
      </c>
      <c r="BI55" s="274"/>
      <c r="BJ55" s="274">
        <v>8.1940000000000008</v>
      </c>
      <c r="BK55" s="274"/>
      <c r="BL55" s="275">
        <f t="shared" si="70"/>
        <v>0</v>
      </c>
      <c r="BM55" s="276">
        <f t="shared" si="71"/>
        <v>1</v>
      </c>
      <c r="BN55" s="274">
        <v>5.0999999999999996</v>
      </c>
      <c r="BO55" s="274"/>
      <c r="BP55" s="274">
        <v>5.0999999999999996</v>
      </c>
      <c r="BQ55" s="274"/>
      <c r="BR55" s="274">
        <v>5.1710000000000003</v>
      </c>
      <c r="BS55" s="274"/>
      <c r="BT55" s="275">
        <f t="shared" si="72"/>
        <v>0</v>
      </c>
      <c r="BU55" s="276">
        <f t="shared" si="73"/>
        <v>1</v>
      </c>
      <c r="BV55" s="274">
        <v>4.2</v>
      </c>
      <c r="BW55" s="274"/>
      <c r="BX55" s="274">
        <v>4.2</v>
      </c>
      <c r="BY55" s="274"/>
      <c r="BZ55" s="274">
        <v>3.198</v>
      </c>
      <c r="CA55" s="274"/>
      <c r="CB55" s="275">
        <f t="shared" si="74"/>
        <v>0</v>
      </c>
      <c r="CC55" s="276">
        <f t="shared" si="75"/>
        <v>1</v>
      </c>
      <c r="CD55" s="275">
        <f t="shared" si="76"/>
        <v>22.200000000000003</v>
      </c>
      <c r="CE55" s="274"/>
      <c r="CF55" s="275">
        <f t="shared" si="77"/>
        <v>22.200000000000003</v>
      </c>
      <c r="CG55" s="274"/>
      <c r="CH55" s="275">
        <f t="shared" si="78"/>
        <v>0</v>
      </c>
      <c r="CI55" s="274"/>
      <c r="CJ55" s="275">
        <f t="shared" si="79"/>
        <v>0</v>
      </c>
      <c r="CK55" s="276">
        <f t="shared" si="80"/>
        <v>1</v>
      </c>
      <c r="CL55" s="274">
        <v>7.5</v>
      </c>
      <c r="CM55" s="274"/>
      <c r="CN55" s="274">
        <v>7.5</v>
      </c>
      <c r="CO55" s="274"/>
      <c r="CP55" s="274"/>
      <c r="CQ55" s="274"/>
      <c r="CR55" s="275">
        <f t="shared" si="81"/>
        <v>0</v>
      </c>
      <c r="CS55" s="276">
        <f t="shared" si="82"/>
        <v>1</v>
      </c>
      <c r="CT55" s="274">
        <v>7.3</v>
      </c>
      <c r="CU55" s="274"/>
      <c r="CV55" s="274">
        <v>7.3</v>
      </c>
      <c r="CW55" s="274"/>
      <c r="CX55" s="274"/>
      <c r="CY55" s="274"/>
      <c r="CZ55" s="275">
        <f t="shared" si="83"/>
        <v>0</v>
      </c>
      <c r="DA55" s="276">
        <f t="shared" si="84"/>
        <v>1</v>
      </c>
      <c r="DB55" s="274">
        <v>7.4</v>
      </c>
      <c r="DC55" s="274"/>
      <c r="DD55" s="274">
        <v>7.4</v>
      </c>
      <c r="DE55" s="274"/>
      <c r="DF55" s="274"/>
      <c r="DG55" s="274"/>
      <c r="DH55" s="275">
        <f t="shared" si="85"/>
        <v>0</v>
      </c>
      <c r="DI55" s="276">
        <f t="shared" si="86"/>
        <v>1</v>
      </c>
      <c r="DJ55" s="275">
        <f t="shared" si="87"/>
        <v>23.6</v>
      </c>
      <c r="DK55" s="274"/>
      <c r="DL55" s="275">
        <f t="shared" si="88"/>
        <v>23.6</v>
      </c>
      <c r="DM55" s="274"/>
      <c r="DN55" s="275">
        <f t="shared" si="89"/>
        <v>0</v>
      </c>
      <c r="DO55" s="274"/>
      <c r="DP55" s="275">
        <f t="shared" si="90"/>
        <v>0</v>
      </c>
      <c r="DQ55" s="276">
        <f t="shared" si="91"/>
        <v>1</v>
      </c>
      <c r="DR55" s="274">
        <v>8</v>
      </c>
      <c r="DS55" s="274"/>
      <c r="DT55" s="274">
        <v>8</v>
      </c>
      <c r="DU55" s="274"/>
      <c r="DV55" s="274"/>
      <c r="DW55" s="274"/>
      <c r="DX55" s="275">
        <f t="shared" si="92"/>
        <v>0</v>
      </c>
      <c r="DY55" s="276">
        <f t="shared" si="93"/>
        <v>1</v>
      </c>
      <c r="DZ55" s="274">
        <v>7.7</v>
      </c>
      <c r="EA55" s="274"/>
      <c r="EB55" s="274">
        <v>7.7</v>
      </c>
      <c r="EC55" s="274"/>
      <c r="ED55" s="274"/>
      <c r="EE55" s="274"/>
      <c r="EF55" s="275">
        <f t="shared" si="94"/>
        <v>0</v>
      </c>
      <c r="EG55" s="276">
        <f t="shared" si="95"/>
        <v>1</v>
      </c>
      <c r="EH55" s="274">
        <v>7.9</v>
      </c>
      <c r="EI55" s="274"/>
      <c r="EJ55" s="274">
        <v>7.9</v>
      </c>
      <c r="EK55" s="274"/>
      <c r="EL55" s="274"/>
      <c r="EM55" s="274"/>
      <c r="EN55" s="275">
        <f t="shared" si="96"/>
        <v>0</v>
      </c>
      <c r="EO55" s="276">
        <f t="shared" si="97"/>
        <v>1</v>
      </c>
    </row>
    <row r="56" spans="1:145" ht="18.75" customHeight="1" x14ac:dyDescent="0.3">
      <c r="A56" s="22"/>
      <c r="B56" s="24" t="s">
        <v>1632</v>
      </c>
      <c r="C56" s="234" t="s">
        <v>1633</v>
      </c>
      <c r="D56" s="234"/>
      <c r="E56" s="235"/>
      <c r="F56" s="232"/>
      <c r="G56" s="236"/>
      <c r="H56" s="243"/>
      <c r="I56" s="252"/>
      <c r="J56" s="275">
        <f t="shared" si="49"/>
        <v>374.19999999999993</v>
      </c>
      <c r="K56" s="274"/>
      <c r="L56" s="275">
        <f t="shared" si="50"/>
        <v>374.19999999999993</v>
      </c>
      <c r="M56" s="274"/>
      <c r="N56" s="275">
        <f t="shared" si="51"/>
        <v>54.450643999999997</v>
      </c>
      <c r="O56" s="274"/>
      <c r="P56" s="275">
        <f t="shared" si="52"/>
        <v>0</v>
      </c>
      <c r="Q56" s="276">
        <f t="shared" si="53"/>
        <v>1</v>
      </c>
      <c r="R56" s="275">
        <f t="shared" si="54"/>
        <v>112.3</v>
      </c>
      <c r="S56" s="274"/>
      <c r="T56" s="275">
        <f t="shared" si="55"/>
        <v>112.3</v>
      </c>
      <c r="U56" s="274"/>
      <c r="V56" s="275">
        <f t="shared" si="56"/>
        <v>18.675241</v>
      </c>
      <c r="W56" s="274"/>
      <c r="X56" s="275">
        <f t="shared" si="57"/>
        <v>0</v>
      </c>
      <c r="Y56" s="276">
        <f t="shared" si="58"/>
        <v>1</v>
      </c>
      <c r="Z56" s="274">
        <v>39</v>
      </c>
      <c r="AA56" s="274"/>
      <c r="AB56" s="274">
        <v>39</v>
      </c>
      <c r="AC56" s="274"/>
      <c r="AD56" s="274">
        <v>0</v>
      </c>
      <c r="AE56" s="274"/>
      <c r="AF56" s="275">
        <f t="shared" si="59"/>
        <v>0</v>
      </c>
      <c r="AG56" s="276">
        <f t="shared" si="60"/>
        <v>1</v>
      </c>
      <c r="AH56" s="274">
        <v>35</v>
      </c>
      <c r="AI56" s="274"/>
      <c r="AJ56" s="274">
        <v>35</v>
      </c>
      <c r="AK56" s="274"/>
      <c r="AL56" s="274">
        <v>0</v>
      </c>
      <c r="AM56" s="274"/>
      <c r="AN56" s="275">
        <f t="shared" si="61"/>
        <v>0</v>
      </c>
      <c r="AO56" s="276">
        <f t="shared" si="62"/>
        <v>1</v>
      </c>
      <c r="AP56" s="274">
        <v>38.299999999999997</v>
      </c>
      <c r="AQ56" s="274"/>
      <c r="AR56" s="274">
        <v>38.299999999999997</v>
      </c>
      <c r="AS56" s="274"/>
      <c r="AT56" s="274">
        <v>18.675241</v>
      </c>
      <c r="AU56" s="274"/>
      <c r="AV56" s="275">
        <f t="shared" si="63"/>
        <v>0</v>
      </c>
      <c r="AW56" s="276">
        <f t="shared" si="64"/>
        <v>1</v>
      </c>
      <c r="AX56" s="275">
        <f t="shared" si="65"/>
        <v>49.099999999999994</v>
      </c>
      <c r="AY56" s="274"/>
      <c r="AZ56" s="275">
        <f t="shared" si="66"/>
        <v>49.099999999999994</v>
      </c>
      <c r="BA56" s="274"/>
      <c r="BB56" s="275">
        <f t="shared" si="67"/>
        <v>35.775402999999997</v>
      </c>
      <c r="BC56" s="274"/>
      <c r="BD56" s="275">
        <f t="shared" si="68"/>
        <v>0</v>
      </c>
      <c r="BE56" s="276">
        <f t="shared" si="69"/>
        <v>1</v>
      </c>
      <c r="BF56" s="274">
        <v>39.4</v>
      </c>
      <c r="BG56" s="274"/>
      <c r="BH56" s="274">
        <v>39.4</v>
      </c>
      <c r="BI56" s="274"/>
      <c r="BJ56" s="274">
        <v>22.402403</v>
      </c>
      <c r="BK56" s="274"/>
      <c r="BL56" s="275">
        <f t="shared" si="70"/>
        <v>0</v>
      </c>
      <c r="BM56" s="276">
        <f t="shared" si="71"/>
        <v>1</v>
      </c>
      <c r="BN56" s="274">
        <v>9.6999999999999993</v>
      </c>
      <c r="BO56" s="274"/>
      <c r="BP56" s="274">
        <v>9.6999999999999993</v>
      </c>
      <c r="BQ56" s="274"/>
      <c r="BR56" s="274">
        <v>13.372999999999999</v>
      </c>
      <c r="BS56" s="274"/>
      <c r="BT56" s="275">
        <f t="shared" si="72"/>
        <v>0</v>
      </c>
      <c r="BU56" s="276">
        <f t="shared" si="73"/>
        <v>1</v>
      </c>
      <c r="BV56" s="274">
        <v>0</v>
      </c>
      <c r="BW56" s="274"/>
      <c r="BX56" s="274">
        <v>0</v>
      </c>
      <c r="BY56" s="274"/>
      <c r="BZ56" s="274">
        <v>0</v>
      </c>
      <c r="CA56" s="274"/>
      <c r="CB56" s="275">
        <f t="shared" si="74"/>
        <v>0</v>
      </c>
      <c r="CC56" s="276" t="str">
        <f t="shared" si="75"/>
        <v>-</v>
      </c>
      <c r="CD56" s="275">
        <f t="shared" si="76"/>
        <v>91.199999999999989</v>
      </c>
      <c r="CE56" s="274"/>
      <c r="CF56" s="275">
        <f t="shared" si="77"/>
        <v>91.199999999999989</v>
      </c>
      <c r="CG56" s="274"/>
      <c r="CH56" s="275">
        <f t="shared" si="78"/>
        <v>0</v>
      </c>
      <c r="CI56" s="274"/>
      <c r="CJ56" s="275">
        <f t="shared" si="79"/>
        <v>0</v>
      </c>
      <c r="CK56" s="276">
        <f t="shared" si="80"/>
        <v>1</v>
      </c>
      <c r="CL56" s="274">
        <v>27.2</v>
      </c>
      <c r="CM56" s="274"/>
      <c r="CN56" s="274">
        <v>27.2</v>
      </c>
      <c r="CO56" s="274"/>
      <c r="CP56" s="274"/>
      <c r="CQ56" s="274"/>
      <c r="CR56" s="275">
        <f t="shared" si="81"/>
        <v>0</v>
      </c>
      <c r="CS56" s="276">
        <f t="shared" si="82"/>
        <v>1</v>
      </c>
      <c r="CT56" s="274">
        <v>31.6</v>
      </c>
      <c r="CU56" s="274"/>
      <c r="CV56" s="274">
        <v>31.6</v>
      </c>
      <c r="CW56" s="274"/>
      <c r="CX56" s="274"/>
      <c r="CY56" s="274"/>
      <c r="CZ56" s="275">
        <f t="shared" si="83"/>
        <v>0</v>
      </c>
      <c r="DA56" s="276">
        <f t="shared" si="84"/>
        <v>1</v>
      </c>
      <c r="DB56" s="274">
        <v>32.4</v>
      </c>
      <c r="DC56" s="274"/>
      <c r="DD56" s="274">
        <v>32.4</v>
      </c>
      <c r="DE56" s="274"/>
      <c r="DF56" s="274"/>
      <c r="DG56" s="274"/>
      <c r="DH56" s="275">
        <f t="shared" si="85"/>
        <v>0</v>
      </c>
      <c r="DI56" s="276">
        <f t="shared" si="86"/>
        <v>1</v>
      </c>
      <c r="DJ56" s="275">
        <f t="shared" si="87"/>
        <v>121.6</v>
      </c>
      <c r="DK56" s="274"/>
      <c r="DL56" s="275">
        <f t="shared" si="88"/>
        <v>121.6</v>
      </c>
      <c r="DM56" s="274"/>
      <c r="DN56" s="275">
        <f t="shared" si="89"/>
        <v>0</v>
      </c>
      <c r="DO56" s="274"/>
      <c r="DP56" s="275">
        <f t="shared" si="90"/>
        <v>0</v>
      </c>
      <c r="DQ56" s="276">
        <f t="shared" si="91"/>
        <v>1</v>
      </c>
      <c r="DR56" s="274">
        <v>41.1</v>
      </c>
      <c r="DS56" s="274"/>
      <c r="DT56" s="274">
        <v>41.1</v>
      </c>
      <c r="DU56" s="274"/>
      <c r="DV56" s="274"/>
      <c r="DW56" s="274"/>
      <c r="DX56" s="275">
        <f t="shared" si="92"/>
        <v>0</v>
      </c>
      <c r="DY56" s="276">
        <f t="shared" si="93"/>
        <v>1</v>
      </c>
      <c r="DZ56" s="274">
        <v>39.9</v>
      </c>
      <c r="EA56" s="274"/>
      <c r="EB56" s="274">
        <v>39.9</v>
      </c>
      <c r="EC56" s="274"/>
      <c r="ED56" s="274"/>
      <c r="EE56" s="274"/>
      <c r="EF56" s="275">
        <f t="shared" si="94"/>
        <v>0</v>
      </c>
      <c r="EG56" s="276">
        <f t="shared" si="95"/>
        <v>1</v>
      </c>
      <c r="EH56" s="274">
        <v>40.6</v>
      </c>
      <c r="EI56" s="274"/>
      <c r="EJ56" s="274">
        <v>40.6</v>
      </c>
      <c r="EK56" s="274"/>
      <c r="EL56" s="274"/>
      <c r="EM56" s="274"/>
      <c r="EN56" s="275">
        <f t="shared" si="96"/>
        <v>0</v>
      </c>
      <c r="EO56" s="276">
        <f t="shared" si="97"/>
        <v>1</v>
      </c>
    </row>
    <row r="57" spans="1:145" ht="18.75" customHeight="1" x14ac:dyDescent="0.3">
      <c r="A57" s="14"/>
      <c r="B57" s="26" t="s">
        <v>1625</v>
      </c>
      <c r="C57" s="234" t="s">
        <v>1634</v>
      </c>
      <c r="D57" s="234"/>
      <c r="E57" s="235"/>
      <c r="F57" s="232"/>
      <c r="G57" s="236"/>
      <c r="H57" s="243"/>
      <c r="I57" s="252"/>
      <c r="J57" s="275">
        <f t="shared" si="49"/>
        <v>69.199999999999989</v>
      </c>
      <c r="K57" s="274"/>
      <c r="L57" s="275">
        <f t="shared" si="50"/>
        <v>69.199999999999989</v>
      </c>
      <c r="M57" s="274"/>
      <c r="N57" s="275">
        <f t="shared" si="51"/>
        <v>19.584000000000003</v>
      </c>
      <c r="O57" s="274"/>
      <c r="P57" s="275">
        <f t="shared" si="52"/>
        <v>0</v>
      </c>
      <c r="Q57" s="276">
        <f t="shared" si="53"/>
        <v>1</v>
      </c>
      <c r="R57" s="275">
        <f t="shared" si="54"/>
        <v>20.299999999999997</v>
      </c>
      <c r="S57" s="274"/>
      <c r="T57" s="275">
        <f t="shared" si="55"/>
        <v>20.299999999999997</v>
      </c>
      <c r="U57" s="274"/>
      <c r="V57" s="275">
        <f t="shared" si="56"/>
        <v>6.2190000000000003</v>
      </c>
      <c r="W57" s="274"/>
      <c r="X57" s="275">
        <f t="shared" si="57"/>
        <v>0</v>
      </c>
      <c r="Y57" s="276">
        <f t="shared" si="58"/>
        <v>1</v>
      </c>
      <c r="Z57" s="274">
        <v>7.1</v>
      </c>
      <c r="AA57" s="274"/>
      <c r="AB57" s="274">
        <v>7.1</v>
      </c>
      <c r="AC57" s="274"/>
      <c r="AD57" s="274">
        <v>0</v>
      </c>
      <c r="AE57" s="274"/>
      <c r="AF57" s="275">
        <f t="shared" si="59"/>
        <v>0</v>
      </c>
      <c r="AG57" s="276">
        <f t="shared" si="60"/>
        <v>1</v>
      </c>
      <c r="AH57" s="274">
        <v>6.3</v>
      </c>
      <c r="AI57" s="274"/>
      <c r="AJ57" s="274">
        <v>6.3</v>
      </c>
      <c r="AK57" s="274"/>
      <c r="AL57" s="274">
        <v>0</v>
      </c>
      <c r="AM57" s="274"/>
      <c r="AN57" s="275">
        <f t="shared" si="61"/>
        <v>0</v>
      </c>
      <c r="AO57" s="276">
        <f t="shared" si="62"/>
        <v>1</v>
      </c>
      <c r="AP57" s="274">
        <v>6.9</v>
      </c>
      <c r="AQ57" s="274"/>
      <c r="AR57" s="274">
        <v>6.9</v>
      </c>
      <c r="AS57" s="274"/>
      <c r="AT57" s="274">
        <v>6.2190000000000003</v>
      </c>
      <c r="AU57" s="274"/>
      <c r="AV57" s="275">
        <f t="shared" si="63"/>
        <v>0</v>
      </c>
      <c r="AW57" s="276">
        <f t="shared" si="64"/>
        <v>1</v>
      </c>
      <c r="AX57" s="275">
        <f t="shared" si="65"/>
        <v>8.9</v>
      </c>
      <c r="AY57" s="274"/>
      <c r="AZ57" s="275">
        <f t="shared" si="66"/>
        <v>8.9</v>
      </c>
      <c r="BA57" s="274"/>
      <c r="BB57" s="275">
        <f t="shared" si="67"/>
        <v>13.365000000000002</v>
      </c>
      <c r="BC57" s="274"/>
      <c r="BD57" s="275">
        <f t="shared" si="68"/>
        <v>0</v>
      </c>
      <c r="BE57" s="276">
        <f t="shared" si="69"/>
        <v>1</v>
      </c>
      <c r="BF57" s="274">
        <v>7.1</v>
      </c>
      <c r="BG57" s="274"/>
      <c r="BH57" s="274">
        <v>7.1</v>
      </c>
      <c r="BI57" s="274"/>
      <c r="BJ57" s="274">
        <v>8.1940000000000008</v>
      </c>
      <c r="BK57" s="274"/>
      <c r="BL57" s="275">
        <f t="shared" si="70"/>
        <v>0</v>
      </c>
      <c r="BM57" s="276">
        <f t="shared" si="71"/>
        <v>1</v>
      </c>
      <c r="BN57" s="274">
        <v>1.8</v>
      </c>
      <c r="BO57" s="274"/>
      <c r="BP57" s="274">
        <v>1.8</v>
      </c>
      <c r="BQ57" s="274"/>
      <c r="BR57" s="274">
        <v>5.1710000000000003</v>
      </c>
      <c r="BS57" s="274"/>
      <c r="BT57" s="275">
        <f t="shared" si="72"/>
        <v>0</v>
      </c>
      <c r="BU57" s="276">
        <f t="shared" si="73"/>
        <v>1</v>
      </c>
      <c r="BV57" s="274">
        <v>0</v>
      </c>
      <c r="BW57" s="274"/>
      <c r="BX57" s="274">
        <v>0</v>
      </c>
      <c r="BY57" s="274"/>
      <c r="BZ57" s="274">
        <v>0</v>
      </c>
      <c r="CA57" s="274"/>
      <c r="CB57" s="275">
        <f t="shared" si="74"/>
        <v>0</v>
      </c>
      <c r="CC57" s="276" t="str">
        <f t="shared" si="75"/>
        <v>-</v>
      </c>
      <c r="CD57" s="275">
        <f t="shared" si="76"/>
        <v>16.400000000000002</v>
      </c>
      <c r="CE57" s="274"/>
      <c r="CF57" s="275">
        <f t="shared" si="77"/>
        <v>16.400000000000002</v>
      </c>
      <c r="CG57" s="274"/>
      <c r="CH57" s="275">
        <f t="shared" si="78"/>
        <v>0</v>
      </c>
      <c r="CI57" s="274"/>
      <c r="CJ57" s="275">
        <f t="shared" si="79"/>
        <v>0</v>
      </c>
      <c r="CK57" s="276">
        <f t="shared" si="80"/>
        <v>1</v>
      </c>
      <c r="CL57" s="274">
        <v>4.9000000000000004</v>
      </c>
      <c r="CM57" s="274"/>
      <c r="CN57" s="274">
        <v>4.9000000000000004</v>
      </c>
      <c r="CO57" s="274"/>
      <c r="CP57" s="274"/>
      <c r="CQ57" s="274"/>
      <c r="CR57" s="275">
        <f t="shared" si="81"/>
        <v>0</v>
      </c>
      <c r="CS57" s="276">
        <f t="shared" si="82"/>
        <v>1</v>
      </c>
      <c r="CT57" s="274">
        <v>5.7</v>
      </c>
      <c r="CU57" s="274"/>
      <c r="CV57" s="274">
        <v>5.7</v>
      </c>
      <c r="CW57" s="274"/>
      <c r="CX57" s="274"/>
      <c r="CY57" s="274"/>
      <c r="CZ57" s="275">
        <f t="shared" si="83"/>
        <v>0</v>
      </c>
      <c r="DA57" s="276">
        <f t="shared" si="84"/>
        <v>1</v>
      </c>
      <c r="DB57" s="274">
        <v>5.8</v>
      </c>
      <c r="DC57" s="274"/>
      <c r="DD57" s="274">
        <v>5.8</v>
      </c>
      <c r="DE57" s="274"/>
      <c r="DF57" s="274"/>
      <c r="DG57" s="274"/>
      <c r="DH57" s="275">
        <f t="shared" si="85"/>
        <v>0</v>
      </c>
      <c r="DI57" s="276">
        <f t="shared" si="86"/>
        <v>1</v>
      </c>
      <c r="DJ57" s="275">
        <f t="shared" si="87"/>
        <v>23.6</v>
      </c>
      <c r="DK57" s="274"/>
      <c r="DL57" s="275">
        <f t="shared" si="88"/>
        <v>23.6</v>
      </c>
      <c r="DM57" s="274"/>
      <c r="DN57" s="275">
        <f t="shared" si="89"/>
        <v>0</v>
      </c>
      <c r="DO57" s="274"/>
      <c r="DP57" s="275">
        <f t="shared" si="90"/>
        <v>0</v>
      </c>
      <c r="DQ57" s="276">
        <f t="shared" si="91"/>
        <v>1</v>
      </c>
      <c r="DR57" s="274">
        <v>8</v>
      </c>
      <c r="DS57" s="274"/>
      <c r="DT57" s="274">
        <v>8</v>
      </c>
      <c r="DU57" s="274"/>
      <c r="DV57" s="274"/>
      <c r="DW57" s="274"/>
      <c r="DX57" s="275">
        <f t="shared" si="92"/>
        <v>0</v>
      </c>
      <c r="DY57" s="276">
        <f t="shared" si="93"/>
        <v>1</v>
      </c>
      <c r="DZ57" s="274">
        <v>7.7</v>
      </c>
      <c r="EA57" s="274"/>
      <c r="EB57" s="274">
        <v>7.7</v>
      </c>
      <c r="EC57" s="274"/>
      <c r="ED57" s="274"/>
      <c r="EE57" s="274"/>
      <c r="EF57" s="275">
        <f t="shared" si="94"/>
        <v>0</v>
      </c>
      <c r="EG57" s="276">
        <f t="shared" si="95"/>
        <v>1</v>
      </c>
      <c r="EH57" s="274">
        <v>7.9</v>
      </c>
      <c r="EI57" s="274"/>
      <c r="EJ57" s="274">
        <v>7.9</v>
      </c>
      <c r="EK57" s="274"/>
      <c r="EL57" s="274"/>
      <c r="EM57" s="274"/>
      <c r="EN57" s="275">
        <f t="shared" si="96"/>
        <v>0</v>
      </c>
      <c r="EO57" s="276">
        <f t="shared" si="97"/>
        <v>1</v>
      </c>
    </row>
    <row r="58" spans="1:145" ht="18.75" customHeight="1" x14ac:dyDescent="0.3">
      <c r="A58" s="264" t="s">
        <v>1635</v>
      </c>
      <c r="B58" s="265" t="s">
        <v>1636</v>
      </c>
      <c r="C58" s="234" t="s">
        <v>1637</v>
      </c>
      <c r="D58" s="234"/>
      <c r="E58" s="235"/>
      <c r="F58" s="232"/>
      <c r="G58" s="236"/>
      <c r="H58" s="243"/>
      <c r="I58" s="252"/>
      <c r="J58" s="275">
        <f t="shared" si="49"/>
        <v>230.3</v>
      </c>
      <c r="K58" s="274"/>
      <c r="L58" s="275">
        <f t="shared" si="50"/>
        <v>230.3</v>
      </c>
      <c r="M58" s="274"/>
      <c r="N58" s="275">
        <f t="shared" si="51"/>
        <v>44.425167000000002</v>
      </c>
      <c r="O58" s="274"/>
      <c r="P58" s="275">
        <f t="shared" si="52"/>
        <v>0</v>
      </c>
      <c r="Q58" s="276">
        <f t="shared" si="53"/>
        <v>1</v>
      </c>
      <c r="R58" s="275">
        <f t="shared" si="54"/>
        <v>71.599999999999994</v>
      </c>
      <c r="S58" s="274"/>
      <c r="T58" s="275">
        <f t="shared" si="55"/>
        <v>71.599999999999994</v>
      </c>
      <c r="U58" s="274"/>
      <c r="V58" s="275">
        <f t="shared" si="56"/>
        <v>17.520142</v>
      </c>
      <c r="W58" s="274"/>
      <c r="X58" s="275">
        <f t="shared" si="57"/>
        <v>0</v>
      </c>
      <c r="Y58" s="276">
        <f t="shared" si="58"/>
        <v>1</v>
      </c>
      <c r="Z58" s="274">
        <v>24.9</v>
      </c>
      <c r="AA58" s="274"/>
      <c r="AB58" s="274">
        <v>24.9</v>
      </c>
      <c r="AC58" s="274"/>
      <c r="AD58" s="274">
        <v>0</v>
      </c>
      <c r="AE58" s="274"/>
      <c r="AF58" s="275">
        <f t="shared" si="59"/>
        <v>0</v>
      </c>
      <c r="AG58" s="276">
        <f t="shared" si="60"/>
        <v>1</v>
      </c>
      <c r="AH58" s="274">
        <v>22.3</v>
      </c>
      <c r="AI58" s="274"/>
      <c r="AJ58" s="274">
        <v>22.3</v>
      </c>
      <c r="AK58" s="274"/>
      <c r="AL58" s="274">
        <v>0</v>
      </c>
      <c r="AM58" s="274"/>
      <c r="AN58" s="275">
        <f t="shared" si="61"/>
        <v>0</v>
      </c>
      <c r="AO58" s="276">
        <f t="shared" si="62"/>
        <v>1</v>
      </c>
      <c r="AP58" s="274">
        <v>24.4</v>
      </c>
      <c r="AQ58" s="274"/>
      <c r="AR58" s="274">
        <v>24.4</v>
      </c>
      <c r="AS58" s="274"/>
      <c r="AT58" s="274">
        <v>17.520142</v>
      </c>
      <c r="AU58" s="274"/>
      <c r="AV58" s="275">
        <f t="shared" si="63"/>
        <v>0</v>
      </c>
      <c r="AW58" s="276">
        <f t="shared" si="64"/>
        <v>1</v>
      </c>
      <c r="AX58" s="275">
        <f t="shared" si="65"/>
        <v>31.3</v>
      </c>
      <c r="AY58" s="274"/>
      <c r="AZ58" s="275">
        <f t="shared" si="66"/>
        <v>31.3</v>
      </c>
      <c r="BA58" s="274"/>
      <c r="BB58" s="275">
        <f t="shared" si="67"/>
        <v>26.905025000000002</v>
      </c>
      <c r="BC58" s="274"/>
      <c r="BD58" s="275">
        <f t="shared" si="68"/>
        <v>0</v>
      </c>
      <c r="BE58" s="276">
        <f t="shared" si="69"/>
        <v>1</v>
      </c>
      <c r="BF58" s="274">
        <v>25.1</v>
      </c>
      <c r="BG58" s="274"/>
      <c r="BH58" s="274">
        <v>25.1</v>
      </c>
      <c r="BI58" s="274"/>
      <c r="BJ58" s="274">
        <v>19.758025</v>
      </c>
      <c r="BK58" s="274"/>
      <c r="BL58" s="275">
        <f t="shared" si="70"/>
        <v>0</v>
      </c>
      <c r="BM58" s="276">
        <f t="shared" si="71"/>
        <v>1</v>
      </c>
      <c r="BN58" s="274">
        <v>6.2</v>
      </c>
      <c r="BO58" s="274"/>
      <c r="BP58" s="274">
        <v>6.2</v>
      </c>
      <c r="BQ58" s="274"/>
      <c r="BR58" s="274">
        <v>7.1470000000000002</v>
      </c>
      <c r="BS58" s="274"/>
      <c r="BT58" s="275">
        <f t="shared" si="72"/>
        <v>0</v>
      </c>
      <c r="BU58" s="276">
        <f t="shared" si="73"/>
        <v>1</v>
      </c>
      <c r="BV58" s="274">
        <v>0</v>
      </c>
      <c r="BW58" s="274"/>
      <c r="BX58" s="274">
        <v>0</v>
      </c>
      <c r="BY58" s="274"/>
      <c r="BZ58" s="274">
        <v>0</v>
      </c>
      <c r="CA58" s="274"/>
      <c r="CB58" s="275">
        <f t="shared" si="74"/>
        <v>0</v>
      </c>
      <c r="CC58" s="276" t="str">
        <f t="shared" si="75"/>
        <v>-</v>
      </c>
      <c r="CD58" s="275">
        <f t="shared" si="76"/>
        <v>49.900000000000006</v>
      </c>
      <c r="CE58" s="274"/>
      <c r="CF58" s="275">
        <f t="shared" si="77"/>
        <v>49.900000000000006</v>
      </c>
      <c r="CG58" s="274"/>
      <c r="CH58" s="275">
        <f t="shared" si="78"/>
        <v>0</v>
      </c>
      <c r="CI58" s="274"/>
      <c r="CJ58" s="275">
        <f t="shared" si="79"/>
        <v>0</v>
      </c>
      <c r="CK58" s="276">
        <f t="shared" si="80"/>
        <v>1</v>
      </c>
      <c r="CL58" s="274">
        <v>14.9</v>
      </c>
      <c r="CM58" s="274"/>
      <c r="CN58" s="274">
        <v>14.9</v>
      </c>
      <c r="CO58" s="274"/>
      <c r="CP58" s="274"/>
      <c r="CQ58" s="274"/>
      <c r="CR58" s="275">
        <f t="shared" si="81"/>
        <v>0</v>
      </c>
      <c r="CS58" s="276">
        <f t="shared" si="82"/>
        <v>1</v>
      </c>
      <c r="CT58" s="274">
        <v>17.3</v>
      </c>
      <c r="CU58" s="274"/>
      <c r="CV58" s="274">
        <v>17.3</v>
      </c>
      <c r="CW58" s="274"/>
      <c r="CX58" s="274"/>
      <c r="CY58" s="274"/>
      <c r="CZ58" s="275">
        <f t="shared" si="83"/>
        <v>0</v>
      </c>
      <c r="DA58" s="276">
        <f t="shared" si="84"/>
        <v>1</v>
      </c>
      <c r="DB58" s="274">
        <v>17.7</v>
      </c>
      <c r="DC58" s="274"/>
      <c r="DD58" s="274">
        <v>17.7</v>
      </c>
      <c r="DE58" s="274"/>
      <c r="DF58" s="274"/>
      <c r="DG58" s="274"/>
      <c r="DH58" s="275">
        <f t="shared" si="85"/>
        <v>0</v>
      </c>
      <c r="DI58" s="276">
        <f t="shared" si="86"/>
        <v>1</v>
      </c>
      <c r="DJ58" s="275">
        <f t="shared" si="87"/>
        <v>77.5</v>
      </c>
      <c r="DK58" s="274"/>
      <c r="DL58" s="275">
        <f t="shared" si="88"/>
        <v>77.5</v>
      </c>
      <c r="DM58" s="274"/>
      <c r="DN58" s="275">
        <f t="shared" si="89"/>
        <v>0</v>
      </c>
      <c r="DO58" s="274"/>
      <c r="DP58" s="275">
        <f t="shared" si="90"/>
        <v>0</v>
      </c>
      <c r="DQ58" s="276">
        <f t="shared" si="91"/>
        <v>1</v>
      </c>
      <c r="DR58" s="274">
        <v>26.1</v>
      </c>
      <c r="DS58" s="274"/>
      <c r="DT58" s="274">
        <v>26.1</v>
      </c>
      <c r="DU58" s="274"/>
      <c r="DV58" s="274"/>
      <c r="DW58" s="274"/>
      <c r="DX58" s="275">
        <f t="shared" si="92"/>
        <v>0</v>
      </c>
      <c r="DY58" s="276">
        <f t="shared" si="93"/>
        <v>1</v>
      </c>
      <c r="DZ58" s="274">
        <v>25.5</v>
      </c>
      <c r="EA58" s="274"/>
      <c r="EB58" s="274">
        <v>25.5</v>
      </c>
      <c r="EC58" s="274"/>
      <c r="ED58" s="274"/>
      <c r="EE58" s="274"/>
      <c r="EF58" s="275">
        <f t="shared" si="94"/>
        <v>0</v>
      </c>
      <c r="EG58" s="276">
        <f t="shared" si="95"/>
        <v>1</v>
      </c>
      <c r="EH58" s="274">
        <v>25.9</v>
      </c>
      <c r="EI58" s="274"/>
      <c r="EJ58" s="274">
        <v>25.9</v>
      </c>
      <c r="EK58" s="274"/>
      <c r="EL58" s="274"/>
      <c r="EM58" s="274"/>
      <c r="EN58" s="275">
        <f t="shared" si="96"/>
        <v>0</v>
      </c>
      <c r="EO58" s="276">
        <f t="shared" si="97"/>
        <v>1</v>
      </c>
    </row>
    <row r="59" spans="1:145" ht="18.75" customHeight="1" x14ac:dyDescent="0.3">
      <c r="A59" s="264" t="s">
        <v>1638</v>
      </c>
      <c r="B59" s="227" t="s">
        <v>1639</v>
      </c>
      <c r="C59" s="234" t="s">
        <v>1640</v>
      </c>
      <c r="D59" s="234"/>
      <c r="E59" s="235"/>
      <c r="F59" s="232"/>
      <c r="G59" s="236"/>
      <c r="H59" s="243"/>
      <c r="I59" s="252"/>
      <c r="J59" s="275">
        <f t="shared" si="49"/>
        <v>442.5</v>
      </c>
      <c r="K59" s="274"/>
      <c r="L59" s="275">
        <f t="shared" si="50"/>
        <v>442.5</v>
      </c>
      <c r="M59" s="274"/>
      <c r="N59" s="275">
        <f t="shared" si="51"/>
        <v>645.85976600000004</v>
      </c>
      <c r="O59" s="274"/>
      <c r="P59" s="275">
        <f t="shared" si="52"/>
        <v>0</v>
      </c>
      <c r="Q59" s="276">
        <f t="shared" si="53"/>
        <v>1</v>
      </c>
      <c r="R59" s="275">
        <f t="shared" si="54"/>
        <v>14.000000000000002</v>
      </c>
      <c r="S59" s="274"/>
      <c r="T59" s="275">
        <f t="shared" si="55"/>
        <v>14.000000000000002</v>
      </c>
      <c r="U59" s="274"/>
      <c r="V59" s="275">
        <f t="shared" si="56"/>
        <v>429.10198000000003</v>
      </c>
      <c r="W59" s="274"/>
      <c r="X59" s="275">
        <f t="shared" si="57"/>
        <v>0</v>
      </c>
      <c r="Y59" s="276">
        <f t="shared" si="58"/>
        <v>1</v>
      </c>
      <c r="Z59" s="274">
        <v>4.7</v>
      </c>
      <c r="AA59" s="274"/>
      <c r="AB59" s="274">
        <v>4.7</v>
      </c>
      <c r="AC59" s="274"/>
      <c r="AD59" s="274">
        <v>151.83616900000001</v>
      </c>
      <c r="AE59" s="274"/>
      <c r="AF59" s="275">
        <f t="shared" si="59"/>
        <v>0</v>
      </c>
      <c r="AG59" s="276">
        <f t="shared" si="60"/>
        <v>1</v>
      </c>
      <c r="AH59" s="274">
        <v>4.4000000000000004</v>
      </c>
      <c r="AI59" s="274"/>
      <c r="AJ59" s="274">
        <v>4.4000000000000004</v>
      </c>
      <c r="AK59" s="274"/>
      <c r="AL59" s="274">
        <v>119.499878</v>
      </c>
      <c r="AM59" s="274"/>
      <c r="AN59" s="275">
        <f t="shared" si="61"/>
        <v>0</v>
      </c>
      <c r="AO59" s="276">
        <f t="shared" si="62"/>
        <v>1</v>
      </c>
      <c r="AP59" s="274">
        <v>4.9000000000000004</v>
      </c>
      <c r="AQ59" s="274"/>
      <c r="AR59" s="274">
        <v>4.9000000000000004</v>
      </c>
      <c r="AS59" s="274"/>
      <c r="AT59" s="274">
        <v>157.76593299999999</v>
      </c>
      <c r="AU59" s="274"/>
      <c r="AV59" s="275">
        <f t="shared" si="63"/>
        <v>0</v>
      </c>
      <c r="AW59" s="276">
        <f t="shared" si="64"/>
        <v>1</v>
      </c>
      <c r="AX59" s="275">
        <f t="shared" si="65"/>
        <v>210.5</v>
      </c>
      <c r="AY59" s="274"/>
      <c r="AZ59" s="275">
        <f t="shared" si="66"/>
        <v>210.5</v>
      </c>
      <c r="BA59" s="274"/>
      <c r="BB59" s="275">
        <f t="shared" si="67"/>
        <v>216.75778600000001</v>
      </c>
      <c r="BC59" s="274"/>
      <c r="BD59" s="275">
        <f t="shared" si="68"/>
        <v>0</v>
      </c>
      <c r="BE59" s="276">
        <f t="shared" si="69"/>
        <v>1</v>
      </c>
      <c r="BF59" s="274">
        <v>10.1</v>
      </c>
      <c r="BG59" s="274"/>
      <c r="BH59" s="274">
        <v>10.1</v>
      </c>
      <c r="BI59" s="274"/>
      <c r="BJ59" s="274">
        <v>131.45243600000001</v>
      </c>
      <c r="BK59" s="274"/>
      <c r="BL59" s="275">
        <f t="shared" si="70"/>
        <v>0</v>
      </c>
      <c r="BM59" s="276">
        <f t="shared" si="71"/>
        <v>1</v>
      </c>
      <c r="BN59" s="274">
        <v>85.5</v>
      </c>
      <c r="BO59" s="274"/>
      <c r="BP59" s="274">
        <v>85.5</v>
      </c>
      <c r="BQ59" s="274"/>
      <c r="BR59" s="274">
        <v>18.228999999999999</v>
      </c>
      <c r="BS59" s="274"/>
      <c r="BT59" s="275">
        <f t="shared" si="72"/>
        <v>0</v>
      </c>
      <c r="BU59" s="276">
        <f t="shared" si="73"/>
        <v>1</v>
      </c>
      <c r="BV59" s="274">
        <v>114.9</v>
      </c>
      <c r="BW59" s="274"/>
      <c r="BX59" s="274">
        <v>114.9</v>
      </c>
      <c r="BY59" s="274"/>
      <c r="BZ59" s="274">
        <v>67.076350000000005</v>
      </c>
      <c r="CA59" s="274"/>
      <c r="CB59" s="275">
        <f t="shared" si="74"/>
        <v>0</v>
      </c>
      <c r="CC59" s="276">
        <f t="shared" si="75"/>
        <v>1</v>
      </c>
      <c r="CD59" s="275">
        <f t="shared" si="76"/>
        <v>130.80000000000001</v>
      </c>
      <c r="CE59" s="274"/>
      <c r="CF59" s="275">
        <f t="shared" si="77"/>
        <v>130.80000000000001</v>
      </c>
      <c r="CG59" s="274"/>
      <c r="CH59" s="275">
        <f t="shared" si="78"/>
        <v>0</v>
      </c>
      <c r="CI59" s="274"/>
      <c r="CJ59" s="275">
        <f t="shared" si="79"/>
        <v>0</v>
      </c>
      <c r="CK59" s="276">
        <f t="shared" si="80"/>
        <v>1</v>
      </c>
      <c r="CL59" s="274">
        <v>78.2</v>
      </c>
      <c r="CM59" s="274"/>
      <c r="CN59" s="274">
        <v>78.2</v>
      </c>
      <c r="CO59" s="274"/>
      <c r="CP59" s="274"/>
      <c r="CQ59" s="274"/>
      <c r="CR59" s="275">
        <f t="shared" si="81"/>
        <v>0</v>
      </c>
      <c r="CS59" s="276">
        <f t="shared" si="82"/>
        <v>1</v>
      </c>
      <c r="CT59" s="274">
        <v>19.899999999999999</v>
      </c>
      <c r="CU59" s="274"/>
      <c r="CV59" s="274">
        <v>19.899999999999999</v>
      </c>
      <c r="CW59" s="274"/>
      <c r="CX59" s="274"/>
      <c r="CY59" s="274"/>
      <c r="CZ59" s="275">
        <f t="shared" si="83"/>
        <v>0</v>
      </c>
      <c r="DA59" s="276">
        <f t="shared" si="84"/>
        <v>1</v>
      </c>
      <c r="DB59" s="274">
        <v>32.700000000000003</v>
      </c>
      <c r="DC59" s="274"/>
      <c r="DD59" s="274">
        <v>32.700000000000003</v>
      </c>
      <c r="DE59" s="274"/>
      <c r="DF59" s="274"/>
      <c r="DG59" s="274"/>
      <c r="DH59" s="275">
        <f t="shared" si="85"/>
        <v>0</v>
      </c>
      <c r="DI59" s="276">
        <f t="shared" si="86"/>
        <v>1</v>
      </c>
      <c r="DJ59" s="275">
        <f t="shared" si="87"/>
        <v>87.199999999999989</v>
      </c>
      <c r="DK59" s="274"/>
      <c r="DL59" s="275">
        <f t="shared" si="88"/>
        <v>87.199999999999989</v>
      </c>
      <c r="DM59" s="274"/>
      <c r="DN59" s="275">
        <f t="shared" si="89"/>
        <v>0</v>
      </c>
      <c r="DO59" s="274"/>
      <c r="DP59" s="275">
        <f t="shared" si="90"/>
        <v>0</v>
      </c>
      <c r="DQ59" s="276">
        <f t="shared" si="91"/>
        <v>1</v>
      </c>
      <c r="DR59" s="274">
        <v>33.4</v>
      </c>
      <c r="DS59" s="274"/>
      <c r="DT59" s="274">
        <v>33.4</v>
      </c>
      <c r="DU59" s="274"/>
      <c r="DV59" s="274"/>
      <c r="DW59" s="274"/>
      <c r="DX59" s="275">
        <f t="shared" si="92"/>
        <v>0</v>
      </c>
      <c r="DY59" s="276">
        <f t="shared" si="93"/>
        <v>1</v>
      </c>
      <c r="DZ59" s="274">
        <v>26.7</v>
      </c>
      <c r="EA59" s="274"/>
      <c r="EB59" s="274">
        <v>26.7</v>
      </c>
      <c r="EC59" s="274"/>
      <c r="ED59" s="274"/>
      <c r="EE59" s="274"/>
      <c r="EF59" s="275">
        <f t="shared" si="94"/>
        <v>0</v>
      </c>
      <c r="EG59" s="276">
        <f t="shared" si="95"/>
        <v>1</v>
      </c>
      <c r="EH59" s="274">
        <v>27.1</v>
      </c>
      <c r="EI59" s="274"/>
      <c r="EJ59" s="274">
        <v>27.1</v>
      </c>
      <c r="EK59" s="274"/>
      <c r="EL59" s="274"/>
      <c r="EM59" s="274"/>
      <c r="EN59" s="275">
        <f t="shared" si="96"/>
        <v>0</v>
      </c>
      <c r="EO59" s="276">
        <f t="shared" si="97"/>
        <v>1</v>
      </c>
    </row>
    <row r="60" spans="1:145" ht="18.75" customHeight="1" x14ac:dyDescent="0.3">
      <c r="A60" s="28" t="s">
        <v>1641</v>
      </c>
      <c r="B60" s="229" t="s">
        <v>1642</v>
      </c>
      <c r="C60" s="234" t="s">
        <v>1643</v>
      </c>
      <c r="D60" s="234"/>
      <c r="E60" s="235"/>
      <c r="F60" s="232"/>
      <c r="G60" s="236"/>
      <c r="H60" s="243"/>
      <c r="I60" s="252"/>
      <c r="J60" s="275">
        <f t="shared" si="49"/>
        <v>442.5</v>
      </c>
      <c r="K60" s="274"/>
      <c r="L60" s="275">
        <f t="shared" si="50"/>
        <v>442.5</v>
      </c>
      <c r="M60" s="274"/>
      <c r="N60" s="275">
        <f t="shared" si="51"/>
        <v>645.85976600000004</v>
      </c>
      <c r="O60" s="274"/>
      <c r="P60" s="275">
        <f t="shared" si="52"/>
        <v>0</v>
      </c>
      <c r="Q60" s="276">
        <f t="shared" si="53"/>
        <v>1</v>
      </c>
      <c r="R60" s="275">
        <f t="shared" si="54"/>
        <v>14.000000000000002</v>
      </c>
      <c r="S60" s="274"/>
      <c r="T60" s="275">
        <f t="shared" si="55"/>
        <v>14.000000000000002</v>
      </c>
      <c r="U60" s="274"/>
      <c r="V60" s="275">
        <f t="shared" si="56"/>
        <v>429.10198000000003</v>
      </c>
      <c r="W60" s="274"/>
      <c r="X60" s="275">
        <f t="shared" si="57"/>
        <v>0</v>
      </c>
      <c r="Y60" s="276">
        <f t="shared" si="58"/>
        <v>1</v>
      </c>
      <c r="Z60" s="274">
        <v>4.7</v>
      </c>
      <c r="AA60" s="274"/>
      <c r="AB60" s="274">
        <v>4.7</v>
      </c>
      <c r="AC60" s="274"/>
      <c r="AD60" s="274">
        <v>151.83616900000001</v>
      </c>
      <c r="AE60" s="274"/>
      <c r="AF60" s="275">
        <f t="shared" si="59"/>
        <v>0</v>
      </c>
      <c r="AG60" s="276">
        <f t="shared" si="60"/>
        <v>1</v>
      </c>
      <c r="AH60" s="274">
        <v>4.4000000000000004</v>
      </c>
      <c r="AI60" s="274"/>
      <c r="AJ60" s="274">
        <v>4.4000000000000004</v>
      </c>
      <c r="AK60" s="274"/>
      <c r="AL60" s="274">
        <v>119.499878</v>
      </c>
      <c r="AM60" s="274"/>
      <c r="AN60" s="275">
        <f t="shared" si="61"/>
        <v>0</v>
      </c>
      <c r="AO60" s="276">
        <f t="shared" si="62"/>
        <v>1</v>
      </c>
      <c r="AP60" s="274">
        <v>4.9000000000000004</v>
      </c>
      <c r="AQ60" s="274"/>
      <c r="AR60" s="274">
        <v>4.9000000000000004</v>
      </c>
      <c r="AS60" s="274"/>
      <c r="AT60" s="274">
        <v>157.76593299999999</v>
      </c>
      <c r="AU60" s="274"/>
      <c r="AV60" s="275">
        <f t="shared" si="63"/>
        <v>0</v>
      </c>
      <c r="AW60" s="276">
        <f t="shared" si="64"/>
        <v>1</v>
      </c>
      <c r="AX60" s="275">
        <f t="shared" si="65"/>
        <v>210.5</v>
      </c>
      <c r="AY60" s="274"/>
      <c r="AZ60" s="275">
        <f t="shared" si="66"/>
        <v>210.5</v>
      </c>
      <c r="BA60" s="274"/>
      <c r="BB60" s="275">
        <f t="shared" si="67"/>
        <v>216.75778600000001</v>
      </c>
      <c r="BC60" s="274"/>
      <c r="BD60" s="275">
        <f t="shared" si="68"/>
        <v>0</v>
      </c>
      <c r="BE60" s="276">
        <f t="shared" si="69"/>
        <v>1</v>
      </c>
      <c r="BF60" s="274">
        <v>10.1</v>
      </c>
      <c r="BG60" s="274"/>
      <c r="BH60" s="274">
        <v>10.1</v>
      </c>
      <c r="BI60" s="274"/>
      <c r="BJ60" s="274">
        <v>131.45243600000001</v>
      </c>
      <c r="BK60" s="274"/>
      <c r="BL60" s="275">
        <f t="shared" si="70"/>
        <v>0</v>
      </c>
      <c r="BM60" s="276">
        <f t="shared" si="71"/>
        <v>1</v>
      </c>
      <c r="BN60" s="274">
        <v>85.5</v>
      </c>
      <c r="BO60" s="274"/>
      <c r="BP60" s="274">
        <v>85.5</v>
      </c>
      <c r="BQ60" s="274"/>
      <c r="BR60" s="274">
        <v>18.228999999999999</v>
      </c>
      <c r="BS60" s="274"/>
      <c r="BT60" s="275">
        <f t="shared" si="72"/>
        <v>0</v>
      </c>
      <c r="BU60" s="276">
        <f t="shared" si="73"/>
        <v>1</v>
      </c>
      <c r="BV60" s="274">
        <v>114.9</v>
      </c>
      <c r="BW60" s="274"/>
      <c r="BX60" s="274">
        <v>114.9</v>
      </c>
      <c r="BY60" s="274"/>
      <c r="BZ60" s="274">
        <v>67.076350000000005</v>
      </c>
      <c r="CA60" s="274"/>
      <c r="CB60" s="275">
        <f t="shared" si="74"/>
        <v>0</v>
      </c>
      <c r="CC60" s="276">
        <f t="shared" si="75"/>
        <v>1</v>
      </c>
      <c r="CD60" s="275">
        <f t="shared" si="76"/>
        <v>130.80000000000001</v>
      </c>
      <c r="CE60" s="274"/>
      <c r="CF60" s="275">
        <f t="shared" si="77"/>
        <v>130.80000000000001</v>
      </c>
      <c r="CG60" s="274"/>
      <c r="CH60" s="275">
        <f t="shared" si="78"/>
        <v>0</v>
      </c>
      <c r="CI60" s="274"/>
      <c r="CJ60" s="275">
        <f t="shared" si="79"/>
        <v>0</v>
      </c>
      <c r="CK60" s="276">
        <f t="shared" si="80"/>
        <v>1</v>
      </c>
      <c r="CL60" s="274">
        <v>78.2</v>
      </c>
      <c r="CM60" s="274"/>
      <c r="CN60" s="274">
        <v>78.2</v>
      </c>
      <c r="CO60" s="274"/>
      <c r="CP60" s="274"/>
      <c r="CQ60" s="274"/>
      <c r="CR60" s="275">
        <f t="shared" si="81"/>
        <v>0</v>
      </c>
      <c r="CS60" s="276">
        <f t="shared" si="82"/>
        <v>1</v>
      </c>
      <c r="CT60" s="274">
        <v>19.899999999999999</v>
      </c>
      <c r="CU60" s="274"/>
      <c r="CV60" s="274">
        <v>19.899999999999999</v>
      </c>
      <c r="CW60" s="274"/>
      <c r="CX60" s="274"/>
      <c r="CY60" s="274"/>
      <c r="CZ60" s="275">
        <f t="shared" si="83"/>
        <v>0</v>
      </c>
      <c r="DA60" s="276">
        <f t="shared" si="84"/>
        <v>1</v>
      </c>
      <c r="DB60" s="274">
        <v>32.700000000000003</v>
      </c>
      <c r="DC60" s="274"/>
      <c r="DD60" s="274">
        <v>32.700000000000003</v>
      </c>
      <c r="DE60" s="274"/>
      <c r="DF60" s="274"/>
      <c r="DG60" s="274"/>
      <c r="DH60" s="275">
        <f t="shared" si="85"/>
        <v>0</v>
      </c>
      <c r="DI60" s="276">
        <f t="shared" si="86"/>
        <v>1</v>
      </c>
      <c r="DJ60" s="275">
        <f t="shared" si="87"/>
        <v>87.199999999999989</v>
      </c>
      <c r="DK60" s="274"/>
      <c r="DL60" s="275">
        <f t="shared" si="88"/>
        <v>87.199999999999989</v>
      </c>
      <c r="DM60" s="274"/>
      <c r="DN60" s="275">
        <f t="shared" si="89"/>
        <v>0</v>
      </c>
      <c r="DO60" s="274"/>
      <c r="DP60" s="275">
        <f t="shared" si="90"/>
        <v>0</v>
      </c>
      <c r="DQ60" s="276">
        <f t="shared" si="91"/>
        <v>1</v>
      </c>
      <c r="DR60" s="274">
        <v>33.4</v>
      </c>
      <c r="DS60" s="274"/>
      <c r="DT60" s="274">
        <v>33.4</v>
      </c>
      <c r="DU60" s="274"/>
      <c r="DV60" s="274"/>
      <c r="DW60" s="274"/>
      <c r="DX60" s="275">
        <f t="shared" si="92"/>
        <v>0</v>
      </c>
      <c r="DY60" s="276">
        <f t="shared" si="93"/>
        <v>1</v>
      </c>
      <c r="DZ60" s="274">
        <v>26.7</v>
      </c>
      <c r="EA60" s="274"/>
      <c r="EB60" s="274">
        <v>26.7</v>
      </c>
      <c r="EC60" s="274"/>
      <c r="ED60" s="274"/>
      <c r="EE60" s="274"/>
      <c r="EF60" s="275">
        <f t="shared" si="94"/>
        <v>0</v>
      </c>
      <c r="EG60" s="276">
        <f t="shared" si="95"/>
        <v>1</v>
      </c>
      <c r="EH60" s="274">
        <v>27.1</v>
      </c>
      <c r="EI60" s="274"/>
      <c r="EJ60" s="274">
        <v>27.1</v>
      </c>
      <c r="EK60" s="274"/>
      <c r="EL60" s="274"/>
      <c r="EM60" s="274"/>
      <c r="EN60" s="275">
        <f t="shared" si="96"/>
        <v>0</v>
      </c>
      <c r="EO60" s="276">
        <f t="shared" si="97"/>
        <v>1</v>
      </c>
    </row>
    <row r="61" spans="1:145" ht="19.5" customHeight="1" x14ac:dyDescent="0.35">
      <c r="A61" s="30"/>
      <c r="B61" s="23" t="s">
        <v>815</v>
      </c>
      <c r="C61" s="234"/>
      <c r="D61" s="234"/>
      <c r="E61" s="235">
        <v>4</v>
      </c>
      <c r="F61" s="232"/>
      <c r="G61" s="236"/>
      <c r="H61" s="243"/>
      <c r="I61" s="252"/>
      <c r="J61" s="275">
        <f t="shared" si="49"/>
        <v>0</v>
      </c>
      <c r="K61" s="274"/>
      <c r="L61" s="275">
        <f t="shared" si="50"/>
        <v>0</v>
      </c>
      <c r="M61" s="274"/>
      <c r="N61" s="275">
        <f t="shared" si="51"/>
        <v>0</v>
      </c>
      <c r="O61" s="274"/>
      <c r="P61" s="275">
        <f t="shared" si="52"/>
        <v>0</v>
      </c>
      <c r="Q61" s="276" t="str">
        <f t="shared" si="53"/>
        <v>-</v>
      </c>
      <c r="R61" s="275">
        <f t="shared" si="54"/>
        <v>0</v>
      </c>
      <c r="S61" s="274"/>
      <c r="T61" s="275">
        <f t="shared" si="55"/>
        <v>0</v>
      </c>
      <c r="U61" s="274"/>
      <c r="V61" s="275">
        <f t="shared" si="56"/>
        <v>0</v>
      </c>
      <c r="W61" s="274"/>
      <c r="X61" s="275">
        <f t="shared" si="57"/>
        <v>0</v>
      </c>
      <c r="Y61" s="276" t="str">
        <f t="shared" si="58"/>
        <v>-</v>
      </c>
      <c r="Z61" s="277"/>
      <c r="AA61" s="274"/>
      <c r="AB61" s="277"/>
      <c r="AC61" s="274"/>
      <c r="AD61" s="277"/>
      <c r="AE61" s="274"/>
      <c r="AF61" s="275">
        <f t="shared" si="59"/>
        <v>0</v>
      </c>
      <c r="AG61" s="276" t="str">
        <f t="shared" si="60"/>
        <v>-</v>
      </c>
      <c r="AH61" s="277"/>
      <c r="AI61" s="274"/>
      <c r="AJ61" s="277"/>
      <c r="AK61" s="274"/>
      <c r="AL61" s="277"/>
      <c r="AM61" s="274"/>
      <c r="AN61" s="275">
        <f t="shared" si="61"/>
        <v>0</v>
      </c>
      <c r="AO61" s="276" t="str">
        <f t="shared" si="62"/>
        <v>-</v>
      </c>
      <c r="AP61" s="277"/>
      <c r="AQ61" s="274"/>
      <c r="AR61" s="277"/>
      <c r="AS61" s="274"/>
      <c r="AT61" s="277"/>
      <c r="AU61" s="274"/>
      <c r="AV61" s="275">
        <f t="shared" si="63"/>
        <v>0</v>
      </c>
      <c r="AW61" s="276" t="str">
        <f t="shared" si="64"/>
        <v>-</v>
      </c>
      <c r="AX61" s="275">
        <f t="shared" si="65"/>
        <v>0</v>
      </c>
      <c r="AY61" s="274"/>
      <c r="AZ61" s="275">
        <f t="shared" si="66"/>
        <v>0</v>
      </c>
      <c r="BA61" s="274"/>
      <c r="BB61" s="275">
        <f t="shared" si="67"/>
        <v>0</v>
      </c>
      <c r="BC61" s="274"/>
      <c r="BD61" s="275">
        <f t="shared" si="68"/>
        <v>0</v>
      </c>
      <c r="BE61" s="276" t="str">
        <f t="shared" si="69"/>
        <v>-</v>
      </c>
      <c r="BF61" s="277"/>
      <c r="BG61" s="274"/>
      <c r="BH61" s="277"/>
      <c r="BI61" s="274"/>
      <c r="BJ61" s="277"/>
      <c r="BK61" s="274"/>
      <c r="BL61" s="275">
        <f t="shared" si="70"/>
        <v>0</v>
      </c>
      <c r="BM61" s="276" t="str">
        <f t="shared" si="71"/>
        <v>-</v>
      </c>
      <c r="BN61" s="277"/>
      <c r="BO61" s="274"/>
      <c r="BP61" s="277"/>
      <c r="BQ61" s="274"/>
      <c r="BR61" s="277"/>
      <c r="BS61" s="274"/>
      <c r="BT61" s="275">
        <f t="shared" si="72"/>
        <v>0</v>
      </c>
      <c r="BU61" s="276" t="str">
        <f t="shared" si="73"/>
        <v>-</v>
      </c>
      <c r="BV61" s="277"/>
      <c r="BW61" s="274"/>
      <c r="BX61" s="277"/>
      <c r="BY61" s="274"/>
      <c r="BZ61" s="277"/>
      <c r="CA61" s="274"/>
      <c r="CB61" s="275">
        <f t="shared" si="74"/>
        <v>0</v>
      </c>
      <c r="CC61" s="276" t="str">
        <f t="shared" si="75"/>
        <v>-</v>
      </c>
      <c r="CD61" s="275">
        <f t="shared" si="76"/>
        <v>0</v>
      </c>
      <c r="CE61" s="274"/>
      <c r="CF61" s="275">
        <f t="shared" si="77"/>
        <v>0</v>
      </c>
      <c r="CG61" s="274"/>
      <c r="CH61" s="275">
        <f t="shared" si="78"/>
        <v>0</v>
      </c>
      <c r="CI61" s="274"/>
      <c r="CJ61" s="275">
        <f t="shared" si="79"/>
        <v>0</v>
      </c>
      <c r="CK61" s="276" t="str">
        <f t="shared" si="80"/>
        <v>-</v>
      </c>
      <c r="CL61" s="277"/>
      <c r="CM61" s="274"/>
      <c r="CN61" s="277"/>
      <c r="CO61" s="274"/>
      <c r="CP61" s="277"/>
      <c r="CQ61" s="274"/>
      <c r="CR61" s="275">
        <f t="shared" si="81"/>
        <v>0</v>
      </c>
      <c r="CS61" s="276" t="str">
        <f t="shared" si="82"/>
        <v>-</v>
      </c>
      <c r="CT61" s="277"/>
      <c r="CU61" s="274"/>
      <c r="CV61" s="277"/>
      <c r="CW61" s="274"/>
      <c r="CX61" s="277"/>
      <c r="CY61" s="274"/>
      <c r="CZ61" s="275">
        <f t="shared" si="83"/>
        <v>0</v>
      </c>
      <c r="DA61" s="276" t="str">
        <f t="shared" si="84"/>
        <v>-</v>
      </c>
      <c r="DB61" s="277"/>
      <c r="DC61" s="274"/>
      <c r="DD61" s="277"/>
      <c r="DE61" s="274"/>
      <c r="DF61" s="277"/>
      <c r="DG61" s="274"/>
      <c r="DH61" s="275">
        <f t="shared" si="85"/>
        <v>0</v>
      </c>
      <c r="DI61" s="276" t="str">
        <f t="shared" si="86"/>
        <v>-</v>
      </c>
      <c r="DJ61" s="275">
        <f t="shared" si="87"/>
        <v>0</v>
      </c>
      <c r="DK61" s="274"/>
      <c r="DL61" s="275">
        <f t="shared" si="88"/>
        <v>0</v>
      </c>
      <c r="DM61" s="274"/>
      <c r="DN61" s="275">
        <f t="shared" si="89"/>
        <v>0</v>
      </c>
      <c r="DO61" s="274"/>
      <c r="DP61" s="275">
        <f t="shared" si="90"/>
        <v>0</v>
      </c>
      <c r="DQ61" s="276" t="str">
        <f t="shared" si="91"/>
        <v>-</v>
      </c>
      <c r="DR61" s="277"/>
      <c r="DS61" s="274"/>
      <c r="DT61" s="277"/>
      <c r="DU61" s="274"/>
      <c r="DV61" s="277"/>
      <c r="DW61" s="274"/>
      <c r="DX61" s="275">
        <f t="shared" si="92"/>
        <v>0</v>
      </c>
      <c r="DY61" s="276" t="str">
        <f t="shared" si="93"/>
        <v>-</v>
      </c>
      <c r="DZ61" s="277"/>
      <c r="EA61" s="274"/>
      <c r="EB61" s="277"/>
      <c r="EC61" s="274"/>
      <c r="ED61" s="277"/>
      <c r="EE61" s="274"/>
      <c r="EF61" s="275">
        <f t="shared" si="94"/>
        <v>0</v>
      </c>
      <c r="EG61" s="276" t="str">
        <f t="shared" si="95"/>
        <v>-</v>
      </c>
      <c r="EH61" s="277"/>
      <c r="EI61" s="274"/>
      <c r="EJ61" s="277"/>
      <c r="EK61" s="274"/>
      <c r="EL61" s="277"/>
      <c r="EM61" s="274"/>
      <c r="EN61" s="275">
        <f t="shared" si="96"/>
        <v>0</v>
      </c>
      <c r="EO61" s="276" t="str">
        <f t="shared" si="97"/>
        <v>-</v>
      </c>
    </row>
    <row r="62" spans="1:145" ht="18.75" customHeight="1" x14ac:dyDescent="0.3">
      <c r="A62" s="14"/>
      <c r="B62" s="24" t="s">
        <v>1644</v>
      </c>
      <c r="C62" s="234" t="s">
        <v>1645</v>
      </c>
      <c r="D62" s="234"/>
      <c r="E62" s="235"/>
      <c r="F62" s="232"/>
      <c r="G62" s="236"/>
      <c r="H62" s="243"/>
      <c r="I62" s="252"/>
      <c r="J62" s="275">
        <f t="shared" si="49"/>
        <v>442.5</v>
      </c>
      <c r="K62" s="274"/>
      <c r="L62" s="275">
        <f t="shared" si="50"/>
        <v>442.5</v>
      </c>
      <c r="M62" s="274"/>
      <c r="N62" s="275">
        <f t="shared" si="51"/>
        <v>630.11709999999994</v>
      </c>
      <c r="O62" s="274"/>
      <c r="P62" s="275">
        <f t="shared" si="52"/>
        <v>0</v>
      </c>
      <c r="Q62" s="276">
        <f t="shared" si="53"/>
        <v>1</v>
      </c>
      <c r="R62" s="275">
        <f t="shared" si="54"/>
        <v>14.000000000000002</v>
      </c>
      <c r="S62" s="274"/>
      <c r="T62" s="275">
        <f t="shared" si="55"/>
        <v>14.000000000000002</v>
      </c>
      <c r="U62" s="274"/>
      <c r="V62" s="275">
        <f t="shared" si="56"/>
        <v>405.79970000000003</v>
      </c>
      <c r="W62" s="274"/>
      <c r="X62" s="275">
        <f t="shared" si="57"/>
        <v>0</v>
      </c>
      <c r="Y62" s="276">
        <f t="shared" si="58"/>
        <v>1</v>
      </c>
      <c r="Z62" s="274">
        <v>4.7</v>
      </c>
      <c r="AA62" s="274"/>
      <c r="AB62" s="274">
        <v>4.7</v>
      </c>
      <c r="AC62" s="274"/>
      <c r="AD62" s="274">
        <v>133.57105000000001</v>
      </c>
      <c r="AE62" s="274"/>
      <c r="AF62" s="275">
        <f t="shared" si="59"/>
        <v>0</v>
      </c>
      <c r="AG62" s="276">
        <f t="shared" si="60"/>
        <v>1</v>
      </c>
      <c r="AH62" s="274">
        <v>4.4000000000000004</v>
      </c>
      <c r="AI62" s="274"/>
      <c r="AJ62" s="274">
        <v>4.4000000000000004</v>
      </c>
      <c r="AK62" s="274"/>
      <c r="AL62" s="274">
        <v>113.75865</v>
      </c>
      <c r="AM62" s="274"/>
      <c r="AN62" s="275">
        <f t="shared" si="61"/>
        <v>0</v>
      </c>
      <c r="AO62" s="276">
        <f t="shared" si="62"/>
        <v>1</v>
      </c>
      <c r="AP62" s="274">
        <v>4.9000000000000004</v>
      </c>
      <c r="AQ62" s="274"/>
      <c r="AR62" s="274">
        <v>4.9000000000000004</v>
      </c>
      <c r="AS62" s="274"/>
      <c r="AT62" s="274">
        <v>158.47</v>
      </c>
      <c r="AU62" s="274"/>
      <c r="AV62" s="275">
        <f t="shared" si="63"/>
        <v>0</v>
      </c>
      <c r="AW62" s="276">
        <f t="shared" si="64"/>
        <v>1</v>
      </c>
      <c r="AX62" s="275">
        <f t="shared" si="65"/>
        <v>210.5</v>
      </c>
      <c r="AY62" s="274"/>
      <c r="AZ62" s="275">
        <f t="shared" si="66"/>
        <v>210.5</v>
      </c>
      <c r="BA62" s="274"/>
      <c r="BB62" s="275">
        <f t="shared" si="67"/>
        <v>224.31739999999996</v>
      </c>
      <c r="BC62" s="274"/>
      <c r="BD62" s="275">
        <f t="shared" si="68"/>
        <v>0</v>
      </c>
      <c r="BE62" s="276">
        <f t="shared" si="69"/>
        <v>1</v>
      </c>
      <c r="BF62" s="274">
        <v>10.1</v>
      </c>
      <c r="BG62" s="274"/>
      <c r="BH62" s="274">
        <v>10.1</v>
      </c>
      <c r="BI62" s="274"/>
      <c r="BJ62" s="274">
        <v>139.01204999999999</v>
      </c>
      <c r="BK62" s="274"/>
      <c r="BL62" s="275">
        <f t="shared" si="70"/>
        <v>0</v>
      </c>
      <c r="BM62" s="276">
        <f t="shared" si="71"/>
        <v>1</v>
      </c>
      <c r="BN62" s="274">
        <v>85.5</v>
      </c>
      <c r="BO62" s="274"/>
      <c r="BP62" s="274">
        <v>85.5</v>
      </c>
      <c r="BQ62" s="274"/>
      <c r="BR62" s="274">
        <v>18.228999999999999</v>
      </c>
      <c r="BS62" s="274"/>
      <c r="BT62" s="275">
        <f t="shared" si="72"/>
        <v>0</v>
      </c>
      <c r="BU62" s="276">
        <f t="shared" si="73"/>
        <v>1</v>
      </c>
      <c r="BV62" s="274">
        <v>114.9</v>
      </c>
      <c r="BW62" s="274"/>
      <c r="BX62" s="274">
        <v>114.9</v>
      </c>
      <c r="BY62" s="274"/>
      <c r="BZ62" s="274">
        <v>67.076350000000005</v>
      </c>
      <c r="CA62" s="274"/>
      <c r="CB62" s="275">
        <f t="shared" si="74"/>
        <v>0</v>
      </c>
      <c r="CC62" s="276">
        <f t="shared" si="75"/>
        <v>1</v>
      </c>
      <c r="CD62" s="275">
        <f t="shared" si="76"/>
        <v>130.80000000000001</v>
      </c>
      <c r="CE62" s="274"/>
      <c r="CF62" s="275">
        <f t="shared" si="77"/>
        <v>130.80000000000001</v>
      </c>
      <c r="CG62" s="274"/>
      <c r="CH62" s="275">
        <f t="shared" si="78"/>
        <v>0</v>
      </c>
      <c r="CI62" s="274"/>
      <c r="CJ62" s="275">
        <f t="shared" si="79"/>
        <v>0</v>
      </c>
      <c r="CK62" s="276">
        <f t="shared" si="80"/>
        <v>1</v>
      </c>
      <c r="CL62" s="274">
        <v>78.2</v>
      </c>
      <c r="CM62" s="274"/>
      <c r="CN62" s="274">
        <v>78.2</v>
      </c>
      <c r="CO62" s="274"/>
      <c r="CP62" s="274"/>
      <c r="CQ62" s="274"/>
      <c r="CR62" s="275">
        <f t="shared" si="81"/>
        <v>0</v>
      </c>
      <c r="CS62" s="276">
        <f t="shared" si="82"/>
        <v>1</v>
      </c>
      <c r="CT62" s="274">
        <v>19.899999999999999</v>
      </c>
      <c r="CU62" s="274"/>
      <c r="CV62" s="274">
        <v>19.899999999999999</v>
      </c>
      <c r="CW62" s="274"/>
      <c r="CX62" s="274"/>
      <c r="CY62" s="274"/>
      <c r="CZ62" s="275">
        <f t="shared" si="83"/>
        <v>0</v>
      </c>
      <c r="DA62" s="276">
        <f t="shared" si="84"/>
        <v>1</v>
      </c>
      <c r="DB62" s="274">
        <v>32.700000000000003</v>
      </c>
      <c r="DC62" s="274"/>
      <c r="DD62" s="274">
        <v>32.700000000000003</v>
      </c>
      <c r="DE62" s="274"/>
      <c r="DF62" s="274"/>
      <c r="DG62" s="274"/>
      <c r="DH62" s="275">
        <f t="shared" si="85"/>
        <v>0</v>
      </c>
      <c r="DI62" s="276">
        <f t="shared" si="86"/>
        <v>1</v>
      </c>
      <c r="DJ62" s="275">
        <f t="shared" si="87"/>
        <v>87.199999999999989</v>
      </c>
      <c r="DK62" s="274"/>
      <c r="DL62" s="275">
        <f t="shared" si="88"/>
        <v>87.199999999999989</v>
      </c>
      <c r="DM62" s="274"/>
      <c r="DN62" s="275">
        <f t="shared" si="89"/>
        <v>0</v>
      </c>
      <c r="DO62" s="274"/>
      <c r="DP62" s="275">
        <f t="shared" si="90"/>
        <v>0</v>
      </c>
      <c r="DQ62" s="276">
        <f t="shared" si="91"/>
        <v>1</v>
      </c>
      <c r="DR62" s="274">
        <v>33.4</v>
      </c>
      <c r="DS62" s="274"/>
      <c r="DT62" s="274">
        <v>33.4</v>
      </c>
      <c r="DU62" s="274"/>
      <c r="DV62" s="274"/>
      <c r="DW62" s="274"/>
      <c r="DX62" s="275">
        <f t="shared" si="92"/>
        <v>0</v>
      </c>
      <c r="DY62" s="276">
        <f t="shared" si="93"/>
        <v>1</v>
      </c>
      <c r="DZ62" s="274">
        <v>26.7</v>
      </c>
      <c r="EA62" s="274"/>
      <c r="EB62" s="274">
        <v>26.7</v>
      </c>
      <c r="EC62" s="274"/>
      <c r="ED62" s="274"/>
      <c r="EE62" s="274"/>
      <c r="EF62" s="275">
        <f t="shared" si="94"/>
        <v>0</v>
      </c>
      <c r="EG62" s="276">
        <f t="shared" si="95"/>
        <v>1</v>
      </c>
      <c r="EH62" s="274">
        <v>27.1</v>
      </c>
      <c r="EI62" s="274"/>
      <c r="EJ62" s="274">
        <v>27.1</v>
      </c>
      <c r="EK62" s="274"/>
      <c r="EL62" s="274"/>
      <c r="EM62" s="274"/>
      <c r="EN62" s="275">
        <f t="shared" si="96"/>
        <v>0</v>
      </c>
      <c r="EO62" s="276">
        <f t="shared" si="97"/>
        <v>1</v>
      </c>
    </row>
    <row r="63" spans="1:145" ht="18.75" customHeight="1" x14ac:dyDescent="0.3">
      <c r="A63" s="14"/>
      <c r="B63" s="24" t="s">
        <v>1646</v>
      </c>
      <c r="C63" s="234" t="s">
        <v>1647</v>
      </c>
      <c r="D63" s="234"/>
      <c r="E63" s="235"/>
      <c r="F63" s="232"/>
      <c r="G63" s="236"/>
      <c r="H63" s="243"/>
      <c r="I63" s="252"/>
      <c r="J63" s="275">
        <f t="shared" si="49"/>
        <v>2381.6999999999998</v>
      </c>
      <c r="K63" s="274"/>
      <c r="L63" s="275">
        <f t="shared" si="50"/>
        <v>2381.6999999999998</v>
      </c>
      <c r="M63" s="274"/>
      <c r="N63" s="275">
        <f t="shared" si="51"/>
        <v>651.98345500000005</v>
      </c>
      <c r="O63" s="274"/>
      <c r="P63" s="275">
        <f t="shared" si="52"/>
        <v>0</v>
      </c>
      <c r="Q63" s="276">
        <f t="shared" si="53"/>
        <v>1</v>
      </c>
      <c r="R63" s="275">
        <f t="shared" si="54"/>
        <v>597.79999999999995</v>
      </c>
      <c r="S63" s="274"/>
      <c r="T63" s="275">
        <f t="shared" si="55"/>
        <v>597.79999999999995</v>
      </c>
      <c r="U63" s="274"/>
      <c r="V63" s="275">
        <f t="shared" si="56"/>
        <v>405.79970000000003</v>
      </c>
      <c r="W63" s="274"/>
      <c r="X63" s="275">
        <f t="shared" si="57"/>
        <v>0</v>
      </c>
      <c r="Y63" s="276">
        <f t="shared" si="58"/>
        <v>1</v>
      </c>
      <c r="Z63" s="274">
        <v>205.8</v>
      </c>
      <c r="AA63" s="274"/>
      <c r="AB63" s="274">
        <v>205.8</v>
      </c>
      <c r="AC63" s="274"/>
      <c r="AD63" s="274">
        <v>133.57105000000001</v>
      </c>
      <c r="AE63" s="274"/>
      <c r="AF63" s="275">
        <f t="shared" si="59"/>
        <v>0</v>
      </c>
      <c r="AG63" s="276">
        <f t="shared" si="60"/>
        <v>1</v>
      </c>
      <c r="AH63" s="274">
        <v>186</v>
      </c>
      <c r="AI63" s="274"/>
      <c r="AJ63" s="274">
        <v>186</v>
      </c>
      <c r="AK63" s="274"/>
      <c r="AL63" s="274">
        <v>113.75865</v>
      </c>
      <c r="AM63" s="274"/>
      <c r="AN63" s="275">
        <f t="shared" si="61"/>
        <v>0</v>
      </c>
      <c r="AO63" s="276">
        <f t="shared" si="62"/>
        <v>1</v>
      </c>
      <c r="AP63" s="274">
        <v>206</v>
      </c>
      <c r="AQ63" s="274"/>
      <c r="AR63" s="274">
        <v>206</v>
      </c>
      <c r="AS63" s="274"/>
      <c r="AT63" s="274">
        <v>158.47</v>
      </c>
      <c r="AU63" s="274"/>
      <c r="AV63" s="275">
        <f t="shared" si="63"/>
        <v>0</v>
      </c>
      <c r="AW63" s="276">
        <f t="shared" si="64"/>
        <v>1</v>
      </c>
      <c r="AX63" s="275">
        <f t="shared" si="65"/>
        <v>455.20000000000005</v>
      </c>
      <c r="AY63" s="274"/>
      <c r="AZ63" s="275">
        <f t="shared" si="66"/>
        <v>455.20000000000005</v>
      </c>
      <c r="BA63" s="274"/>
      <c r="BB63" s="275">
        <f t="shared" si="67"/>
        <v>246.18375499999996</v>
      </c>
      <c r="BC63" s="274"/>
      <c r="BD63" s="275">
        <f t="shared" si="68"/>
        <v>0</v>
      </c>
      <c r="BE63" s="276">
        <f t="shared" si="69"/>
        <v>1</v>
      </c>
      <c r="BF63" s="274">
        <v>199</v>
      </c>
      <c r="BG63" s="274"/>
      <c r="BH63" s="274">
        <v>199</v>
      </c>
      <c r="BI63" s="274"/>
      <c r="BJ63" s="274">
        <v>139.01204999999999</v>
      </c>
      <c r="BK63" s="274"/>
      <c r="BL63" s="275">
        <f t="shared" si="70"/>
        <v>0</v>
      </c>
      <c r="BM63" s="276">
        <f t="shared" si="71"/>
        <v>1</v>
      </c>
      <c r="BN63" s="274">
        <v>141.30000000000001</v>
      </c>
      <c r="BO63" s="274"/>
      <c r="BP63" s="274">
        <v>141.30000000000001</v>
      </c>
      <c r="BQ63" s="274"/>
      <c r="BR63" s="274">
        <v>65.462000000000003</v>
      </c>
      <c r="BS63" s="274"/>
      <c r="BT63" s="275">
        <f t="shared" si="72"/>
        <v>0</v>
      </c>
      <c r="BU63" s="276">
        <f t="shared" si="73"/>
        <v>1</v>
      </c>
      <c r="BV63" s="274">
        <v>114.9</v>
      </c>
      <c r="BW63" s="274"/>
      <c r="BX63" s="274">
        <v>114.9</v>
      </c>
      <c r="BY63" s="274"/>
      <c r="BZ63" s="274">
        <v>41.709705</v>
      </c>
      <c r="CA63" s="274"/>
      <c r="CB63" s="275">
        <f t="shared" si="74"/>
        <v>0</v>
      </c>
      <c r="CC63" s="276">
        <f t="shared" si="75"/>
        <v>1</v>
      </c>
      <c r="CD63" s="275">
        <f t="shared" si="76"/>
        <v>650.6</v>
      </c>
      <c r="CE63" s="274"/>
      <c r="CF63" s="275">
        <f t="shared" si="77"/>
        <v>650.6</v>
      </c>
      <c r="CG63" s="274"/>
      <c r="CH63" s="275">
        <f t="shared" si="78"/>
        <v>0</v>
      </c>
      <c r="CI63" s="274"/>
      <c r="CJ63" s="275">
        <f t="shared" si="79"/>
        <v>0</v>
      </c>
      <c r="CK63" s="276">
        <f t="shared" si="80"/>
        <v>1</v>
      </c>
      <c r="CL63" s="274">
        <v>213.9</v>
      </c>
      <c r="CM63" s="274"/>
      <c r="CN63" s="274">
        <v>213.9</v>
      </c>
      <c r="CO63" s="274"/>
      <c r="CP63" s="274"/>
      <c r="CQ63" s="274"/>
      <c r="CR63" s="275">
        <f t="shared" si="81"/>
        <v>0</v>
      </c>
      <c r="CS63" s="276">
        <f t="shared" si="82"/>
        <v>1</v>
      </c>
      <c r="CT63" s="274">
        <v>215.1</v>
      </c>
      <c r="CU63" s="274"/>
      <c r="CV63" s="274">
        <v>215.1</v>
      </c>
      <c r="CW63" s="274"/>
      <c r="CX63" s="274"/>
      <c r="CY63" s="274"/>
      <c r="CZ63" s="275">
        <f t="shared" si="83"/>
        <v>0</v>
      </c>
      <c r="DA63" s="276">
        <f t="shared" si="84"/>
        <v>1</v>
      </c>
      <c r="DB63" s="274">
        <v>221.6</v>
      </c>
      <c r="DC63" s="274"/>
      <c r="DD63" s="274">
        <v>221.6</v>
      </c>
      <c r="DE63" s="274"/>
      <c r="DF63" s="274"/>
      <c r="DG63" s="274"/>
      <c r="DH63" s="275">
        <f t="shared" si="85"/>
        <v>0</v>
      </c>
      <c r="DI63" s="276">
        <f t="shared" si="86"/>
        <v>1</v>
      </c>
      <c r="DJ63" s="275">
        <f t="shared" si="87"/>
        <v>678.09999999999991</v>
      </c>
      <c r="DK63" s="274"/>
      <c r="DL63" s="275">
        <f t="shared" si="88"/>
        <v>678.09999999999991</v>
      </c>
      <c r="DM63" s="274"/>
      <c r="DN63" s="275">
        <f t="shared" si="89"/>
        <v>0</v>
      </c>
      <c r="DO63" s="274"/>
      <c r="DP63" s="275">
        <f t="shared" si="90"/>
        <v>0</v>
      </c>
      <c r="DQ63" s="276">
        <f t="shared" si="91"/>
        <v>1</v>
      </c>
      <c r="DR63" s="274">
        <v>228.6</v>
      </c>
      <c r="DS63" s="274"/>
      <c r="DT63" s="274">
        <v>228.6</v>
      </c>
      <c r="DU63" s="274"/>
      <c r="DV63" s="274"/>
      <c r="DW63" s="274"/>
      <c r="DX63" s="275">
        <f t="shared" si="92"/>
        <v>0</v>
      </c>
      <c r="DY63" s="276">
        <f t="shared" si="93"/>
        <v>1</v>
      </c>
      <c r="DZ63" s="274">
        <v>221.3</v>
      </c>
      <c r="EA63" s="274"/>
      <c r="EB63" s="274">
        <v>221.3</v>
      </c>
      <c r="EC63" s="274"/>
      <c r="ED63" s="274"/>
      <c r="EE63" s="274"/>
      <c r="EF63" s="275">
        <f t="shared" si="94"/>
        <v>0</v>
      </c>
      <c r="EG63" s="276">
        <f t="shared" si="95"/>
        <v>1</v>
      </c>
      <c r="EH63" s="274">
        <v>228.2</v>
      </c>
      <c r="EI63" s="274"/>
      <c r="EJ63" s="274">
        <v>228.2</v>
      </c>
      <c r="EK63" s="274"/>
      <c r="EL63" s="274"/>
      <c r="EM63" s="274"/>
      <c r="EN63" s="275">
        <f t="shared" si="96"/>
        <v>0</v>
      </c>
      <c r="EO63" s="276">
        <f t="shared" si="97"/>
        <v>1</v>
      </c>
    </row>
    <row r="64" spans="1:145" ht="18.75" customHeight="1" x14ac:dyDescent="0.3">
      <c r="A64" s="14"/>
      <c r="B64" s="24" t="s">
        <v>1648</v>
      </c>
      <c r="C64" s="234" t="s">
        <v>1649</v>
      </c>
      <c r="D64" s="234"/>
      <c r="E64" s="235"/>
      <c r="F64" s="232"/>
      <c r="G64" s="236"/>
      <c r="H64" s="243"/>
      <c r="I64" s="252"/>
      <c r="J64" s="275">
        <f t="shared" si="49"/>
        <v>1939.1999999999998</v>
      </c>
      <c r="K64" s="274"/>
      <c r="L64" s="275">
        <f t="shared" si="50"/>
        <v>1939.1999999999998</v>
      </c>
      <c r="M64" s="274"/>
      <c r="N64" s="275">
        <f t="shared" si="51"/>
        <v>85.936578999999995</v>
      </c>
      <c r="O64" s="274"/>
      <c r="P64" s="275">
        <f t="shared" si="52"/>
        <v>0</v>
      </c>
      <c r="Q64" s="276">
        <f t="shared" si="53"/>
        <v>1</v>
      </c>
      <c r="R64" s="275">
        <f t="shared" si="54"/>
        <v>583.79999999999995</v>
      </c>
      <c r="S64" s="274"/>
      <c r="T64" s="275">
        <f t="shared" si="55"/>
        <v>583.79999999999995</v>
      </c>
      <c r="U64" s="274"/>
      <c r="V64" s="275">
        <f t="shared" si="56"/>
        <v>0</v>
      </c>
      <c r="W64" s="274"/>
      <c r="X64" s="275">
        <f t="shared" si="57"/>
        <v>0</v>
      </c>
      <c r="Y64" s="276">
        <f t="shared" si="58"/>
        <v>1</v>
      </c>
      <c r="Z64" s="274">
        <v>201.1</v>
      </c>
      <c r="AA64" s="274"/>
      <c r="AB64" s="274">
        <v>201.1</v>
      </c>
      <c r="AC64" s="274"/>
      <c r="AD64" s="274">
        <v>0</v>
      </c>
      <c r="AE64" s="274"/>
      <c r="AF64" s="275">
        <f t="shared" si="59"/>
        <v>0</v>
      </c>
      <c r="AG64" s="276">
        <f t="shared" si="60"/>
        <v>1</v>
      </c>
      <c r="AH64" s="274">
        <v>181.6</v>
      </c>
      <c r="AI64" s="274"/>
      <c r="AJ64" s="274">
        <v>181.6</v>
      </c>
      <c r="AK64" s="274"/>
      <c r="AL64" s="274">
        <v>0</v>
      </c>
      <c r="AM64" s="274"/>
      <c r="AN64" s="275">
        <f t="shared" si="61"/>
        <v>0</v>
      </c>
      <c r="AO64" s="276">
        <f t="shared" si="62"/>
        <v>1</v>
      </c>
      <c r="AP64" s="274">
        <v>201.1</v>
      </c>
      <c r="AQ64" s="274"/>
      <c r="AR64" s="274">
        <v>201.1</v>
      </c>
      <c r="AS64" s="274"/>
      <c r="AT64" s="274">
        <v>0</v>
      </c>
      <c r="AU64" s="274"/>
      <c r="AV64" s="275">
        <f t="shared" si="63"/>
        <v>0</v>
      </c>
      <c r="AW64" s="276">
        <f t="shared" si="64"/>
        <v>1</v>
      </c>
      <c r="AX64" s="275">
        <f t="shared" si="65"/>
        <v>244.7</v>
      </c>
      <c r="AY64" s="274"/>
      <c r="AZ64" s="275">
        <f t="shared" si="66"/>
        <v>244.7</v>
      </c>
      <c r="BA64" s="274"/>
      <c r="BB64" s="275">
        <f t="shared" si="67"/>
        <v>85.936578999999995</v>
      </c>
      <c r="BC64" s="274"/>
      <c r="BD64" s="275">
        <f t="shared" si="68"/>
        <v>0</v>
      </c>
      <c r="BE64" s="276">
        <f t="shared" si="69"/>
        <v>1</v>
      </c>
      <c r="BF64" s="274">
        <v>188.9</v>
      </c>
      <c r="BG64" s="274"/>
      <c r="BH64" s="274">
        <v>188.9</v>
      </c>
      <c r="BI64" s="274"/>
      <c r="BJ64" s="274">
        <v>27.198578999999999</v>
      </c>
      <c r="BK64" s="274"/>
      <c r="BL64" s="275">
        <f t="shared" si="70"/>
        <v>0</v>
      </c>
      <c r="BM64" s="276">
        <f t="shared" si="71"/>
        <v>1</v>
      </c>
      <c r="BN64" s="274">
        <v>55.8</v>
      </c>
      <c r="BO64" s="274"/>
      <c r="BP64" s="274">
        <v>55.8</v>
      </c>
      <c r="BQ64" s="274"/>
      <c r="BR64" s="274">
        <v>58.738</v>
      </c>
      <c r="BS64" s="274"/>
      <c r="BT64" s="275">
        <f t="shared" si="72"/>
        <v>0</v>
      </c>
      <c r="BU64" s="276">
        <f t="shared" si="73"/>
        <v>1</v>
      </c>
      <c r="BV64" s="274">
        <v>0</v>
      </c>
      <c r="BW64" s="274"/>
      <c r="BX64" s="274">
        <v>0</v>
      </c>
      <c r="BY64" s="274"/>
      <c r="BZ64" s="274">
        <v>0</v>
      </c>
      <c r="CA64" s="274"/>
      <c r="CB64" s="275">
        <f t="shared" si="74"/>
        <v>0</v>
      </c>
      <c r="CC64" s="276" t="str">
        <f t="shared" si="75"/>
        <v>-</v>
      </c>
      <c r="CD64" s="275">
        <f t="shared" si="76"/>
        <v>519.79999999999995</v>
      </c>
      <c r="CE64" s="274"/>
      <c r="CF64" s="275">
        <f t="shared" si="77"/>
        <v>519.79999999999995</v>
      </c>
      <c r="CG64" s="274"/>
      <c r="CH64" s="275">
        <f t="shared" si="78"/>
        <v>0</v>
      </c>
      <c r="CI64" s="274"/>
      <c r="CJ64" s="275">
        <f t="shared" si="79"/>
        <v>0</v>
      </c>
      <c r="CK64" s="276">
        <f t="shared" si="80"/>
        <v>1</v>
      </c>
      <c r="CL64" s="274">
        <v>135.69999999999999</v>
      </c>
      <c r="CM64" s="274"/>
      <c r="CN64" s="274">
        <v>135.69999999999999</v>
      </c>
      <c r="CO64" s="274"/>
      <c r="CP64" s="274"/>
      <c r="CQ64" s="274"/>
      <c r="CR64" s="275">
        <f t="shared" si="81"/>
        <v>0</v>
      </c>
      <c r="CS64" s="276">
        <f t="shared" si="82"/>
        <v>1</v>
      </c>
      <c r="CT64" s="274">
        <v>195.2</v>
      </c>
      <c r="CU64" s="274"/>
      <c r="CV64" s="274">
        <v>195.2</v>
      </c>
      <c r="CW64" s="274"/>
      <c r="CX64" s="274"/>
      <c r="CY64" s="274"/>
      <c r="CZ64" s="275">
        <f t="shared" si="83"/>
        <v>0</v>
      </c>
      <c r="DA64" s="276">
        <f t="shared" si="84"/>
        <v>1</v>
      </c>
      <c r="DB64" s="274">
        <v>188.9</v>
      </c>
      <c r="DC64" s="274"/>
      <c r="DD64" s="274">
        <v>188.9</v>
      </c>
      <c r="DE64" s="274"/>
      <c r="DF64" s="274"/>
      <c r="DG64" s="274"/>
      <c r="DH64" s="275">
        <f t="shared" si="85"/>
        <v>0</v>
      </c>
      <c r="DI64" s="276">
        <f t="shared" si="86"/>
        <v>1</v>
      </c>
      <c r="DJ64" s="275">
        <f t="shared" si="87"/>
        <v>590.9</v>
      </c>
      <c r="DK64" s="274"/>
      <c r="DL64" s="275">
        <f t="shared" si="88"/>
        <v>590.9</v>
      </c>
      <c r="DM64" s="274"/>
      <c r="DN64" s="275">
        <f t="shared" si="89"/>
        <v>0</v>
      </c>
      <c r="DO64" s="274"/>
      <c r="DP64" s="275">
        <f t="shared" si="90"/>
        <v>0</v>
      </c>
      <c r="DQ64" s="276">
        <f t="shared" si="91"/>
        <v>1</v>
      </c>
      <c r="DR64" s="274">
        <v>195.2</v>
      </c>
      <c r="DS64" s="274"/>
      <c r="DT64" s="274">
        <v>195.2</v>
      </c>
      <c r="DU64" s="274"/>
      <c r="DV64" s="274"/>
      <c r="DW64" s="274"/>
      <c r="DX64" s="275">
        <f t="shared" si="92"/>
        <v>0</v>
      </c>
      <c r="DY64" s="276">
        <f t="shared" si="93"/>
        <v>1</v>
      </c>
      <c r="DZ64" s="274">
        <v>194.6</v>
      </c>
      <c r="EA64" s="274"/>
      <c r="EB64" s="274">
        <v>194.6</v>
      </c>
      <c r="EC64" s="274"/>
      <c r="ED64" s="274"/>
      <c r="EE64" s="274"/>
      <c r="EF64" s="275">
        <f t="shared" si="94"/>
        <v>0</v>
      </c>
      <c r="EG64" s="276">
        <f t="shared" si="95"/>
        <v>1</v>
      </c>
      <c r="EH64" s="274">
        <v>201.1</v>
      </c>
      <c r="EI64" s="274"/>
      <c r="EJ64" s="274">
        <v>201.1</v>
      </c>
      <c r="EK64" s="274"/>
      <c r="EL64" s="274"/>
      <c r="EM64" s="274"/>
      <c r="EN64" s="275">
        <f t="shared" si="96"/>
        <v>0</v>
      </c>
      <c r="EO64" s="276">
        <f t="shared" si="97"/>
        <v>1</v>
      </c>
    </row>
    <row r="65" spans="1:145" ht="18.75" customHeight="1" x14ac:dyDescent="0.3">
      <c r="A65" s="264" t="s">
        <v>1650</v>
      </c>
      <c r="B65" s="227" t="s">
        <v>1651</v>
      </c>
      <c r="C65" s="234" t="s">
        <v>1652</v>
      </c>
      <c r="D65" s="234"/>
      <c r="E65" s="235"/>
      <c r="F65" s="232"/>
      <c r="G65" s="236"/>
      <c r="H65" s="243"/>
      <c r="I65" s="252"/>
      <c r="J65" s="275">
        <f t="shared" si="49"/>
        <v>820.3</v>
      </c>
      <c r="K65" s="274"/>
      <c r="L65" s="275">
        <f t="shared" si="50"/>
        <v>820.3</v>
      </c>
      <c r="M65" s="274"/>
      <c r="N65" s="275">
        <f t="shared" si="51"/>
        <v>3.0310000000000001</v>
      </c>
      <c r="O65" s="274"/>
      <c r="P65" s="275">
        <f t="shared" si="52"/>
        <v>0</v>
      </c>
      <c r="Q65" s="276">
        <f t="shared" si="53"/>
        <v>1</v>
      </c>
      <c r="R65" s="275">
        <f t="shared" si="54"/>
        <v>247.8</v>
      </c>
      <c r="S65" s="274"/>
      <c r="T65" s="275">
        <f t="shared" si="55"/>
        <v>247.8</v>
      </c>
      <c r="U65" s="274"/>
      <c r="V65" s="275">
        <f t="shared" si="56"/>
        <v>0</v>
      </c>
      <c r="W65" s="274"/>
      <c r="X65" s="275">
        <f t="shared" si="57"/>
        <v>0</v>
      </c>
      <c r="Y65" s="276">
        <f t="shared" si="58"/>
        <v>1</v>
      </c>
      <c r="Z65" s="274">
        <v>85.7</v>
      </c>
      <c r="AA65" s="274"/>
      <c r="AB65" s="274">
        <v>85.7</v>
      </c>
      <c r="AC65" s="274"/>
      <c r="AD65" s="274"/>
      <c r="AE65" s="274"/>
      <c r="AF65" s="275">
        <f t="shared" si="59"/>
        <v>0</v>
      </c>
      <c r="AG65" s="276">
        <f t="shared" si="60"/>
        <v>1</v>
      </c>
      <c r="AH65" s="274">
        <v>77.2</v>
      </c>
      <c r="AI65" s="274"/>
      <c r="AJ65" s="274">
        <v>77.2</v>
      </c>
      <c r="AK65" s="274"/>
      <c r="AL65" s="274"/>
      <c r="AM65" s="274"/>
      <c r="AN65" s="275">
        <f t="shared" si="61"/>
        <v>0</v>
      </c>
      <c r="AO65" s="276">
        <f t="shared" si="62"/>
        <v>1</v>
      </c>
      <c r="AP65" s="274">
        <v>84.9</v>
      </c>
      <c r="AQ65" s="274"/>
      <c r="AR65" s="274">
        <v>84.9</v>
      </c>
      <c r="AS65" s="274"/>
      <c r="AT65" s="274"/>
      <c r="AU65" s="274"/>
      <c r="AV65" s="275">
        <f t="shared" si="63"/>
        <v>0</v>
      </c>
      <c r="AW65" s="276">
        <f t="shared" si="64"/>
        <v>1</v>
      </c>
      <c r="AX65" s="275">
        <f t="shared" si="65"/>
        <v>107.10000000000001</v>
      </c>
      <c r="AY65" s="274"/>
      <c r="AZ65" s="275">
        <f t="shared" si="66"/>
        <v>107.10000000000001</v>
      </c>
      <c r="BA65" s="274"/>
      <c r="BB65" s="275">
        <f t="shared" si="67"/>
        <v>3.0310000000000001</v>
      </c>
      <c r="BC65" s="274"/>
      <c r="BD65" s="275">
        <f t="shared" si="68"/>
        <v>0</v>
      </c>
      <c r="BE65" s="276">
        <f t="shared" si="69"/>
        <v>1</v>
      </c>
      <c r="BF65" s="274">
        <v>82.9</v>
      </c>
      <c r="BG65" s="274"/>
      <c r="BH65" s="274">
        <v>82.9</v>
      </c>
      <c r="BI65" s="274"/>
      <c r="BJ65" s="274"/>
      <c r="BK65" s="274"/>
      <c r="BL65" s="275">
        <f t="shared" si="70"/>
        <v>0</v>
      </c>
      <c r="BM65" s="276">
        <f t="shared" si="71"/>
        <v>1</v>
      </c>
      <c r="BN65" s="274">
        <v>24.2</v>
      </c>
      <c r="BO65" s="274"/>
      <c r="BP65" s="274">
        <v>24.2</v>
      </c>
      <c r="BQ65" s="274"/>
      <c r="BR65" s="274">
        <v>3.0310000000000001</v>
      </c>
      <c r="BS65" s="274"/>
      <c r="BT65" s="275">
        <f t="shared" si="72"/>
        <v>0</v>
      </c>
      <c r="BU65" s="276">
        <f t="shared" si="73"/>
        <v>1</v>
      </c>
      <c r="BV65" s="274"/>
      <c r="BW65" s="274"/>
      <c r="BX65" s="274"/>
      <c r="BY65" s="274"/>
      <c r="BZ65" s="274"/>
      <c r="CA65" s="274"/>
      <c r="CB65" s="275">
        <f t="shared" si="74"/>
        <v>0</v>
      </c>
      <c r="CC65" s="276" t="str">
        <f t="shared" si="75"/>
        <v>-</v>
      </c>
      <c r="CD65" s="275">
        <f t="shared" si="76"/>
        <v>209.1</v>
      </c>
      <c r="CE65" s="274"/>
      <c r="CF65" s="275">
        <f t="shared" si="77"/>
        <v>209.1</v>
      </c>
      <c r="CG65" s="274"/>
      <c r="CH65" s="275">
        <f t="shared" si="78"/>
        <v>0</v>
      </c>
      <c r="CI65" s="274"/>
      <c r="CJ65" s="275">
        <f t="shared" si="79"/>
        <v>0</v>
      </c>
      <c r="CK65" s="276">
        <f t="shared" si="80"/>
        <v>1</v>
      </c>
      <c r="CL65" s="274">
        <v>33.5</v>
      </c>
      <c r="CM65" s="274"/>
      <c r="CN65" s="274">
        <v>33.5</v>
      </c>
      <c r="CO65" s="274"/>
      <c r="CP65" s="274"/>
      <c r="CQ65" s="274"/>
      <c r="CR65" s="275">
        <f t="shared" si="81"/>
        <v>0</v>
      </c>
      <c r="CS65" s="276">
        <f t="shared" si="82"/>
        <v>1</v>
      </c>
      <c r="CT65" s="274">
        <v>89.3</v>
      </c>
      <c r="CU65" s="274"/>
      <c r="CV65" s="274">
        <v>89.3</v>
      </c>
      <c r="CW65" s="274"/>
      <c r="CX65" s="274"/>
      <c r="CY65" s="274"/>
      <c r="CZ65" s="275">
        <f t="shared" si="83"/>
        <v>0</v>
      </c>
      <c r="DA65" s="276">
        <f t="shared" si="84"/>
        <v>1</v>
      </c>
      <c r="DB65" s="274">
        <v>86.3</v>
      </c>
      <c r="DC65" s="274"/>
      <c r="DD65" s="274">
        <v>86.3</v>
      </c>
      <c r="DE65" s="274"/>
      <c r="DF65" s="274"/>
      <c r="DG65" s="274"/>
      <c r="DH65" s="275">
        <f t="shared" si="85"/>
        <v>0</v>
      </c>
      <c r="DI65" s="276">
        <f t="shared" si="86"/>
        <v>1</v>
      </c>
      <c r="DJ65" s="275">
        <f t="shared" si="87"/>
        <v>256.29999999999995</v>
      </c>
      <c r="DK65" s="274"/>
      <c r="DL65" s="275">
        <f t="shared" si="88"/>
        <v>256.29999999999995</v>
      </c>
      <c r="DM65" s="274"/>
      <c r="DN65" s="275">
        <f t="shared" si="89"/>
        <v>0</v>
      </c>
      <c r="DO65" s="274"/>
      <c r="DP65" s="275">
        <f t="shared" si="90"/>
        <v>0</v>
      </c>
      <c r="DQ65" s="276">
        <f t="shared" si="91"/>
        <v>1</v>
      </c>
      <c r="DR65" s="274">
        <v>88.8</v>
      </c>
      <c r="DS65" s="274"/>
      <c r="DT65" s="274">
        <v>88.8</v>
      </c>
      <c r="DU65" s="274"/>
      <c r="DV65" s="274"/>
      <c r="DW65" s="274"/>
      <c r="DX65" s="275">
        <f t="shared" si="92"/>
        <v>0</v>
      </c>
      <c r="DY65" s="276">
        <f t="shared" si="93"/>
        <v>1</v>
      </c>
      <c r="DZ65" s="274">
        <v>82.4</v>
      </c>
      <c r="EA65" s="274"/>
      <c r="EB65" s="274">
        <v>82.4</v>
      </c>
      <c r="EC65" s="274"/>
      <c r="ED65" s="274"/>
      <c r="EE65" s="274"/>
      <c r="EF65" s="275">
        <f t="shared" si="94"/>
        <v>0</v>
      </c>
      <c r="EG65" s="276">
        <f t="shared" si="95"/>
        <v>1</v>
      </c>
      <c r="EH65" s="274">
        <v>85.1</v>
      </c>
      <c r="EI65" s="274"/>
      <c r="EJ65" s="274">
        <v>85.1</v>
      </c>
      <c r="EK65" s="274"/>
      <c r="EL65" s="274"/>
      <c r="EM65" s="274"/>
      <c r="EN65" s="275">
        <f t="shared" si="96"/>
        <v>0</v>
      </c>
      <c r="EO65" s="276">
        <f t="shared" si="97"/>
        <v>1</v>
      </c>
    </row>
    <row r="66" spans="1:145" ht="18.75" customHeight="1" x14ac:dyDescent="0.3">
      <c r="A66" s="264"/>
      <c r="B66" s="230" t="s">
        <v>635</v>
      </c>
      <c r="C66" s="234" t="s">
        <v>1653</v>
      </c>
      <c r="D66" s="234"/>
      <c r="E66" s="235"/>
      <c r="F66" s="232"/>
      <c r="G66" s="236"/>
      <c r="H66" s="243"/>
      <c r="I66" s="252"/>
      <c r="J66" s="275">
        <f t="shared" si="49"/>
        <v>0</v>
      </c>
      <c r="K66" s="274"/>
      <c r="L66" s="275">
        <f t="shared" si="50"/>
        <v>0</v>
      </c>
      <c r="M66" s="274"/>
      <c r="N66" s="275">
        <f t="shared" si="51"/>
        <v>0</v>
      </c>
      <c r="O66" s="274"/>
      <c r="P66" s="275">
        <f t="shared" si="52"/>
        <v>0</v>
      </c>
      <c r="Q66" s="276" t="str">
        <f t="shared" si="53"/>
        <v>-</v>
      </c>
      <c r="R66" s="275">
        <f t="shared" si="54"/>
        <v>0</v>
      </c>
      <c r="S66" s="274"/>
      <c r="T66" s="275">
        <f t="shared" si="55"/>
        <v>0</v>
      </c>
      <c r="U66" s="274"/>
      <c r="V66" s="275">
        <f t="shared" si="56"/>
        <v>0</v>
      </c>
      <c r="W66" s="274"/>
      <c r="X66" s="275">
        <f t="shared" si="57"/>
        <v>0</v>
      </c>
      <c r="Y66" s="276" t="str">
        <f t="shared" si="58"/>
        <v>-</v>
      </c>
      <c r="Z66" s="274">
        <v>0</v>
      </c>
      <c r="AA66" s="274"/>
      <c r="AB66" s="274">
        <v>0</v>
      </c>
      <c r="AC66" s="274"/>
      <c r="AD66" s="274">
        <v>0</v>
      </c>
      <c r="AE66" s="274"/>
      <c r="AF66" s="275">
        <f t="shared" si="59"/>
        <v>0</v>
      </c>
      <c r="AG66" s="276" t="str">
        <f t="shared" si="60"/>
        <v>-</v>
      </c>
      <c r="AH66" s="274">
        <v>0</v>
      </c>
      <c r="AI66" s="274"/>
      <c r="AJ66" s="274">
        <v>0</v>
      </c>
      <c r="AK66" s="274"/>
      <c r="AL66" s="274">
        <v>0</v>
      </c>
      <c r="AM66" s="274"/>
      <c r="AN66" s="275">
        <f t="shared" si="61"/>
        <v>0</v>
      </c>
      <c r="AO66" s="276" t="str">
        <f t="shared" si="62"/>
        <v>-</v>
      </c>
      <c r="AP66" s="274">
        <v>0</v>
      </c>
      <c r="AQ66" s="274"/>
      <c r="AR66" s="274">
        <v>0</v>
      </c>
      <c r="AS66" s="274"/>
      <c r="AT66" s="274">
        <v>0</v>
      </c>
      <c r="AU66" s="274"/>
      <c r="AV66" s="275">
        <f t="shared" si="63"/>
        <v>0</v>
      </c>
      <c r="AW66" s="276" t="str">
        <f t="shared" si="64"/>
        <v>-</v>
      </c>
      <c r="AX66" s="275">
        <f t="shared" si="65"/>
        <v>0</v>
      </c>
      <c r="AY66" s="274"/>
      <c r="AZ66" s="275">
        <f t="shared" si="66"/>
        <v>0</v>
      </c>
      <c r="BA66" s="274"/>
      <c r="BB66" s="275">
        <f t="shared" si="67"/>
        <v>0</v>
      </c>
      <c r="BC66" s="274"/>
      <c r="BD66" s="275">
        <f t="shared" si="68"/>
        <v>0</v>
      </c>
      <c r="BE66" s="276" t="str">
        <f t="shared" si="69"/>
        <v>-</v>
      </c>
      <c r="BF66" s="274">
        <v>0</v>
      </c>
      <c r="BG66" s="274"/>
      <c r="BH66" s="274">
        <v>0</v>
      </c>
      <c r="BI66" s="274"/>
      <c r="BJ66" s="274">
        <v>0</v>
      </c>
      <c r="BK66" s="274"/>
      <c r="BL66" s="275">
        <f t="shared" si="70"/>
        <v>0</v>
      </c>
      <c r="BM66" s="276" t="str">
        <f t="shared" si="71"/>
        <v>-</v>
      </c>
      <c r="BN66" s="274">
        <v>0</v>
      </c>
      <c r="BO66" s="274"/>
      <c r="BP66" s="274">
        <v>0</v>
      </c>
      <c r="BQ66" s="274"/>
      <c r="BR66" s="274">
        <v>0</v>
      </c>
      <c r="BS66" s="274"/>
      <c r="BT66" s="275">
        <f t="shared" si="72"/>
        <v>0</v>
      </c>
      <c r="BU66" s="276" t="str">
        <f t="shared" si="73"/>
        <v>-</v>
      </c>
      <c r="BV66" s="274">
        <v>0</v>
      </c>
      <c r="BW66" s="274"/>
      <c r="BX66" s="274">
        <v>0</v>
      </c>
      <c r="BY66" s="274"/>
      <c r="BZ66" s="274">
        <v>0</v>
      </c>
      <c r="CA66" s="274"/>
      <c r="CB66" s="275">
        <f t="shared" si="74"/>
        <v>0</v>
      </c>
      <c r="CC66" s="276" t="str">
        <f t="shared" si="75"/>
        <v>-</v>
      </c>
      <c r="CD66" s="275">
        <f t="shared" si="76"/>
        <v>0</v>
      </c>
      <c r="CE66" s="274"/>
      <c r="CF66" s="275">
        <f t="shared" si="77"/>
        <v>0</v>
      </c>
      <c r="CG66" s="274"/>
      <c r="CH66" s="275">
        <f t="shared" si="78"/>
        <v>0</v>
      </c>
      <c r="CI66" s="274"/>
      <c r="CJ66" s="275">
        <f t="shared" si="79"/>
        <v>0</v>
      </c>
      <c r="CK66" s="276" t="str">
        <f t="shared" si="80"/>
        <v>-</v>
      </c>
      <c r="CL66" s="274">
        <v>0</v>
      </c>
      <c r="CM66" s="274"/>
      <c r="CN66" s="274">
        <v>0</v>
      </c>
      <c r="CO66" s="274"/>
      <c r="CP66" s="274"/>
      <c r="CQ66" s="274"/>
      <c r="CR66" s="275">
        <f t="shared" si="81"/>
        <v>0</v>
      </c>
      <c r="CS66" s="276" t="str">
        <f t="shared" si="82"/>
        <v>-</v>
      </c>
      <c r="CT66" s="274">
        <v>0</v>
      </c>
      <c r="CU66" s="274"/>
      <c r="CV66" s="274">
        <v>0</v>
      </c>
      <c r="CW66" s="274"/>
      <c r="CX66" s="274"/>
      <c r="CY66" s="274"/>
      <c r="CZ66" s="275">
        <f t="shared" si="83"/>
        <v>0</v>
      </c>
      <c r="DA66" s="276" t="str">
        <f t="shared" si="84"/>
        <v>-</v>
      </c>
      <c r="DB66" s="274">
        <v>0</v>
      </c>
      <c r="DC66" s="274"/>
      <c r="DD66" s="274">
        <v>0</v>
      </c>
      <c r="DE66" s="274"/>
      <c r="DF66" s="274"/>
      <c r="DG66" s="274"/>
      <c r="DH66" s="275">
        <f t="shared" si="85"/>
        <v>0</v>
      </c>
      <c r="DI66" s="276" t="str">
        <f t="shared" si="86"/>
        <v>-</v>
      </c>
      <c r="DJ66" s="275">
        <f t="shared" si="87"/>
        <v>0</v>
      </c>
      <c r="DK66" s="274"/>
      <c r="DL66" s="275">
        <f t="shared" si="88"/>
        <v>0</v>
      </c>
      <c r="DM66" s="274"/>
      <c r="DN66" s="275">
        <f t="shared" si="89"/>
        <v>0</v>
      </c>
      <c r="DO66" s="274"/>
      <c r="DP66" s="275">
        <f t="shared" si="90"/>
        <v>0</v>
      </c>
      <c r="DQ66" s="276" t="str">
        <f t="shared" si="91"/>
        <v>-</v>
      </c>
      <c r="DR66" s="274">
        <v>0</v>
      </c>
      <c r="DS66" s="274"/>
      <c r="DT66" s="274">
        <v>0</v>
      </c>
      <c r="DU66" s="274"/>
      <c r="DV66" s="274"/>
      <c r="DW66" s="274"/>
      <c r="DX66" s="275">
        <f t="shared" si="92"/>
        <v>0</v>
      </c>
      <c r="DY66" s="276" t="str">
        <f t="shared" si="93"/>
        <v>-</v>
      </c>
      <c r="DZ66" s="274">
        <v>0</v>
      </c>
      <c r="EA66" s="274"/>
      <c r="EB66" s="274">
        <v>0</v>
      </c>
      <c r="EC66" s="274"/>
      <c r="ED66" s="274"/>
      <c r="EE66" s="274"/>
      <c r="EF66" s="275">
        <f t="shared" si="94"/>
        <v>0</v>
      </c>
      <c r="EG66" s="276" t="str">
        <f t="shared" si="95"/>
        <v>-</v>
      </c>
      <c r="EH66" s="274">
        <v>0</v>
      </c>
      <c r="EI66" s="274"/>
      <c r="EJ66" s="274">
        <v>0</v>
      </c>
      <c r="EK66" s="274"/>
      <c r="EL66" s="274"/>
      <c r="EM66" s="274"/>
      <c r="EN66" s="275">
        <f t="shared" si="96"/>
        <v>0</v>
      </c>
      <c r="EO66" s="276" t="str">
        <f t="shared" si="97"/>
        <v>-</v>
      </c>
    </row>
    <row r="67" spans="1:145" ht="18.75" customHeight="1" x14ac:dyDescent="0.3">
      <c r="A67" s="263" t="s">
        <v>1654</v>
      </c>
      <c r="B67" s="230" t="s">
        <v>637</v>
      </c>
      <c r="C67" s="234" t="s">
        <v>1655</v>
      </c>
      <c r="D67" s="234"/>
      <c r="E67" s="235"/>
      <c r="F67" s="232"/>
      <c r="G67" s="236"/>
      <c r="H67" s="243"/>
      <c r="I67" s="252"/>
      <c r="J67" s="275">
        <f t="shared" si="49"/>
        <v>525.29999999999995</v>
      </c>
      <c r="K67" s="274"/>
      <c r="L67" s="275">
        <f t="shared" si="50"/>
        <v>525.29999999999995</v>
      </c>
      <c r="M67" s="274"/>
      <c r="N67" s="275">
        <f t="shared" si="51"/>
        <v>3.0310000000000001</v>
      </c>
      <c r="O67" s="274"/>
      <c r="P67" s="275">
        <f t="shared" si="52"/>
        <v>0</v>
      </c>
      <c r="Q67" s="276">
        <f t="shared" si="53"/>
        <v>1</v>
      </c>
      <c r="R67" s="275">
        <f t="shared" si="54"/>
        <v>157.80000000000001</v>
      </c>
      <c r="S67" s="274"/>
      <c r="T67" s="275">
        <f t="shared" si="55"/>
        <v>157.80000000000001</v>
      </c>
      <c r="U67" s="274"/>
      <c r="V67" s="275">
        <f t="shared" si="56"/>
        <v>0</v>
      </c>
      <c r="W67" s="274"/>
      <c r="X67" s="275">
        <f t="shared" si="57"/>
        <v>0</v>
      </c>
      <c r="Y67" s="276">
        <f t="shared" si="58"/>
        <v>1</v>
      </c>
      <c r="Z67" s="274">
        <v>55.7</v>
      </c>
      <c r="AA67" s="274"/>
      <c r="AB67" s="274">
        <v>55.7</v>
      </c>
      <c r="AC67" s="274"/>
      <c r="AD67" s="274">
        <v>0</v>
      </c>
      <c r="AE67" s="274"/>
      <c r="AF67" s="275">
        <f t="shared" si="59"/>
        <v>0</v>
      </c>
      <c r="AG67" s="276">
        <f t="shared" si="60"/>
        <v>1</v>
      </c>
      <c r="AH67" s="274">
        <v>47.2</v>
      </c>
      <c r="AI67" s="274"/>
      <c r="AJ67" s="274">
        <v>47.2</v>
      </c>
      <c r="AK67" s="274"/>
      <c r="AL67" s="274">
        <v>0</v>
      </c>
      <c r="AM67" s="274"/>
      <c r="AN67" s="275">
        <f t="shared" si="61"/>
        <v>0</v>
      </c>
      <c r="AO67" s="276">
        <f t="shared" si="62"/>
        <v>1</v>
      </c>
      <c r="AP67" s="274">
        <v>54.9</v>
      </c>
      <c r="AQ67" s="274"/>
      <c r="AR67" s="274">
        <v>54.9</v>
      </c>
      <c r="AS67" s="274"/>
      <c r="AT67" s="274">
        <v>0</v>
      </c>
      <c r="AU67" s="274"/>
      <c r="AV67" s="275">
        <f t="shared" si="63"/>
        <v>0</v>
      </c>
      <c r="AW67" s="276">
        <f t="shared" si="64"/>
        <v>1</v>
      </c>
      <c r="AX67" s="275">
        <f t="shared" si="65"/>
        <v>62.099999999999994</v>
      </c>
      <c r="AY67" s="274"/>
      <c r="AZ67" s="275">
        <f t="shared" si="66"/>
        <v>62.099999999999994</v>
      </c>
      <c r="BA67" s="274"/>
      <c r="BB67" s="275">
        <f t="shared" si="67"/>
        <v>3.0310000000000001</v>
      </c>
      <c r="BC67" s="274"/>
      <c r="BD67" s="275">
        <f t="shared" si="68"/>
        <v>0</v>
      </c>
      <c r="BE67" s="276">
        <f t="shared" si="69"/>
        <v>1</v>
      </c>
      <c r="BF67" s="274">
        <v>47.9</v>
      </c>
      <c r="BG67" s="274"/>
      <c r="BH67" s="274">
        <v>47.9</v>
      </c>
      <c r="BI67" s="274"/>
      <c r="BJ67" s="274">
        <v>0</v>
      </c>
      <c r="BK67" s="274"/>
      <c r="BL67" s="275">
        <f t="shared" si="70"/>
        <v>0</v>
      </c>
      <c r="BM67" s="276">
        <f t="shared" si="71"/>
        <v>1</v>
      </c>
      <c r="BN67" s="274">
        <v>14.2</v>
      </c>
      <c r="BO67" s="274"/>
      <c r="BP67" s="274">
        <v>14.2</v>
      </c>
      <c r="BQ67" s="274"/>
      <c r="BR67" s="274">
        <v>3.0310000000000001</v>
      </c>
      <c r="BS67" s="274"/>
      <c r="BT67" s="275">
        <f t="shared" si="72"/>
        <v>0</v>
      </c>
      <c r="BU67" s="276">
        <f t="shared" si="73"/>
        <v>1</v>
      </c>
      <c r="BV67" s="274">
        <v>0</v>
      </c>
      <c r="BW67" s="274"/>
      <c r="BX67" s="274">
        <v>0</v>
      </c>
      <c r="BY67" s="274"/>
      <c r="BZ67" s="274">
        <v>0</v>
      </c>
      <c r="CA67" s="274"/>
      <c r="CB67" s="275">
        <f t="shared" si="74"/>
        <v>0</v>
      </c>
      <c r="CC67" s="276" t="str">
        <f t="shared" si="75"/>
        <v>-</v>
      </c>
      <c r="CD67" s="275">
        <f t="shared" si="76"/>
        <v>139.1</v>
      </c>
      <c r="CE67" s="274"/>
      <c r="CF67" s="275">
        <f t="shared" si="77"/>
        <v>139.1</v>
      </c>
      <c r="CG67" s="274"/>
      <c r="CH67" s="275">
        <f t="shared" si="78"/>
        <v>0</v>
      </c>
      <c r="CI67" s="274"/>
      <c r="CJ67" s="275">
        <f t="shared" si="79"/>
        <v>0</v>
      </c>
      <c r="CK67" s="276">
        <f t="shared" si="80"/>
        <v>1</v>
      </c>
      <c r="CL67" s="274">
        <v>33.5</v>
      </c>
      <c r="CM67" s="274"/>
      <c r="CN67" s="274">
        <v>33.5</v>
      </c>
      <c r="CO67" s="274"/>
      <c r="CP67" s="274"/>
      <c r="CQ67" s="274"/>
      <c r="CR67" s="275">
        <f t="shared" si="81"/>
        <v>0</v>
      </c>
      <c r="CS67" s="276">
        <f t="shared" si="82"/>
        <v>1</v>
      </c>
      <c r="CT67" s="274">
        <v>54.3</v>
      </c>
      <c r="CU67" s="274"/>
      <c r="CV67" s="274">
        <v>54.3</v>
      </c>
      <c r="CW67" s="274"/>
      <c r="CX67" s="274"/>
      <c r="CY67" s="274"/>
      <c r="CZ67" s="275">
        <f t="shared" si="83"/>
        <v>0</v>
      </c>
      <c r="DA67" s="276">
        <f t="shared" si="84"/>
        <v>1</v>
      </c>
      <c r="DB67" s="274">
        <v>51.3</v>
      </c>
      <c r="DC67" s="274"/>
      <c r="DD67" s="274">
        <v>51.3</v>
      </c>
      <c r="DE67" s="274"/>
      <c r="DF67" s="274"/>
      <c r="DG67" s="274"/>
      <c r="DH67" s="275">
        <f t="shared" si="85"/>
        <v>0</v>
      </c>
      <c r="DI67" s="276">
        <f t="shared" si="86"/>
        <v>1</v>
      </c>
      <c r="DJ67" s="275">
        <f t="shared" si="87"/>
        <v>166.29999999999998</v>
      </c>
      <c r="DK67" s="274"/>
      <c r="DL67" s="275">
        <f t="shared" si="88"/>
        <v>166.29999999999998</v>
      </c>
      <c r="DM67" s="274"/>
      <c r="DN67" s="275">
        <f t="shared" si="89"/>
        <v>0</v>
      </c>
      <c r="DO67" s="274"/>
      <c r="DP67" s="275">
        <f t="shared" si="90"/>
        <v>0</v>
      </c>
      <c r="DQ67" s="276">
        <f t="shared" si="91"/>
        <v>1</v>
      </c>
      <c r="DR67" s="274">
        <v>58.8</v>
      </c>
      <c r="DS67" s="274"/>
      <c r="DT67" s="274">
        <v>58.8</v>
      </c>
      <c r="DU67" s="274"/>
      <c r="DV67" s="274"/>
      <c r="DW67" s="274"/>
      <c r="DX67" s="275">
        <f t="shared" si="92"/>
        <v>0</v>
      </c>
      <c r="DY67" s="276">
        <f t="shared" si="93"/>
        <v>1</v>
      </c>
      <c r="DZ67" s="274">
        <v>52.4</v>
      </c>
      <c r="EA67" s="274"/>
      <c r="EB67" s="274">
        <v>52.4</v>
      </c>
      <c r="EC67" s="274"/>
      <c r="ED67" s="274"/>
      <c r="EE67" s="274"/>
      <c r="EF67" s="275">
        <f t="shared" si="94"/>
        <v>0</v>
      </c>
      <c r="EG67" s="276">
        <f t="shared" si="95"/>
        <v>1</v>
      </c>
      <c r="EH67" s="274">
        <v>55.1</v>
      </c>
      <c r="EI67" s="274"/>
      <c r="EJ67" s="274">
        <v>55.1</v>
      </c>
      <c r="EK67" s="274"/>
      <c r="EL67" s="274"/>
      <c r="EM67" s="274"/>
      <c r="EN67" s="275">
        <f t="shared" si="96"/>
        <v>0</v>
      </c>
      <c r="EO67" s="276">
        <f t="shared" si="97"/>
        <v>1</v>
      </c>
    </row>
    <row r="68" spans="1:145" ht="18.75" customHeight="1" x14ac:dyDescent="0.3">
      <c r="A68" s="263" t="s">
        <v>1656</v>
      </c>
      <c r="B68" s="230" t="s">
        <v>646</v>
      </c>
      <c r="C68" s="234" t="s">
        <v>1657</v>
      </c>
      <c r="D68" s="234"/>
      <c r="E68" s="235"/>
      <c r="F68" s="232"/>
      <c r="G68" s="236"/>
      <c r="H68" s="243"/>
      <c r="I68" s="252"/>
      <c r="J68" s="275">
        <f t="shared" si="49"/>
        <v>295</v>
      </c>
      <c r="K68" s="274"/>
      <c r="L68" s="275">
        <f t="shared" si="50"/>
        <v>295</v>
      </c>
      <c r="M68" s="274"/>
      <c r="N68" s="275">
        <f t="shared" si="51"/>
        <v>0</v>
      </c>
      <c r="O68" s="274"/>
      <c r="P68" s="275">
        <f t="shared" si="52"/>
        <v>0</v>
      </c>
      <c r="Q68" s="276">
        <f t="shared" si="53"/>
        <v>1</v>
      </c>
      <c r="R68" s="275">
        <f t="shared" si="54"/>
        <v>90</v>
      </c>
      <c r="S68" s="274"/>
      <c r="T68" s="275">
        <f t="shared" si="55"/>
        <v>90</v>
      </c>
      <c r="U68" s="274"/>
      <c r="V68" s="275">
        <f t="shared" si="56"/>
        <v>0</v>
      </c>
      <c r="W68" s="274"/>
      <c r="X68" s="275">
        <f t="shared" si="57"/>
        <v>0</v>
      </c>
      <c r="Y68" s="276">
        <f t="shared" si="58"/>
        <v>1</v>
      </c>
      <c r="Z68" s="274">
        <v>30</v>
      </c>
      <c r="AA68" s="274"/>
      <c r="AB68" s="274">
        <v>30</v>
      </c>
      <c r="AC68" s="274"/>
      <c r="AD68" s="274">
        <v>0</v>
      </c>
      <c r="AE68" s="274"/>
      <c r="AF68" s="275">
        <f t="shared" si="59"/>
        <v>0</v>
      </c>
      <c r="AG68" s="276">
        <f t="shared" si="60"/>
        <v>1</v>
      </c>
      <c r="AH68" s="274">
        <v>30</v>
      </c>
      <c r="AI68" s="274"/>
      <c r="AJ68" s="274">
        <v>30</v>
      </c>
      <c r="AK68" s="274"/>
      <c r="AL68" s="274">
        <v>0</v>
      </c>
      <c r="AM68" s="274"/>
      <c r="AN68" s="275">
        <f t="shared" si="61"/>
        <v>0</v>
      </c>
      <c r="AO68" s="276">
        <f t="shared" si="62"/>
        <v>1</v>
      </c>
      <c r="AP68" s="274">
        <v>30</v>
      </c>
      <c r="AQ68" s="274"/>
      <c r="AR68" s="274">
        <v>30</v>
      </c>
      <c r="AS68" s="274"/>
      <c r="AT68" s="274">
        <v>0</v>
      </c>
      <c r="AU68" s="274"/>
      <c r="AV68" s="275">
        <f t="shared" si="63"/>
        <v>0</v>
      </c>
      <c r="AW68" s="276">
        <f t="shared" si="64"/>
        <v>1</v>
      </c>
      <c r="AX68" s="275">
        <f t="shared" si="65"/>
        <v>45</v>
      </c>
      <c r="AY68" s="274"/>
      <c r="AZ68" s="275">
        <f t="shared" si="66"/>
        <v>45</v>
      </c>
      <c r="BA68" s="274"/>
      <c r="BB68" s="275">
        <f t="shared" si="67"/>
        <v>0</v>
      </c>
      <c r="BC68" s="274"/>
      <c r="BD68" s="275">
        <f t="shared" si="68"/>
        <v>0</v>
      </c>
      <c r="BE68" s="276">
        <f t="shared" si="69"/>
        <v>1</v>
      </c>
      <c r="BF68" s="274">
        <v>35</v>
      </c>
      <c r="BG68" s="274"/>
      <c r="BH68" s="274">
        <v>35</v>
      </c>
      <c r="BI68" s="274"/>
      <c r="BJ68" s="274">
        <v>0</v>
      </c>
      <c r="BK68" s="274"/>
      <c r="BL68" s="275">
        <f t="shared" si="70"/>
        <v>0</v>
      </c>
      <c r="BM68" s="276">
        <f t="shared" si="71"/>
        <v>1</v>
      </c>
      <c r="BN68" s="274">
        <v>10</v>
      </c>
      <c r="BO68" s="274"/>
      <c r="BP68" s="274">
        <v>10</v>
      </c>
      <c r="BQ68" s="274"/>
      <c r="BR68" s="274">
        <v>0</v>
      </c>
      <c r="BS68" s="274"/>
      <c r="BT68" s="275">
        <f t="shared" si="72"/>
        <v>0</v>
      </c>
      <c r="BU68" s="276">
        <f t="shared" si="73"/>
        <v>1</v>
      </c>
      <c r="BV68" s="274">
        <v>0</v>
      </c>
      <c r="BW68" s="274"/>
      <c r="BX68" s="274">
        <v>0</v>
      </c>
      <c r="BY68" s="274"/>
      <c r="BZ68" s="274">
        <v>0</v>
      </c>
      <c r="CA68" s="274"/>
      <c r="CB68" s="275">
        <f t="shared" si="74"/>
        <v>0</v>
      </c>
      <c r="CC68" s="276" t="str">
        <f t="shared" si="75"/>
        <v>-</v>
      </c>
      <c r="CD68" s="275">
        <f t="shared" si="76"/>
        <v>70</v>
      </c>
      <c r="CE68" s="274"/>
      <c r="CF68" s="275">
        <f t="shared" si="77"/>
        <v>70</v>
      </c>
      <c r="CG68" s="274"/>
      <c r="CH68" s="275">
        <f t="shared" si="78"/>
        <v>0</v>
      </c>
      <c r="CI68" s="274"/>
      <c r="CJ68" s="275">
        <f t="shared" si="79"/>
        <v>0</v>
      </c>
      <c r="CK68" s="276">
        <f t="shared" si="80"/>
        <v>1</v>
      </c>
      <c r="CL68" s="274">
        <v>0</v>
      </c>
      <c r="CM68" s="274"/>
      <c r="CN68" s="274">
        <v>0</v>
      </c>
      <c r="CO68" s="274"/>
      <c r="CP68" s="274"/>
      <c r="CQ68" s="274"/>
      <c r="CR68" s="275">
        <f t="shared" si="81"/>
        <v>0</v>
      </c>
      <c r="CS68" s="276" t="str">
        <f t="shared" si="82"/>
        <v>-</v>
      </c>
      <c r="CT68" s="274">
        <v>35</v>
      </c>
      <c r="CU68" s="274"/>
      <c r="CV68" s="274">
        <v>35</v>
      </c>
      <c r="CW68" s="274"/>
      <c r="CX68" s="274"/>
      <c r="CY68" s="274"/>
      <c r="CZ68" s="275">
        <f t="shared" si="83"/>
        <v>0</v>
      </c>
      <c r="DA68" s="276">
        <f t="shared" si="84"/>
        <v>1</v>
      </c>
      <c r="DB68" s="274">
        <v>35</v>
      </c>
      <c r="DC68" s="274"/>
      <c r="DD68" s="274">
        <v>35</v>
      </c>
      <c r="DE68" s="274"/>
      <c r="DF68" s="274"/>
      <c r="DG68" s="274"/>
      <c r="DH68" s="275">
        <f t="shared" si="85"/>
        <v>0</v>
      </c>
      <c r="DI68" s="276">
        <f t="shared" si="86"/>
        <v>1</v>
      </c>
      <c r="DJ68" s="275">
        <f t="shared" si="87"/>
        <v>90</v>
      </c>
      <c r="DK68" s="274"/>
      <c r="DL68" s="275">
        <f t="shared" si="88"/>
        <v>90</v>
      </c>
      <c r="DM68" s="274"/>
      <c r="DN68" s="275">
        <f t="shared" si="89"/>
        <v>0</v>
      </c>
      <c r="DO68" s="274"/>
      <c r="DP68" s="275">
        <f t="shared" si="90"/>
        <v>0</v>
      </c>
      <c r="DQ68" s="276">
        <f t="shared" si="91"/>
        <v>1</v>
      </c>
      <c r="DR68" s="274">
        <v>30</v>
      </c>
      <c r="DS68" s="274"/>
      <c r="DT68" s="274">
        <v>30</v>
      </c>
      <c r="DU68" s="274"/>
      <c r="DV68" s="274"/>
      <c r="DW68" s="274"/>
      <c r="DX68" s="275">
        <f t="shared" si="92"/>
        <v>0</v>
      </c>
      <c r="DY68" s="276">
        <f t="shared" si="93"/>
        <v>1</v>
      </c>
      <c r="DZ68" s="274">
        <v>30</v>
      </c>
      <c r="EA68" s="274"/>
      <c r="EB68" s="274">
        <v>30</v>
      </c>
      <c r="EC68" s="274"/>
      <c r="ED68" s="274"/>
      <c r="EE68" s="274"/>
      <c r="EF68" s="275">
        <f t="shared" si="94"/>
        <v>0</v>
      </c>
      <c r="EG68" s="276">
        <f t="shared" si="95"/>
        <v>1</v>
      </c>
      <c r="EH68" s="274">
        <v>30</v>
      </c>
      <c r="EI68" s="274"/>
      <c r="EJ68" s="274">
        <v>30</v>
      </c>
      <c r="EK68" s="274"/>
      <c r="EL68" s="274"/>
      <c r="EM68" s="274"/>
      <c r="EN68" s="275">
        <f t="shared" si="96"/>
        <v>0</v>
      </c>
      <c r="EO68" s="276">
        <f t="shared" si="97"/>
        <v>1</v>
      </c>
    </row>
    <row r="69" spans="1:145" ht="18.75" customHeight="1" x14ac:dyDescent="0.3">
      <c r="A69" s="264" t="s">
        <v>1658</v>
      </c>
      <c r="B69" s="227" t="s">
        <v>1659</v>
      </c>
      <c r="C69" s="234" t="s">
        <v>1660</v>
      </c>
      <c r="D69" s="234"/>
      <c r="E69" s="235"/>
      <c r="F69" s="232"/>
      <c r="G69" s="236"/>
      <c r="H69" s="243"/>
      <c r="I69" s="252"/>
      <c r="J69" s="275">
        <f t="shared" si="49"/>
        <v>56.4</v>
      </c>
      <c r="K69" s="274"/>
      <c r="L69" s="275">
        <f t="shared" si="50"/>
        <v>56.4</v>
      </c>
      <c r="M69" s="274"/>
      <c r="N69" s="275">
        <f t="shared" si="51"/>
        <v>41.691265999999999</v>
      </c>
      <c r="O69" s="274"/>
      <c r="P69" s="275">
        <f t="shared" si="52"/>
        <v>0</v>
      </c>
      <c r="Q69" s="276">
        <f t="shared" si="53"/>
        <v>1</v>
      </c>
      <c r="R69" s="275">
        <f t="shared" si="54"/>
        <v>6.2</v>
      </c>
      <c r="S69" s="274"/>
      <c r="T69" s="275">
        <f t="shared" si="55"/>
        <v>6.2</v>
      </c>
      <c r="U69" s="274"/>
      <c r="V69" s="275">
        <f t="shared" si="56"/>
        <v>0</v>
      </c>
      <c r="W69" s="274"/>
      <c r="X69" s="275">
        <f t="shared" si="57"/>
        <v>0</v>
      </c>
      <c r="Y69" s="276">
        <f t="shared" si="58"/>
        <v>1</v>
      </c>
      <c r="Z69" s="274">
        <v>1.8</v>
      </c>
      <c r="AA69" s="274"/>
      <c r="AB69" s="274">
        <v>1.8</v>
      </c>
      <c r="AC69" s="274"/>
      <c r="AD69" s="274">
        <v>0</v>
      </c>
      <c r="AE69" s="274"/>
      <c r="AF69" s="275">
        <f t="shared" si="59"/>
        <v>0</v>
      </c>
      <c r="AG69" s="276">
        <f t="shared" si="60"/>
        <v>1</v>
      </c>
      <c r="AH69" s="274">
        <v>1.8</v>
      </c>
      <c r="AI69" s="274"/>
      <c r="AJ69" s="274">
        <v>1.8</v>
      </c>
      <c r="AK69" s="274"/>
      <c r="AL69" s="274">
        <v>0</v>
      </c>
      <c r="AM69" s="274"/>
      <c r="AN69" s="275">
        <f t="shared" si="61"/>
        <v>0</v>
      </c>
      <c r="AO69" s="276">
        <f t="shared" si="62"/>
        <v>1</v>
      </c>
      <c r="AP69" s="274">
        <v>2.6</v>
      </c>
      <c r="AQ69" s="274"/>
      <c r="AR69" s="274">
        <v>2.6</v>
      </c>
      <c r="AS69" s="274"/>
      <c r="AT69" s="274">
        <v>0</v>
      </c>
      <c r="AU69" s="274"/>
      <c r="AV69" s="275">
        <f t="shared" si="63"/>
        <v>0</v>
      </c>
      <c r="AW69" s="276">
        <f t="shared" si="64"/>
        <v>1</v>
      </c>
      <c r="AX69" s="275">
        <f t="shared" si="65"/>
        <v>7.3000000000000007</v>
      </c>
      <c r="AY69" s="274"/>
      <c r="AZ69" s="275">
        <f t="shared" si="66"/>
        <v>7.3000000000000007</v>
      </c>
      <c r="BA69" s="274"/>
      <c r="BB69" s="275">
        <f t="shared" si="67"/>
        <v>41.691265999999999</v>
      </c>
      <c r="BC69" s="274"/>
      <c r="BD69" s="275">
        <f t="shared" si="68"/>
        <v>0</v>
      </c>
      <c r="BE69" s="276">
        <f t="shared" si="69"/>
        <v>1</v>
      </c>
      <c r="BF69" s="274">
        <v>5.4</v>
      </c>
      <c r="BG69" s="274"/>
      <c r="BH69" s="274">
        <v>5.4</v>
      </c>
      <c r="BI69" s="274"/>
      <c r="BJ69" s="274">
        <v>14.394266</v>
      </c>
      <c r="BK69" s="274"/>
      <c r="BL69" s="275">
        <f t="shared" si="70"/>
        <v>0</v>
      </c>
      <c r="BM69" s="276">
        <f t="shared" si="71"/>
        <v>1</v>
      </c>
      <c r="BN69" s="274">
        <v>1.9</v>
      </c>
      <c r="BO69" s="274"/>
      <c r="BP69" s="274">
        <v>1.9</v>
      </c>
      <c r="BQ69" s="274"/>
      <c r="BR69" s="274">
        <v>27.297000000000001</v>
      </c>
      <c r="BS69" s="274"/>
      <c r="BT69" s="275">
        <f t="shared" si="72"/>
        <v>0</v>
      </c>
      <c r="BU69" s="276">
        <f t="shared" si="73"/>
        <v>1</v>
      </c>
      <c r="BV69" s="274">
        <v>0</v>
      </c>
      <c r="BW69" s="274"/>
      <c r="BX69" s="274">
        <v>0</v>
      </c>
      <c r="BY69" s="274"/>
      <c r="BZ69" s="274">
        <v>0</v>
      </c>
      <c r="CA69" s="274"/>
      <c r="CB69" s="275">
        <f t="shared" si="74"/>
        <v>0</v>
      </c>
      <c r="CC69" s="276" t="str">
        <f t="shared" si="75"/>
        <v>-</v>
      </c>
      <c r="CD69" s="275">
        <f t="shared" si="76"/>
        <v>37.5</v>
      </c>
      <c r="CE69" s="274"/>
      <c r="CF69" s="275">
        <f t="shared" si="77"/>
        <v>37.5</v>
      </c>
      <c r="CG69" s="274"/>
      <c r="CH69" s="275">
        <f t="shared" si="78"/>
        <v>0</v>
      </c>
      <c r="CI69" s="274"/>
      <c r="CJ69" s="275">
        <f t="shared" si="79"/>
        <v>0</v>
      </c>
      <c r="CK69" s="276">
        <f t="shared" si="80"/>
        <v>1</v>
      </c>
      <c r="CL69" s="274">
        <v>33.5</v>
      </c>
      <c r="CM69" s="274"/>
      <c r="CN69" s="274">
        <v>33.5</v>
      </c>
      <c r="CO69" s="274"/>
      <c r="CP69" s="274"/>
      <c r="CQ69" s="274"/>
      <c r="CR69" s="275">
        <f t="shared" si="81"/>
        <v>0</v>
      </c>
      <c r="CS69" s="276">
        <f t="shared" si="82"/>
        <v>1</v>
      </c>
      <c r="CT69" s="274">
        <v>2</v>
      </c>
      <c r="CU69" s="274"/>
      <c r="CV69" s="274">
        <v>2</v>
      </c>
      <c r="CW69" s="274"/>
      <c r="CX69" s="274"/>
      <c r="CY69" s="274"/>
      <c r="CZ69" s="275">
        <f t="shared" si="83"/>
        <v>0</v>
      </c>
      <c r="DA69" s="276">
        <f t="shared" si="84"/>
        <v>1</v>
      </c>
      <c r="DB69" s="274">
        <v>2</v>
      </c>
      <c r="DC69" s="274"/>
      <c r="DD69" s="274">
        <v>2</v>
      </c>
      <c r="DE69" s="274"/>
      <c r="DF69" s="274"/>
      <c r="DG69" s="274"/>
      <c r="DH69" s="275">
        <f t="shared" si="85"/>
        <v>0</v>
      </c>
      <c r="DI69" s="276">
        <f t="shared" si="86"/>
        <v>1</v>
      </c>
      <c r="DJ69" s="275">
        <f t="shared" si="87"/>
        <v>5.4</v>
      </c>
      <c r="DK69" s="274"/>
      <c r="DL69" s="275">
        <f t="shared" si="88"/>
        <v>5.4</v>
      </c>
      <c r="DM69" s="274"/>
      <c r="DN69" s="275">
        <f t="shared" si="89"/>
        <v>0</v>
      </c>
      <c r="DO69" s="274"/>
      <c r="DP69" s="275">
        <f t="shared" si="90"/>
        <v>0</v>
      </c>
      <c r="DQ69" s="276">
        <f t="shared" si="91"/>
        <v>1</v>
      </c>
      <c r="DR69" s="274">
        <v>1.8</v>
      </c>
      <c r="DS69" s="274"/>
      <c r="DT69" s="274">
        <v>1.8</v>
      </c>
      <c r="DU69" s="274"/>
      <c r="DV69" s="274"/>
      <c r="DW69" s="274"/>
      <c r="DX69" s="275">
        <f t="shared" si="92"/>
        <v>0</v>
      </c>
      <c r="DY69" s="276">
        <f t="shared" si="93"/>
        <v>1</v>
      </c>
      <c r="DZ69" s="274">
        <v>1.8</v>
      </c>
      <c r="EA69" s="274"/>
      <c r="EB69" s="274">
        <v>1.8</v>
      </c>
      <c r="EC69" s="274"/>
      <c r="ED69" s="274"/>
      <c r="EE69" s="274"/>
      <c r="EF69" s="275">
        <f t="shared" si="94"/>
        <v>0</v>
      </c>
      <c r="EG69" s="276">
        <f t="shared" si="95"/>
        <v>1</v>
      </c>
      <c r="EH69" s="274">
        <v>1.8</v>
      </c>
      <c r="EI69" s="274"/>
      <c r="EJ69" s="274">
        <v>1.8</v>
      </c>
      <c r="EK69" s="274"/>
      <c r="EL69" s="274"/>
      <c r="EM69" s="274"/>
      <c r="EN69" s="275">
        <f t="shared" si="96"/>
        <v>0</v>
      </c>
      <c r="EO69" s="276">
        <f t="shared" si="97"/>
        <v>1</v>
      </c>
    </row>
    <row r="70" spans="1:145" ht="18.75" customHeight="1" x14ac:dyDescent="0.3">
      <c r="A70" s="264" t="s">
        <v>1661</v>
      </c>
      <c r="B70" s="227" t="s">
        <v>1662</v>
      </c>
      <c r="C70" s="234" t="s">
        <v>1663</v>
      </c>
      <c r="D70" s="234"/>
      <c r="E70" s="235"/>
      <c r="F70" s="232"/>
      <c r="G70" s="236"/>
      <c r="H70" s="243"/>
      <c r="I70" s="252"/>
      <c r="J70" s="275">
        <f t="shared" ref="J70:J80" si="98">R70+AX70+CD70+DJ70</f>
        <v>0</v>
      </c>
      <c r="K70" s="274"/>
      <c r="L70" s="275">
        <f t="shared" ref="L70:L80" si="99">T70+AZ70+CF70+DL70</f>
        <v>0</v>
      </c>
      <c r="M70" s="274"/>
      <c r="N70" s="275">
        <f t="shared" ref="N70:N80" si="100">V70+BB70+CH70+DN70</f>
        <v>22.136188000000001</v>
      </c>
      <c r="O70" s="274"/>
      <c r="P70" s="275">
        <f t="shared" ref="P70:P81" si="101">IFERROR(L70-J70,"-")</f>
        <v>0</v>
      </c>
      <c r="Q70" s="276" t="str">
        <f t="shared" ref="Q70:Q81" si="102">IFERROR(L70/J70,"-")</f>
        <v>-</v>
      </c>
      <c r="R70" s="275">
        <f t="shared" ref="R70:R80" si="103">Z70+AH70+AP70</f>
        <v>0</v>
      </c>
      <c r="S70" s="274"/>
      <c r="T70" s="275">
        <f t="shared" ref="T70:T80" si="104">AB70+AJ70+AR70</f>
        <v>0</v>
      </c>
      <c r="U70" s="274"/>
      <c r="V70" s="275">
        <f t="shared" ref="V70:V80" si="105">AD70+AL70+AT70</f>
        <v>0</v>
      </c>
      <c r="W70" s="274"/>
      <c r="X70" s="275">
        <f t="shared" ref="X70:X81" si="106">IFERROR(T70-R70,"-")</f>
        <v>0</v>
      </c>
      <c r="Y70" s="276" t="str">
        <f t="shared" ref="Y70:Y81" si="107">IFERROR(T70/R70,"-")</f>
        <v>-</v>
      </c>
      <c r="Z70" s="274">
        <v>0</v>
      </c>
      <c r="AA70" s="274"/>
      <c r="AB70" s="274">
        <v>0</v>
      </c>
      <c r="AC70" s="274"/>
      <c r="AD70" s="274">
        <v>0</v>
      </c>
      <c r="AE70" s="274"/>
      <c r="AF70" s="275">
        <f t="shared" ref="AF70:AF81" si="108">IFERROR(AB70-Z70,"-")</f>
        <v>0</v>
      </c>
      <c r="AG70" s="276" t="str">
        <f t="shared" ref="AG70:AG81" si="109">IFERROR(AB70/Z70,"-")</f>
        <v>-</v>
      </c>
      <c r="AH70" s="274">
        <v>0</v>
      </c>
      <c r="AI70" s="274"/>
      <c r="AJ70" s="274">
        <v>0</v>
      </c>
      <c r="AK70" s="274"/>
      <c r="AL70" s="274">
        <v>0</v>
      </c>
      <c r="AM70" s="274"/>
      <c r="AN70" s="275">
        <f t="shared" ref="AN70:AN81" si="110">IFERROR(AJ70-AH70,"-")</f>
        <v>0</v>
      </c>
      <c r="AO70" s="276" t="str">
        <f t="shared" ref="AO70:AO81" si="111">IFERROR(AJ70/AH70,"-")</f>
        <v>-</v>
      </c>
      <c r="AP70" s="274">
        <v>0</v>
      </c>
      <c r="AQ70" s="274"/>
      <c r="AR70" s="274">
        <v>0</v>
      </c>
      <c r="AS70" s="274"/>
      <c r="AT70" s="274">
        <v>0</v>
      </c>
      <c r="AU70" s="274"/>
      <c r="AV70" s="275">
        <f t="shared" ref="AV70:AV81" si="112">IFERROR(AR70-AP70,"-")</f>
        <v>0</v>
      </c>
      <c r="AW70" s="276" t="str">
        <f t="shared" ref="AW70:AW81" si="113">IFERROR(AR70/AP70,"-")</f>
        <v>-</v>
      </c>
      <c r="AX70" s="275">
        <f t="shared" ref="AX70:AX80" si="114">BF70+BN70+BV70</f>
        <v>0</v>
      </c>
      <c r="AY70" s="274"/>
      <c r="AZ70" s="275">
        <f t="shared" ref="AZ70:AZ80" si="115">BH70+BP70+BX70</f>
        <v>0</v>
      </c>
      <c r="BA70" s="274"/>
      <c r="BB70" s="275">
        <f t="shared" ref="BB70:BB80" si="116">BJ70+BR70+BZ70</f>
        <v>22.136188000000001</v>
      </c>
      <c r="BC70" s="274"/>
      <c r="BD70" s="275">
        <f t="shared" ref="BD70:BD81" si="117">IFERROR(AZ70-AX70,"-")</f>
        <v>0</v>
      </c>
      <c r="BE70" s="276" t="str">
        <f t="shared" ref="BE70:BE81" si="118">IFERROR(AZ70/AX70,"-")</f>
        <v>-</v>
      </c>
      <c r="BF70" s="274">
        <v>0</v>
      </c>
      <c r="BG70" s="274"/>
      <c r="BH70" s="274">
        <v>0</v>
      </c>
      <c r="BI70" s="274"/>
      <c r="BJ70" s="274">
        <v>8.4191880000000001</v>
      </c>
      <c r="BK70" s="274"/>
      <c r="BL70" s="275">
        <f t="shared" ref="BL70:BL81" si="119">IFERROR(BH70-BF70,"-")</f>
        <v>0</v>
      </c>
      <c r="BM70" s="276" t="str">
        <f t="shared" ref="BM70:BM81" si="120">IFERROR(BH70/BF70,"-")</f>
        <v>-</v>
      </c>
      <c r="BN70" s="274">
        <v>0</v>
      </c>
      <c r="BO70" s="274"/>
      <c r="BP70" s="274">
        <v>0</v>
      </c>
      <c r="BQ70" s="274"/>
      <c r="BR70" s="274">
        <v>13.717000000000001</v>
      </c>
      <c r="BS70" s="274"/>
      <c r="BT70" s="275">
        <f t="shared" ref="BT70:BT81" si="121">IFERROR(BP70-BN70,"-")</f>
        <v>0</v>
      </c>
      <c r="BU70" s="276" t="str">
        <f t="shared" ref="BU70:BU81" si="122">IFERROR(BP70/BN70,"-")</f>
        <v>-</v>
      </c>
      <c r="BV70" s="274">
        <v>0</v>
      </c>
      <c r="BW70" s="274"/>
      <c r="BX70" s="274">
        <v>0</v>
      </c>
      <c r="BY70" s="274"/>
      <c r="BZ70" s="274">
        <v>0</v>
      </c>
      <c r="CA70" s="274"/>
      <c r="CB70" s="275">
        <f t="shared" ref="CB70:CB81" si="123">IFERROR(BX70-BV70,"-")</f>
        <v>0</v>
      </c>
      <c r="CC70" s="276" t="str">
        <f t="shared" ref="CC70:CC81" si="124">IFERROR(BX70/BV70,"-")</f>
        <v>-</v>
      </c>
      <c r="CD70" s="275">
        <f t="shared" ref="CD70:CD80" si="125">CL70+CT70+DB70</f>
        <v>0</v>
      </c>
      <c r="CE70" s="274"/>
      <c r="CF70" s="275">
        <f t="shared" ref="CF70:CF80" si="126">CN70+CV70+DD70</f>
        <v>0</v>
      </c>
      <c r="CG70" s="274"/>
      <c r="CH70" s="275">
        <f t="shared" ref="CH70:CH80" si="127">CP70+CX70+DF70</f>
        <v>0</v>
      </c>
      <c r="CI70" s="274"/>
      <c r="CJ70" s="275">
        <f t="shared" ref="CJ70:CJ81" si="128">IFERROR(CF70-CD70,"-")</f>
        <v>0</v>
      </c>
      <c r="CK70" s="276" t="str">
        <f t="shared" ref="CK70:CK81" si="129">IFERROR(CF70/CD70,"-")</f>
        <v>-</v>
      </c>
      <c r="CL70" s="274">
        <v>0</v>
      </c>
      <c r="CM70" s="274"/>
      <c r="CN70" s="274">
        <v>0</v>
      </c>
      <c r="CO70" s="274"/>
      <c r="CP70" s="274"/>
      <c r="CQ70" s="274"/>
      <c r="CR70" s="275">
        <f t="shared" ref="CR70:CR81" si="130">IFERROR(CN70-CL70,"-")</f>
        <v>0</v>
      </c>
      <c r="CS70" s="276" t="str">
        <f t="shared" ref="CS70:CS81" si="131">IFERROR(CN70/CL70,"-")</f>
        <v>-</v>
      </c>
      <c r="CT70" s="274">
        <v>0</v>
      </c>
      <c r="CU70" s="274"/>
      <c r="CV70" s="274">
        <v>0</v>
      </c>
      <c r="CW70" s="274"/>
      <c r="CX70" s="274"/>
      <c r="CY70" s="274"/>
      <c r="CZ70" s="275">
        <f t="shared" ref="CZ70:CZ81" si="132">IFERROR(CV70-CT70,"-")</f>
        <v>0</v>
      </c>
      <c r="DA70" s="276" t="str">
        <f t="shared" ref="DA70:DA81" si="133">IFERROR(CV70/CT70,"-")</f>
        <v>-</v>
      </c>
      <c r="DB70" s="274">
        <v>0</v>
      </c>
      <c r="DC70" s="274"/>
      <c r="DD70" s="274">
        <v>0</v>
      </c>
      <c r="DE70" s="274"/>
      <c r="DF70" s="274"/>
      <c r="DG70" s="274"/>
      <c r="DH70" s="275">
        <f t="shared" ref="DH70:DH81" si="134">IFERROR(DD70-DB70,"-")</f>
        <v>0</v>
      </c>
      <c r="DI70" s="276" t="str">
        <f t="shared" ref="DI70:DI81" si="135">IFERROR(DD70/DB70,"-")</f>
        <v>-</v>
      </c>
      <c r="DJ70" s="275">
        <f t="shared" ref="DJ70:DJ80" si="136">DR70+DZ70+EH70</f>
        <v>0</v>
      </c>
      <c r="DK70" s="274"/>
      <c r="DL70" s="275">
        <f t="shared" ref="DL70:DL80" si="137">DT70+EB70+EJ70</f>
        <v>0</v>
      </c>
      <c r="DM70" s="274"/>
      <c r="DN70" s="275">
        <f t="shared" ref="DN70:DN80" si="138">DV70+ED70+EL70</f>
        <v>0</v>
      </c>
      <c r="DO70" s="274"/>
      <c r="DP70" s="275">
        <f t="shared" ref="DP70:DP81" si="139">IFERROR(DL70-DJ70,"-")</f>
        <v>0</v>
      </c>
      <c r="DQ70" s="276" t="str">
        <f t="shared" ref="DQ70:DQ81" si="140">IFERROR(DL70/DJ70,"-")</f>
        <v>-</v>
      </c>
      <c r="DR70" s="274">
        <v>0</v>
      </c>
      <c r="DS70" s="274"/>
      <c r="DT70" s="274">
        <v>0</v>
      </c>
      <c r="DU70" s="274"/>
      <c r="DV70" s="274"/>
      <c r="DW70" s="274"/>
      <c r="DX70" s="275">
        <f t="shared" ref="DX70:DX81" si="141">IFERROR(DT70-DR70,"-")</f>
        <v>0</v>
      </c>
      <c r="DY70" s="276" t="str">
        <f t="shared" ref="DY70:DY81" si="142">IFERROR(DT70/DR70,"-")</f>
        <v>-</v>
      </c>
      <c r="DZ70" s="274">
        <v>0</v>
      </c>
      <c r="EA70" s="274"/>
      <c r="EB70" s="274">
        <v>0</v>
      </c>
      <c r="EC70" s="274"/>
      <c r="ED70" s="274"/>
      <c r="EE70" s="274"/>
      <c r="EF70" s="275">
        <f t="shared" ref="EF70:EF81" si="143">IFERROR(EB70-DZ70,"-")</f>
        <v>0</v>
      </c>
      <c r="EG70" s="276" t="str">
        <f t="shared" ref="EG70:EG81" si="144">IFERROR(EB70/DZ70,"-")</f>
        <v>-</v>
      </c>
      <c r="EH70" s="274">
        <v>0</v>
      </c>
      <c r="EI70" s="274"/>
      <c r="EJ70" s="274">
        <v>0</v>
      </c>
      <c r="EK70" s="274"/>
      <c r="EL70" s="274"/>
      <c r="EM70" s="274"/>
      <c r="EN70" s="275">
        <f t="shared" ref="EN70:EN81" si="145">IFERROR(EJ70-EH70,"-")</f>
        <v>0</v>
      </c>
      <c r="EO70" s="276" t="str">
        <f t="shared" ref="EO70:EO81" si="146">IFERROR(EJ70/EH70,"-")</f>
        <v>-</v>
      </c>
    </row>
    <row r="71" spans="1:145" ht="18.75" customHeight="1" x14ac:dyDescent="0.3">
      <c r="A71" s="264" t="s">
        <v>1664</v>
      </c>
      <c r="B71" s="227" t="s">
        <v>1665</v>
      </c>
      <c r="C71" s="234" t="s">
        <v>1666</v>
      </c>
      <c r="D71" s="234"/>
      <c r="E71" s="235"/>
      <c r="F71" s="232"/>
      <c r="G71" s="236"/>
      <c r="H71" s="243"/>
      <c r="I71" s="252"/>
      <c r="J71" s="275">
        <f t="shared" si="98"/>
        <v>0</v>
      </c>
      <c r="K71" s="274"/>
      <c r="L71" s="275">
        <f t="shared" si="99"/>
        <v>0</v>
      </c>
      <c r="M71" s="274"/>
      <c r="N71" s="275">
        <f t="shared" si="100"/>
        <v>6.3231650000000004</v>
      </c>
      <c r="O71" s="274"/>
      <c r="P71" s="275">
        <f t="shared" si="101"/>
        <v>0</v>
      </c>
      <c r="Q71" s="276" t="str">
        <f t="shared" si="102"/>
        <v>-</v>
      </c>
      <c r="R71" s="275">
        <f t="shared" si="103"/>
        <v>0</v>
      </c>
      <c r="S71" s="274"/>
      <c r="T71" s="275">
        <f t="shared" si="104"/>
        <v>0</v>
      </c>
      <c r="U71" s="274"/>
      <c r="V71" s="275">
        <f t="shared" si="105"/>
        <v>0</v>
      </c>
      <c r="W71" s="274"/>
      <c r="X71" s="275">
        <f t="shared" si="106"/>
        <v>0</v>
      </c>
      <c r="Y71" s="276" t="str">
        <f t="shared" si="107"/>
        <v>-</v>
      </c>
      <c r="Z71" s="274">
        <v>0</v>
      </c>
      <c r="AA71" s="274"/>
      <c r="AB71" s="274">
        <v>0</v>
      </c>
      <c r="AC71" s="274"/>
      <c r="AD71" s="274">
        <v>0</v>
      </c>
      <c r="AE71" s="274"/>
      <c r="AF71" s="275">
        <f t="shared" si="108"/>
        <v>0</v>
      </c>
      <c r="AG71" s="276" t="str">
        <f t="shared" si="109"/>
        <v>-</v>
      </c>
      <c r="AH71" s="274">
        <v>0</v>
      </c>
      <c r="AI71" s="274"/>
      <c r="AJ71" s="274">
        <v>0</v>
      </c>
      <c r="AK71" s="274"/>
      <c r="AL71" s="274">
        <v>0</v>
      </c>
      <c r="AM71" s="274"/>
      <c r="AN71" s="275">
        <f t="shared" si="110"/>
        <v>0</v>
      </c>
      <c r="AO71" s="276" t="str">
        <f t="shared" si="111"/>
        <v>-</v>
      </c>
      <c r="AP71" s="274">
        <v>0</v>
      </c>
      <c r="AQ71" s="274"/>
      <c r="AR71" s="274">
        <v>0</v>
      </c>
      <c r="AS71" s="274"/>
      <c r="AT71" s="274">
        <v>0</v>
      </c>
      <c r="AU71" s="274"/>
      <c r="AV71" s="275">
        <f t="shared" si="112"/>
        <v>0</v>
      </c>
      <c r="AW71" s="276" t="str">
        <f t="shared" si="113"/>
        <v>-</v>
      </c>
      <c r="AX71" s="275">
        <f t="shared" si="114"/>
        <v>0</v>
      </c>
      <c r="AY71" s="274"/>
      <c r="AZ71" s="275">
        <f t="shared" si="115"/>
        <v>0</v>
      </c>
      <c r="BA71" s="274"/>
      <c r="BB71" s="275">
        <f t="shared" si="116"/>
        <v>6.3231650000000004</v>
      </c>
      <c r="BC71" s="274"/>
      <c r="BD71" s="275">
        <f t="shared" si="117"/>
        <v>0</v>
      </c>
      <c r="BE71" s="276" t="str">
        <f t="shared" si="118"/>
        <v>-</v>
      </c>
      <c r="BF71" s="274">
        <v>0</v>
      </c>
      <c r="BG71" s="274"/>
      <c r="BH71" s="274">
        <v>0</v>
      </c>
      <c r="BI71" s="274"/>
      <c r="BJ71" s="274">
        <v>4.7831650000000003</v>
      </c>
      <c r="BK71" s="274"/>
      <c r="BL71" s="275">
        <f t="shared" si="119"/>
        <v>0</v>
      </c>
      <c r="BM71" s="276" t="str">
        <f t="shared" si="120"/>
        <v>-</v>
      </c>
      <c r="BN71" s="274">
        <v>0</v>
      </c>
      <c r="BO71" s="274"/>
      <c r="BP71" s="274">
        <v>0</v>
      </c>
      <c r="BQ71" s="274"/>
      <c r="BR71" s="274">
        <v>1.54</v>
      </c>
      <c r="BS71" s="274"/>
      <c r="BT71" s="275">
        <f t="shared" si="121"/>
        <v>0</v>
      </c>
      <c r="BU71" s="276" t="str">
        <f t="shared" si="122"/>
        <v>-</v>
      </c>
      <c r="BV71" s="274">
        <v>0</v>
      </c>
      <c r="BW71" s="274"/>
      <c r="BX71" s="274">
        <v>0</v>
      </c>
      <c r="BY71" s="274"/>
      <c r="BZ71" s="274">
        <v>0</v>
      </c>
      <c r="CA71" s="274"/>
      <c r="CB71" s="275">
        <f t="shared" si="123"/>
        <v>0</v>
      </c>
      <c r="CC71" s="276" t="str">
        <f t="shared" si="124"/>
        <v>-</v>
      </c>
      <c r="CD71" s="275">
        <f t="shared" si="125"/>
        <v>0</v>
      </c>
      <c r="CE71" s="274"/>
      <c r="CF71" s="275">
        <f t="shared" si="126"/>
        <v>0</v>
      </c>
      <c r="CG71" s="274"/>
      <c r="CH71" s="275">
        <f t="shared" si="127"/>
        <v>0</v>
      </c>
      <c r="CI71" s="274"/>
      <c r="CJ71" s="275">
        <f t="shared" si="128"/>
        <v>0</v>
      </c>
      <c r="CK71" s="276" t="str">
        <f t="shared" si="129"/>
        <v>-</v>
      </c>
      <c r="CL71" s="274">
        <v>0</v>
      </c>
      <c r="CM71" s="274"/>
      <c r="CN71" s="274">
        <v>0</v>
      </c>
      <c r="CO71" s="274"/>
      <c r="CP71" s="274"/>
      <c r="CQ71" s="274"/>
      <c r="CR71" s="275">
        <f t="shared" si="130"/>
        <v>0</v>
      </c>
      <c r="CS71" s="276" t="str">
        <f t="shared" si="131"/>
        <v>-</v>
      </c>
      <c r="CT71" s="274">
        <v>0</v>
      </c>
      <c r="CU71" s="274"/>
      <c r="CV71" s="274">
        <v>0</v>
      </c>
      <c r="CW71" s="274"/>
      <c r="CX71" s="274"/>
      <c r="CY71" s="274"/>
      <c r="CZ71" s="275">
        <f t="shared" si="132"/>
        <v>0</v>
      </c>
      <c r="DA71" s="276" t="str">
        <f t="shared" si="133"/>
        <v>-</v>
      </c>
      <c r="DB71" s="274">
        <v>0</v>
      </c>
      <c r="DC71" s="274"/>
      <c r="DD71" s="274">
        <v>0</v>
      </c>
      <c r="DE71" s="274"/>
      <c r="DF71" s="274"/>
      <c r="DG71" s="274"/>
      <c r="DH71" s="275">
        <f t="shared" si="134"/>
        <v>0</v>
      </c>
      <c r="DI71" s="276" t="str">
        <f t="shared" si="135"/>
        <v>-</v>
      </c>
      <c r="DJ71" s="275">
        <f t="shared" si="136"/>
        <v>0</v>
      </c>
      <c r="DK71" s="274"/>
      <c r="DL71" s="275">
        <f t="shared" si="137"/>
        <v>0</v>
      </c>
      <c r="DM71" s="274"/>
      <c r="DN71" s="275">
        <f t="shared" si="138"/>
        <v>0</v>
      </c>
      <c r="DO71" s="274"/>
      <c r="DP71" s="275">
        <f t="shared" si="139"/>
        <v>0</v>
      </c>
      <c r="DQ71" s="276" t="str">
        <f t="shared" si="140"/>
        <v>-</v>
      </c>
      <c r="DR71" s="274">
        <v>0</v>
      </c>
      <c r="DS71" s="274"/>
      <c r="DT71" s="274">
        <v>0</v>
      </c>
      <c r="DU71" s="274"/>
      <c r="DV71" s="274"/>
      <c r="DW71" s="274"/>
      <c r="DX71" s="275">
        <f t="shared" si="141"/>
        <v>0</v>
      </c>
      <c r="DY71" s="276" t="str">
        <f t="shared" si="142"/>
        <v>-</v>
      </c>
      <c r="DZ71" s="274">
        <v>0</v>
      </c>
      <c r="EA71" s="274"/>
      <c r="EB71" s="274">
        <v>0</v>
      </c>
      <c r="EC71" s="274"/>
      <c r="ED71" s="274"/>
      <c r="EE71" s="274"/>
      <c r="EF71" s="275">
        <f t="shared" si="143"/>
        <v>0</v>
      </c>
      <c r="EG71" s="276" t="str">
        <f t="shared" si="144"/>
        <v>-</v>
      </c>
      <c r="EH71" s="274">
        <v>0</v>
      </c>
      <c r="EI71" s="274"/>
      <c r="EJ71" s="274">
        <v>0</v>
      </c>
      <c r="EK71" s="274"/>
      <c r="EL71" s="274"/>
      <c r="EM71" s="274"/>
      <c r="EN71" s="275">
        <f t="shared" si="145"/>
        <v>0</v>
      </c>
      <c r="EO71" s="276" t="str">
        <f t="shared" si="146"/>
        <v>-</v>
      </c>
    </row>
    <row r="72" spans="1:145" ht="18.75" customHeight="1" x14ac:dyDescent="0.3">
      <c r="A72" s="264" t="s">
        <v>1667</v>
      </c>
      <c r="B72" s="227" t="s">
        <v>1668</v>
      </c>
      <c r="C72" s="234" t="s">
        <v>1669</v>
      </c>
      <c r="D72" s="234"/>
      <c r="E72" s="235"/>
      <c r="F72" s="232"/>
      <c r="G72" s="236"/>
      <c r="H72" s="243"/>
      <c r="I72" s="252"/>
      <c r="J72" s="275">
        <f t="shared" si="98"/>
        <v>628.9</v>
      </c>
      <c r="K72" s="274"/>
      <c r="L72" s="275">
        <f t="shared" si="99"/>
        <v>628.9</v>
      </c>
      <c r="M72" s="274"/>
      <c r="N72" s="275">
        <f t="shared" si="100"/>
        <v>0</v>
      </c>
      <c r="O72" s="274"/>
      <c r="P72" s="275">
        <f t="shared" si="101"/>
        <v>0</v>
      </c>
      <c r="Q72" s="276">
        <f t="shared" si="102"/>
        <v>1</v>
      </c>
      <c r="R72" s="275">
        <f t="shared" si="103"/>
        <v>200.79999999999998</v>
      </c>
      <c r="S72" s="274"/>
      <c r="T72" s="275">
        <f t="shared" si="104"/>
        <v>200.79999999999998</v>
      </c>
      <c r="U72" s="274"/>
      <c r="V72" s="275">
        <f t="shared" si="105"/>
        <v>0</v>
      </c>
      <c r="W72" s="274"/>
      <c r="X72" s="275">
        <f t="shared" si="106"/>
        <v>0</v>
      </c>
      <c r="Y72" s="276">
        <f t="shared" si="107"/>
        <v>1</v>
      </c>
      <c r="Z72" s="274">
        <v>69.7</v>
      </c>
      <c r="AA72" s="274"/>
      <c r="AB72" s="274">
        <v>69.7</v>
      </c>
      <c r="AC72" s="274"/>
      <c r="AD72" s="274">
        <v>0</v>
      </c>
      <c r="AE72" s="274"/>
      <c r="AF72" s="275">
        <f t="shared" si="108"/>
        <v>0</v>
      </c>
      <c r="AG72" s="276">
        <f t="shared" si="109"/>
        <v>1</v>
      </c>
      <c r="AH72" s="274">
        <v>62.5</v>
      </c>
      <c r="AI72" s="274"/>
      <c r="AJ72" s="274">
        <v>62.5</v>
      </c>
      <c r="AK72" s="274"/>
      <c r="AL72" s="274">
        <v>0</v>
      </c>
      <c r="AM72" s="274"/>
      <c r="AN72" s="275">
        <f t="shared" si="110"/>
        <v>0</v>
      </c>
      <c r="AO72" s="276">
        <f t="shared" si="111"/>
        <v>1</v>
      </c>
      <c r="AP72" s="274">
        <v>68.599999999999994</v>
      </c>
      <c r="AQ72" s="274"/>
      <c r="AR72" s="274">
        <v>68.599999999999994</v>
      </c>
      <c r="AS72" s="274"/>
      <c r="AT72" s="274">
        <v>0</v>
      </c>
      <c r="AU72" s="274"/>
      <c r="AV72" s="275">
        <f t="shared" si="112"/>
        <v>0</v>
      </c>
      <c r="AW72" s="276">
        <f t="shared" si="113"/>
        <v>1</v>
      </c>
      <c r="AX72" s="275">
        <f t="shared" si="114"/>
        <v>73.599999999999994</v>
      </c>
      <c r="AY72" s="274"/>
      <c r="AZ72" s="275">
        <f t="shared" si="115"/>
        <v>73.599999999999994</v>
      </c>
      <c r="BA72" s="274"/>
      <c r="BB72" s="275">
        <f t="shared" si="116"/>
        <v>0</v>
      </c>
      <c r="BC72" s="274"/>
      <c r="BD72" s="275">
        <f t="shared" si="117"/>
        <v>0</v>
      </c>
      <c r="BE72" s="276">
        <f t="shared" si="118"/>
        <v>1</v>
      </c>
      <c r="BF72" s="274">
        <v>56.9</v>
      </c>
      <c r="BG72" s="274"/>
      <c r="BH72" s="274">
        <v>56.9</v>
      </c>
      <c r="BI72" s="274"/>
      <c r="BJ72" s="274">
        <v>0</v>
      </c>
      <c r="BK72" s="274"/>
      <c r="BL72" s="275">
        <f t="shared" si="119"/>
        <v>0</v>
      </c>
      <c r="BM72" s="276">
        <f t="shared" si="120"/>
        <v>1</v>
      </c>
      <c r="BN72" s="274">
        <v>16.7</v>
      </c>
      <c r="BO72" s="274"/>
      <c r="BP72" s="274">
        <v>16.7</v>
      </c>
      <c r="BQ72" s="274"/>
      <c r="BR72" s="274">
        <v>0</v>
      </c>
      <c r="BS72" s="274"/>
      <c r="BT72" s="275">
        <f t="shared" si="121"/>
        <v>0</v>
      </c>
      <c r="BU72" s="276">
        <f t="shared" si="122"/>
        <v>1</v>
      </c>
      <c r="BV72" s="274">
        <v>0</v>
      </c>
      <c r="BW72" s="274"/>
      <c r="BX72" s="274">
        <v>0</v>
      </c>
      <c r="BY72" s="274"/>
      <c r="BZ72" s="274">
        <v>0</v>
      </c>
      <c r="CA72" s="274"/>
      <c r="CB72" s="275">
        <f t="shared" si="123"/>
        <v>0</v>
      </c>
      <c r="CC72" s="276" t="str">
        <f t="shared" si="124"/>
        <v>-</v>
      </c>
      <c r="CD72" s="275">
        <f t="shared" si="125"/>
        <v>156.60000000000002</v>
      </c>
      <c r="CE72" s="274"/>
      <c r="CF72" s="275">
        <f t="shared" si="126"/>
        <v>156.60000000000002</v>
      </c>
      <c r="CG72" s="274"/>
      <c r="CH72" s="275">
        <f t="shared" si="127"/>
        <v>0</v>
      </c>
      <c r="CI72" s="274"/>
      <c r="CJ72" s="275">
        <f t="shared" si="128"/>
        <v>0</v>
      </c>
      <c r="CK72" s="276">
        <f t="shared" si="129"/>
        <v>1</v>
      </c>
      <c r="CL72" s="274">
        <v>37.1</v>
      </c>
      <c r="CM72" s="274"/>
      <c r="CN72" s="274">
        <v>37.1</v>
      </c>
      <c r="CO72" s="274"/>
      <c r="CP72" s="274"/>
      <c r="CQ72" s="274"/>
      <c r="CR72" s="275">
        <f t="shared" si="130"/>
        <v>0</v>
      </c>
      <c r="CS72" s="276">
        <f t="shared" si="131"/>
        <v>1</v>
      </c>
      <c r="CT72" s="274">
        <v>60.7</v>
      </c>
      <c r="CU72" s="274"/>
      <c r="CV72" s="274">
        <v>60.7</v>
      </c>
      <c r="CW72" s="274"/>
      <c r="CX72" s="274"/>
      <c r="CY72" s="274"/>
      <c r="CZ72" s="275">
        <f t="shared" si="132"/>
        <v>0</v>
      </c>
      <c r="DA72" s="276">
        <f t="shared" si="133"/>
        <v>1</v>
      </c>
      <c r="DB72" s="274">
        <v>58.8</v>
      </c>
      <c r="DC72" s="274"/>
      <c r="DD72" s="274">
        <v>58.8</v>
      </c>
      <c r="DE72" s="274"/>
      <c r="DF72" s="274"/>
      <c r="DG72" s="274"/>
      <c r="DH72" s="275">
        <f t="shared" si="134"/>
        <v>0</v>
      </c>
      <c r="DI72" s="276">
        <f t="shared" si="135"/>
        <v>1</v>
      </c>
      <c r="DJ72" s="275">
        <f t="shared" si="136"/>
        <v>197.89999999999998</v>
      </c>
      <c r="DK72" s="274"/>
      <c r="DL72" s="275">
        <f t="shared" si="137"/>
        <v>197.89999999999998</v>
      </c>
      <c r="DM72" s="274"/>
      <c r="DN72" s="275">
        <f t="shared" si="138"/>
        <v>0</v>
      </c>
      <c r="DO72" s="274"/>
      <c r="DP72" s="275">
        <f t="shared" si="139"/>
        <v>0</v>
      </c>
      <c r="DQ72" s="276">
        <f t="shared" si="140"/>
        <v>1</v>
      </c>
      <c r="DR72" s="274">
        <v>60.8</v>
      </c>
      <c r="DS72" s="274"/>
      <c r="DT72" s="274">
        <v>60.8</v>
      </c>
      <c r="DU72" s="274"/>
      <c r="DV72" s="274"/>
      <c r="DW72" s="274"/>
      <c r="DX72" s="275">
        <f t="shared" si="141"/>
        <v>0</v>
      </c>
      <c r="DY72" s="276">
        <f t="shared" si="142"/>
        <v>1</v>
      </c>
      <c r="DZ72" s="274">
        <v>67.400000000000006</v>
      </c>
      <c r="EA72" s="274"/>
      <c r="EB72" s="274">
        <v>67.400000000000006</v>
      </c>
      <c r="EC72" s="274"/>
      <c r="ED72" s="274"/>
      <c r="EE72" s="274"/>
      <c r="EF72" s="275">
        <f t="shared" si="143"/>
        <v>0</v>
      </c>
      <c r="EG72" s="276">
        <f t="shared" si="144"/>
        <v>1</v>
      </c>
      <c r="EH72" s="274">
        <v>69.7</v>
      </c>
      <c r="EI72" s="274"/>
      <c r="EJ72" s="274">
        <v>69.7</v>
      </c>
      <c r="EK72" s="274"/>
      <c r="EL72" s="274"/>
      <c r="EM72" s="274"/>
      <c r="EN72" s="275">
        <f t="shared" si="145"/>
        <v>0</v>
      </c>
      <c r="EO72" s="276">
        <f t="shared" si="146"/>
        <v>1</v>
      </c>
    </row>
    <row r="73" spans="1:145" ht="18.75" customHeight="1" x14ac:dyDescent="0.3">
      <c r="A73" s="264" t="s">
        <v>1670</v>
      </c>
      <c r="B73" s="227" t="s">
        <v>1671</v>
      </c>
      <c r="C73" s="234" t="s">
        <v>1672</v>
      </c>
      <c r="D73" s="234"/>
      <c r="E73" s="235"/>
      <c r="F73" s="232"/>
      <c r="G73" s="236"/>
      <c r="H73" s="243"/>
      <c r="I73" s="252"/>
      <c r="J73" s="275">
        <f t="shared" si="98"/>
        <v>336.5</v>
      </c>
      <c r="K73" s="274"/>
      <c r="L73" s="275">
        <f t="shared" si="99"/>
        <v>336.5</v>
      </c>
      <c r="M73" s="274"/>
      <c r="N73" s="275">
        <f t="shared" si="100"/>
        <v>9.4949999999999992</v>
      </c>
      <c r="O73" s="274"/>
      <c r="P73" s="275">
        <f t="shared" si="101"/>
        <v>0</v>
      </c>
      <c r="Q73" s="276">
        <f t="shared" si="102"/>
        <v>1</v>
      </c>
      <c r="R73" s="275">
        <f t="shared" si="103"/>
        <v>100.8</v>
      </c>
      <c r="S73" s="274"/>
      <c r="T73" s="275">
        <f t="shared" si="104"/>
        <v>100.8</v>
      </c>
      <c r="U73" s="274"/>
      <c r="V73" s="275">
        <f t="shared" si="105"/>
        <v>0</v>
      </c>
      <c r="W73" s="274"/>
      <c r="X73" s="275">
        <f t="shared" si="106"/>
        <v>0</v>
      </c>
      <c r="Y73" s="276">
        <f t="shared" si="107"/>
        <v>1</v>
      </c>
      <c r="Z73" s="274">
        <v>34.200000000000003</v>
      </c>
      <c r="AA73" s="274"/>
      <c r="AB73" s="274">
        <v>34.200000000000003</v>
      </c>
      <c r="AC73" s="274"/>
      <c r="AD73" s="274">
        <v>0</v>
      </c>
      <c r="AE73" s="274"/>
      <c r="AF73" s="275">
        <f t="shared" si="108"/>
        <v>0</v>
      </c>
      <c r="AG73" s="276">
        <f t="shared" si="109"/>
        <v>1</v>
      </c>
      <c r="AH73" s="274">
        <v>31.3</v>
      </c>
      <c r="AI73" s="274"/>
      <c r="AJ73" s="274">
        <v>31.3</v>
      </c>
      <c r="AK73" s="274"/>
      <c r="AL73" s="274">
        <v>0</v>
      </c>
      <c r="AM73" s="274"/>
      <c r="AN73" s="275">
        <f t="shared" si="110"/>
        <v>0</v>
      </c>
      <c r="AO73" s="276">
        <f t="shared" si="111"/>
        <v>1</v>
      </c>
      <c r="AP73" s="274">
        <v>35.299999999999997</v>
      </c>
      <c r="AQ73" s="274"/>
      <c r="AR73" s="274">
        <v>35.299999999999997</v>
      </c>
      <c r="AS73" s="274"/>
      <c r="AT73" s="274">
        <v>0</v>
      </c>
      <c r="AU73" s="274"/>
      <c r="AV73" s="275">
        <f t="shared" si="112"/>
        <v>0</v>
      </c>
      <c r="AW73" s="276">
        <f t="shared" si="113"/>
        <v>1</v>
      </c>
      <c r="AX73" s="275">
        <f t="shared" si="114"/>
        <v>44.900000000000006</v>
      </c>
      <c r="AY73" s="274"/>
      <c r="AZ73" s="275">
        <f t="shared" si="115"/>
        <v>44.900000000000006</v>
      </c>
      <c r="BA73" s="274"/>
      <c r="BB73" s="275">
        <f t="shared" si="116"/>
        <v>9.4949999999999992</v>
      </c>
      <c r="BC73" s="274"/>
      <c r="BD73" s="275">
        <f t="shared" si="117"/>
        <v>0</v>
      </c>
      <c r="BE73" s="276">
        <f t="shared" si="118"/>
        <v>1</v>
      </c>
      <c r="BF73" s="274">
        <v>34.6</v>
      </c>
      <c r="BG73" s="274"/>
      <c r="BH73" s="274">
        <v>34.6</v>
      </c>
      <c r="BI73" s="274"/>
      <c r="BJ73" s="274">
        <v>0</v>
      </c>
      <c r="BK73" s="274"/>
      <c r="BL73" s="275">
        <f t="shared" si="119"/>
        <v>0</v>
      </c>
      <c r="BM73" s="276">
        <f t="shared" si="120"/>
        <v>1</v>
      </c>
      <c r="BN73" s="274">
        <v>10.3</v>
      </c>
      <c r="BO73" s="274"/>
      <c r="BP73" s="274">
        <v>10.3</v>
      </c>
      <c r="BQ73" s="274"/>
      <c r="BR73" s="274">
        <v>9.4949999999999992</v>
      </c>
      <c r="BS73" s="274"/>
      <c r="BT73" s="275">
        <f t="shared" si="121"/>
        <v>0</v>
      </c>
      <c r="BU73" s="276">
        <f t="shared" si="122"/>
        <v>1</v>
      </c>
      <c r="BV73" s="274">
        <v>0</v>
      </c>
      <c r="BW73" s="274"/>
      <c r="BX73" s="274">
        <v>0</v>
      </c>
      <c r="BY73" s="274"/>
      <c r="BZ73" s="274">
        <v>0</v>
      </c>
      <c r="CA73" s="274"/>
      <c r="CB73" s="275">
        <f t="shared" si="123"/>
        <v>0</v>
      </c>
      <c r="CC73" s="276" t="str">
        <f t="shared" si="124"/>
        <v>-</v>
      </c>
      <c r="CD73" s="275">
        <f t="shared" si="125"/>
        <v>89.7</v>
      </c>
      <c r="CE73" s="274"/>
      <c r="CF73" s="275">
        <f t="shared" si="126"/>
        <v>89.7</v>
      </c>
      <c r="CG73" s="274"/>
      <c r="CH73" s="275">
        <f t="shared" si="127"/>
        <v>0</v>
      </c>
      <c r="CI73" s="274"/>
      <c r="CJ73" s="275">
        <f t="shared" si="128"/>
        <v>0</v>
      </c>
      <c r="CK73" s="276">
        <f t="shared" si="129"/>
        <v>1</v>
      </c>
      <c r="CL73" s="274">
        <v>23.2</v>
      </c>
      <c r="CM73" s="274"/>
      <c r="CN73" s="274">
        <v>23.2</v>
      </c>
      <c r="CO73" s="274"/>
      <c r="CP73" s="274"/>
      <c r="CQ73" s="274"/>
      <c r="CR73" s="275">
        <f t="shared" si="130"/>
        <v>0</v>
      </c>
      <c r="CS73" s="276">
        <f t="shared" si="131"/>
        <v>1</v>
      </c>
      <c r="CT73" s="274">
        <v>33.799999999999997</v>
      </c>
      <c r="CU73" s="274"/>
      <c r="CV73" s="274">
        <v>33.799999999999997</v>
      </c>
      <c r="CW73" s="274"/>
      <c r="CX73" s="274"/>
      <c r="CY73" s="274"/>
      <c r="CZ73" s="275">
        <f t="shared" si="132"/>
        <v>0</v>
      </c>
      <c r="DA73" s="276">
        <f t="shared" si="133"/>
        <v>1</v>
      </c>
      <c r="DB73" s="274">
        <v>32.700000000000003</v>
      </c>
      <c r="DC73" s="274"/>
      <c r="DD73" s="274">
        <v>32.700000000000003</v>
      </c>
      <c r="DE73" s="274"/>
      <c r="DF73" s="274"/>
      <c r="DG73" s="274"/>
      <c r="DH73" s="275">
        <f t="shared" si="134"/>
        <v>0</v>
      </c>
      <c r="DI73" s="276">
        <f t="shared" si="135"/>
        <v>1</v>
      </c>
      <c r="DJ73" s="275">
        <f t="shared" si="136"/>
        <v>101.10000000000001</v>
      </c>
      <c r="DK73" s="274"/>
      <c r="DL73" s="275">
        <f t="shared" si="137"/>
        <v>101.10000000000001</v>
      </c>
      <c r="DM73" s="274"/>
      <c r="DN73" s="275">
        <f t="shared" si="138"/>
        <v>0</v>
      </c>
      <c r="DO73" s="274"/>
      <c r="DP73" s="275">
        <f t="shared" si="139"/>
        <v>0</v>
      </c>
      <c r="DQ73" s="276">
        <f t="shared" si="140"/>
        <v>1</v>
      </c>
      <c r="DR73" s="274">
        <v>33.799999999999997</v>
      </c>
      <c r="DS73" s="274"/>
      <c r="DT73" s="274">
        <v>33.799999999999997</v>
      </c>
      <c r="DU73" s="274"/>
      <c r="DV73" s="274"/>
      <c r="DW73" s="274"/>
      <c r="DX73" s="275">
        <f t="shared" si="141"/>
        <v>0</v>
      </c>
      <c r="DY73" s="276">
        <f t="shared" si="142"/>
        <v>1</v>
      </c>
      <c r="DZ73" s="274">
        <v>33.1</v>
      </c>
      <c r="EA73" s="274"/>
      <c r="EB73" s="274">
        <v>33.1</v>
      </c>
      <c r="EC73" s="274"/>
      <c r="ED73" s="274"/>
      <c r="EE73" s="274"/>
      <c r="EF73" s="275">
        <f t="shared" si="143"/>
        <v>0</v>
      </c>
      <c r="EG73" s="276">
        <f t="shared" si="144"/>
        <v>1</v>
      </c>
      <c r="EH73" s="274">
        <v>34.200000000000003</v>
      </c>
      <c r="EI73" s="274"/>
      <c r="EJ73" s="274">
        <v>34.200000000000003</v>
      </c>
      <c r="EK73" s="274"/>
      <c r="EL73" s="274"/>
      <c r="EM73" s="274"/>
      <c r="EN73" s="275">
        <f t="shared" si="145"/>
        <v>0</v>
      </c>
      <c r="EO73" s="276">
        <f t="shared" si="146"/>
        <v>1</v>
      </c>
    </row>
    <row r="74" spans="1:145" ht="18.75" x14ac:dyDescent="0.3">
      <c r="A74" s="319" t="s">
        <v>1673</v>
      </c>
      <c r="B74" s="314" t="s">
        <v>1674</v>
      </c>
      <c r="C74" s="234" t="s">
        <v>1675</v>
      </c>
      <c r="D74" s="234"/>
      <c r="E74" s="235"/>
      <c r="F74" s="232"/>
      <c r="G74" s="236"/>
      <c r="H74" s="243"/>
      <c r="I74" s="252"/>
      <c r="J74" s="275">
        <f t="shared" si="98"/>
        <v>205.7</v>
      </c>
      <c r="K74" s="274"/>
      <c r="L74" s="275">
        <f t="shared" si="99"/>
        <v>205.7</v>
      </c>
      <c r="M74" s="274"/>
      <c r="N74" s="275">
        <f t="shared" si="100"/>
        <v>10.681490999999999</v>
      </c>
      <c r="O74" s="274"/>
      <c r="P74" s="275">
        <f t="shared" si="101"/>
        <v>0</v>
      </c>
      <c r="Q74" s="276">
        <f t="shared" si="102"/>
        <v>1</v>
      </c>
      <c r="R74" s="275">
        <f t="shared" si="103"/>
        <v>59</v>
      </c>
      <c r="S74" s="274"/>
      <c r="T74" s="275">
        <f t="shared" si="104"/>
        <v>59</v>
      </c>
      <c r="U74" s="274"/>
      <c r="V74" s="275">
        <f t="shared" si="105"/>
        <v>0.8236</v>
      </c>
      <c r="W74" s="274"/>
      <c r="X74" s="275">
        <f t="shared" si="106"/>
        <v>0</v>
      </c>
      <c r="Y74" s="276">
        <f t="shared" si="107"/>
        <v>1</v>
      </c>
      <c r="Z74" s="274">
        <v>20.100000000000001</v>
      </c>
      <c r="AA74" s="274"/>
      <c r="AB74" s="274">
        <v>20.100000000000001</v>
      </c>
      <c r="AC74" s="274"/>
      <c r="AD74" s="274">
        <v>0</v>
      </c>
      <c r="AE74" s="274"/>
      <c r="AF74" s="275">
        <f t="shared" si="108"/>
        <v>0</v>
      </c>
      <c r="AG74" s="276">
        <f t="shared" si="109"/>
        <v>1</v>
      </c>
      <c r="AH74" s="274">
        <v>18.5</v>
      </c>
      <c r="AI74" s="274"/>
      <c r="AJ74" s="274">
        <v>18.5</v>
      </c>
      <c r="AK74" s="274"/>
      <c r="AL74" s="274">
        <v>0</v>
      </c>
      <c r="AM74" s="274"/>
      <c r="AN74" s="275">
        <f t="shared" si="110"/>
        <v>0</v>
      </c>
      <c r="AO74" s="276">
        <f t="shared" si="111"/>
        <v>1</v>
      </c>
      <c r="AP74" s="274">
        <v>20.399999999999999</v>
      </c>
      <c r="AQ74" s="274"/>
      <c r="AR74" s="274">
        <v>20.399999999999999</v>
      </c>
      <c r="AS74" s="274"/>
      <c r="AT74" s="274">
        <v>0.8236</v>
      </c>
      <c r="AU74" s="274"/>
      <c r="AV74" s="275">
        <f t="shared" si="112"/>
        <v>0</v>
      </c>
      <c r="AW74" s="276">
        <f t="shared" si="113"/>
        <v>1</v>
      </c>
      <c r="AX74" s="275">
        <f t="shared" si="114"/>
        <v>25.6</v>
      </c>
      <c r="AY74" s="274"/>
      <c r="AZ74" s="275">
        <f t="shared" si="115"/>
        <v>25.6</v>
      </c>
      <c r="BA74" s="274"/>
      <c r="BB74" s="275">
        <f t="shared" si="116"/>
        <v>9.8578909999999986</v>
      </c>
      <c r="BC74" s="274"/>
      <c r="BD74" s="275">
        <f t="shared" si="117"/>
        <v>0</v>
      </c>
      <c r="BE74" s="276">
        <f t="shared" si="118"/>
        <v>1</v>
      </c>
      <c r="BF74" s="274">
        <v>20.3</v>
      </c>
      <c r="BG74" s="274"/>
      <c r="BH74" s="274">
        <v>20.3</v>
      </c>
      <c r="BI74" s="274"/>
      <c r="BJ74" s="274">
        <v>0.97889099999999996</v>
      </c>
      <c r="BK74" s="274"/>
      <c r="BL74" s="275">
        <f t="shared" si="119"/>
        <v>0</v>
      </c>
      <c r="BM74" s="276">
        <f t="shared" si="120"/>
        <v>1</v>
      </c>
      <c r="BN74" s="274">
        <v>5.3</v>
      </c>
      <c r="BO74" s="274"/>
      <c r="BP74" s="274">
        <v>5.3</v>
      </c>
      <c r="BQ74" s="274"/>
      <c r="BR74" s="274">
        <v>8.8789999999999996</v>
      </c>
      <c r="BS74" s="274"/>
      <c r="BT74" s="275">
        <f t="shared" si="121"/>
        <v>0</v>
      </c>
      <c r="BU74" s="276">
        <f t="shared" si="122"/>
        <v>1</v>
      </c>
      <c r="BV74" s="274">
        <v>0</v>
      </c>
      <c r="BW74" s="274"/>
      <c r="BX74" s="274">
        <v>0</v>
      </c>
      <c r="BY74" s="274"/>
      <c r="BZ74" s="274">
        <v>0</v>
      </c>
      <c r="CA74" s="274"/>
      <c r="CB74" s="275">
        <f t="shared" si="123"/>
        <v>0</v>
      </c>
      <c r="CC74" s="276" t="str">
        <f t="shared" si="124"/>
        <v>-</v>
      </c>
      <c r="CD74" s="275">
        <f t="shared" si="125"/>
        <v>58.3</v>
      </c>
      <c r="CE74" s="274"/>
      <c r="CF74" s="275">
        <f t="shared" si="126"/>
        <v>58.3</v>
      </c>
      <c r="CG74" s="274"/>
      <c r="CH74" s="275">
        <f t="shared" si="127"/>
        <v>0</v>
      </c>
      <c r="CI74" s="274"/>
      <c r="CJ74" s="275">
        <f t="shared" si="128"/>
        <v>0</v>
      </c>
      <c r="CK74" s="276">
        <f t="shared" si="129"/>
        <v>1</v>
      </c>
      <c r="CL74" s="274">
        <v>16.899999999999999</v>
      </c>
      <c r="CM74" s="274"/>
      <c r="CN74" s="274">
        <v>16.899999999999999</v>
      </c>
      <c r="CO74" s="274"/>
      <c r="CP74" s="274"/>
      <c r="CQ74" s="274"/>
      <c r="CR74" s="275">
        <f t="shared" si="130"/>
        <v>0</v>
      </c>
      <c r="CS74" s="276">
        <f t="shared" si="131"/>
        <v>1</v>
      </c>
      <c r="CT74" s="274">
        <v>20.6</v>
      </c>
      <c r="CU74" s="274"/>
      <c r="CV74" s="274">
        <v>20.6</v>
      </c>
      <c r="CW74" s="274"/>
      <c r="CX74" s="274"/>
      <c r="CY74" s="274"/>
      <c r="CZ74" s="275">
        <f t="shared" si="132"/>
        <v>0</v>
      </c>
      <c r="DA74" s="276">
        <f t="shared" si="133"/>
        <v>1</v>
      </c>
      <c r="DB74" s="274">
        <v>20.8</v>
      </c>
      <c r="DC74" s="274"/>
      <c r="DD74" s="274">
        <v>20.8</v>
      </c>
      <c r="DE74" s="274"/>
      <c r="DF74" s="274"/>
      <c r="DG74" s="274"/>
      <c r="DH74" s="275">
        <f t="shared" si="134"/>
        <v>0</v>
      </c>
      <c r="DI74" s="276">
        <f t="shared" si="135"/>
        <v>1</v>
      </c>
      <c r="DJ74" s="275">
        <f t="shared" si="136"/>
        <v>62.8</v>
      </c>
      <c r="DK74" s="274"/>
      <c r="DL74" s="275">
        <f t="shared" si="137"/>
        <v>62.8</v>
      </c>
      <c r="DM74" s="274"/>
      <c r="DN74" s="275">
        <f t="shared" si="138"/>
        <v>0</v>
      </c>
      <c r="DO74" s="274"/>
      <c r="DP74" s="275">
        <f t="shared" si="139"/>
        <v>0</v>
      </c>
      <c r="DQ74" s="276">
        <f t="shared" si="140"/>
        <v>1</v>
      </c>
      <c r="DR74" s="274">
        <v>21.3</v>
      </c>
      <c r="DS74" s="274"/>
      <c r="DT74" s="274">
        <v>21.3</v>
      </c>
      <c r="DU74" s="274"/>
      <c r="DV74" s="274"/>
      <c r="DW74" s="274"/>
      <c r="DX74" s="275">
        <f t="shared" si="141"/>
        <v>0</v>
      </c>
      <c r="DY74" s="276">
        <f t="shared" si="142"/>
        <v>1</v>
      </c>
      <c r="DZ74" s="274">
        <v>20.8</v>
      </c>
      <c r="EA74" s="274"/>
      <c r="EB74" s="274">
        <v>20.8</v>
      </c>
      <c r="EC74" s="274"/>
      <c r="ED74" s="274"/>
      <c r="EE74" s="274"/>
      <c r="EF74" s="275">
        <f t="shared" si="143"/>
        <v>0</v>
      </c>
      <c r="EG74" s="276">
        <f t="shared" si="144"/>
        <v>1</v>
      </c>
      <c r="EH74" s="274">
        <v>20.7</v>
      </c>
      <c r="EI74" s="274"/>
      <c r="EJ74" s="274">
        <v>20.7</v>
      </c>
      <c r="EK74" s="274"/>
      <c r="EL74" s="274"/>
      <c r="EM74" s="274"/>
      <c r="EN74" s="275">
        <f t="shared" si="145"/>
        <v>0</v>
      </c>
      <c r="EO74" s="276">
        <f t="shared" si="146"/>
        <v>1</v>
      </c>
    </row>
    <row r="75" spans="1:145" ht="18.75" x14ac:dyDescent="0.3">
      <c r="A75" s="280"/>
      <c r="B75" s="280"/>
      <c r="C75" s="234" t="s">
        <v>1676</v>
      </c>
      <c r="D75" s="234"/>
      <c r="E75" s="235"/>
      <c r="F75" s="232"/>
      <c r="G75" s="236"/>
      <c r="H75" s="243"/>
      <c r="I75" s="252"/>
      <c r="J75" s="275">
        <f t="shared" si="98"/>
        <v>236.40000000000003</v>
      </c>
      <c r="K75" s="274"/>
      <c r="L75" s="275">
        <f t="shared" si="99"/>
        <v>236.40000000000003</v>
      </c>
      <c r="M75" s="274"/>
      <c r="N75" s="275">
        <f t="shared" si="100"/>
        <v>12.040171000000001</v>
      </c>
      <c r="O75" s="274"/>
      <c r="P75" s="275">
        <f t="shared" si="101"/>
        <v>0</v>
      </c>
      <c r="Q75" s="276">
        <f t="shared" si="102"/>
        <v>1</v>
      </c>
      <c r="R75" s="275">
        <f t="shared" si="103"/>
        <v>67.800000000000011</v>
      </c>
      <c r="S75" s="274"/>
      <c r="T75" s="275">
        <f t="shared" si="104"/>
        <v>67.800000000000011</v>
      </c>
      <c r="U75" s="274"/>
      <c r="V75" s="275">
        <f t="shared" si="105"/>
        <v>0.85702400000000001</v>
      </c>
      <c r="W75" s="274"/>
      <c r="X75" s="275">
        <f t="shared" si="106"/>
        <v>0</v>
      </c>
      <c r="Y75" s="276">
        <f t="shared" si="107"/>
        <v>1</v>
      </c>
      <c r="Z75" s="274">
        <v>23.1</v>
      </c>
      <c r="AA75" s="274"/>
      <c r="AB75" s="274">
        <v>23.1</v>
      </c>
      <c r="AC75" s="274"/>
      <c r="AD75" s="274">
        <v>0</v>
      </c>
      <c r="AE75" s="274"/>
      <c r="AF75" s="275">
        <f t="shared" si="108"/>
        <v>0</v>
      </c>
      <c r="AG75" s="276">
        <f t="shared" si="109"/>
        <v>1</v>
      </c>
      <c r="AH75" s="274">
        <v>21.3</v>
      </c>
      <c r="AI75" s="274"/>
      <c r="AJ75" s="274">
        <v>21.3</v>
      </c>
      <c r="AK75" s="274"/>
      <c r="AL75" s="274">
        <v>0</v>
      </c>
      <c r="AM75" s="274"/>
      <c r="AN75" s="275">
        <f t="shared" si="110"/>
        <v>0</v>
      </c>
      <c r="AO75" s="276">
        <f t="shared" si="111"/>
        <v>1</v>
      </c>
      <c r="AP75" s="274">
        <v>23.4</v>
      </c>
      <c r="AQ75" s="274"/>
      <c r="AR75" s="274">
        <v>23.4</v>
      </c>
      <c r="AS75" s="274"/>
      <c r="AT75" s="274">
        <v>0.85702400000000001</v>
      </c>
      <c r="AU75" s="274"/>
      <c r="AV75" s="275">
        <f t="shared" si="112"/>
        <v>0</v>
      </c>
      <c r="AW75" s="276">
        <f t="shared" si="113"/>
        <v>1</v>
      </c>
      <c r="AX75" s="275">
        <f t="shared" si="114"/>
        <v>29.4</v>
      </c>
      <c r="AY75" s="274"/>
      <c r="AZ75" s="275">
        <f t="shared" si="115"/>
        <v>29.4</v>
      </c>
      <c r="BA75" s="274"/>
      <c r="BB75" s="275">
        <f t="shared" si="116"/>
        <v>11.183147</v>
      </c>
      <c r="BC75" s="274"/>
      <c r="BD75" s="275">
        <f t="shared" si="117"/>
        <v>0</v>
      </c>
      <c r="BE75" s="276">
        <f t="shared" si="118"/>
        <v>1</v>
      </c>
      <c r="BF75" s="274">
        <v>23.3</v>
      </c>
      <c r="BG75" s="274"/>
      <c r="BH75" s="274">
        <v>23.3</v>
      </c>
      <c r="BI75" s="274"/>
      <c r="BJ75" s="274">
        <v>0.94214699999999996</v>
      </c>
      <c r="BK75" s="274"/>
      <c r="BL75" s="275">
        <f t="shared" si="119"/>
        <v>0</v>
      </c>
      <c r="BM75" s="276">
        <f t="shared" si="120"/>
        <v>1</v>
      </c>
      <c r="BN75" s="274">
        <v>6.1</v>
      </c>
      <c r="BO75" s="274"/>
      <c r="BP75" s="274">
        <v>6.1</v>
      </c>
      <c r="BQ75" s="274"/>
      <c r="BR75" s="274">
        <v>10.241</v>
      </c>
      <c r="BS75" s="274"/>
      <c r="BT75" s="275">
        <f t="shared" si="121"/>
        <v>0</v>
      </c>
      <c r="BU75" s="276">
        <f t="shared" si="122"/>
        <v>1</v>
      </c>
      <c r="BV75" s="274">
        <v>0</v>
      </c>
      <c r="BW75" s="274"/>
      <c r="BX75" s="274">
        <v>0</v>
      </c>
      <c r="BY75" s="274"/>
      <c r="BZ75" s="274">
        <v>0</v>
      </c>
      <c r="CA75" s="274"/>
      <c r="CB75" s="275">
        <f t="shared" si="123"/>
        <v>0</v>
      </c>
      <c r="CC75" s="276" t="str">
        <f t="shared" si="124"/>
        <v>-</v>
      </c>
      <c r="CD75" s="275">
        <f t="shared" si="125"/>
        <v>66.899999999999991</v>
      </c>
      <c r="CE75" s="274"/>
      <c r="CF75" s="275">
        <f t="shared" si="126"/>
        <v>66.899999999999991</v>
      </c>
      <c r="CG75" s="274"/>
      <c r="CH75" s="275">
        <f t="shared" si="127"/>
        <v>0</v>
      </c>
      <c r="CI75" s="274"/>
      <c r="CJ75" s="275">
        <f t="shared" si="128"/>
        <v>0</v>
      </c>
      <c r="CK75" s="276">
        <f t="shared" si="129"/>
        <v>1</v>
      </c>
      <c r="CL75" s="274">
        <v>19.399999999999999</v>
      </c>
      <c r="CM75" s="274"/>
      <c r="CN75" s="274">
        <v>19.399999999999999</v>
      </c>
      <c r="CO75" s="274"/>
      <c r="CP75" s="274"/>
      <c r="CQ75" s="274"/>
      <c r="CR75" s="275">
        <f t="shared" si="130"/>
        <v>0</v>
      </c>
      <c r="CS75" s="276">
        <f t="shared" si="131"/>
        <v>1</v>
      </c>
      <c r="CT75" s="274">
        <v>23.7</v>
      </c>
      <c r="CU75" s="274"/>
      <c r="CV75" s="274">
        <v>23.7</v>
      </c>
      <c r="CW75" s="274"/>
      <c r="CX75" s="274"/>
      <c r="CY75" s="274"/>
      <c r="CZ75" s="275">
        <f t="shared" si="132"/>
        <v>0</v>
      </c>
      <c r="DA75" s="276">
        <f t="shared" si="133"/>
        <v>1</v>
      </c>
      <c r="DB75" s="274">
        <v>23.8</v>
      </c>
      <c r="DC75" s="274"/>
      <c r="DD75" s="274">
        <v>23.8</v>
      </c>
      <c r="DE75" s="274"/>
      <c r="DF75" s="274"/>
      <c r="DG75" s="274"/>
      <c r="DH75" s="275">
        <f t="shared" si="134"/>
        <v>0</v>
      </c>
      <c r="DI75" s="276">
        <f t="shared" si="135"/>
        <v>1</v>
      </c>
      <c r="DJ75" s="275">
        <f t="shared" si="136"/>
        <v>72.3</v>
      </c>
      <c r="DK75" s="274"/>
      <c r="DL75" s="275">
        <f t="shared" si="137"/>
        <v>72.3</v>
      </c>
      <c r="DM75" s="274"/>
      <c r="DN75" s="275">
        <f t="shared" si="138"/>
        <v>0</v>
      </c>
      <c r="DO75" s="274"/>
      <c r="DP75" s="275">
        <f t="shared" si="139"/>
        <v>0</v>
      </c>
      <c r="DQ75" s="276">
        <f t="shared" si="140"/>
        <v>1</v>
      </c>
      <c r="DR75" s="274">
        <v>24.5</v>
      </c>
      <c r="DS75" s="274"/>
      <c r="DT75" s="274">
        <v>24.5</v>
      </c>
      <c r="DU75" s="274"/>
      <c r="DV75" s="274"/>
      <c r="DW75" s="274"/>
      <c r="DX75" s="275">
        <f t="shared" si="141"/>
        <v>0</v>
      </c>
      <c r="DY75" s="276">
        <f t="shared" si="142"/>
        <v>1</v>
      </c>
      <c r="DZ75" s="274">
        <v>23.9</v>
      </c>
      <c r="EA75" s="274"/>
      <c r="EB75" s="274">
        <v>23.9</v>
      </c>
      <c r="EC75" s="274"/>
      <c r="ED75" s="274"/>
      <c r="EE75" s="274"/>
      <c r="EF75" s="275">
        <f t="shared" si="143"/>
        <v>0</v>
      </c>
      <c r="EG75" s="276">
        <f t="shared" si="144"/>
        <v>1</v>
      </c>
      <c r="EH75" s="274">
        <v>23.9</v>
      </c>
      <c r="EI75" s="274"/>
      <c r="EJ75" s="274">
        <v>23.9</v>
      </c>
      <c r="EK75" s="274"/>
      <c r="EL75" s="274"/>
      <c r="EM75" s="274"/>
      <c r="EN75" s="275">
        <f t="shared" si="145"/>
        <v>0</v>
      </c>
      <c r="EO75" s="276">
        <f t="shared" si="146"/>
        <v>1</v>
      </c>
    </row>
    <row r="76" spans="1:145" ht="39" customHeight="1" x14ac:dyDescent="0.35">
      <c r="A76" s="264" t="s">
        <v>1677</v>
      </c>
      <c r="B76" s="32" t="s">
        <v>1678</v>
      </c>
      <c r="C76" s="234" t="s">
        <v>1679</v>
      </c>
      <c r="D76" s="234"/>
      <c r="E76" s="235"/>
      <c r="F76" s="232"/>
      <c r="G76" s="236"/>
      <c r="H76" s="243"/>
      <c r="I76" s="252"/>
      <c r="J76" s="275">
        <f t="shared" si="98"/>
        <v>0</v>
      </c>
      <c r="K76" s="274"/>
      <c r="L76" s="275">
        <f t="shared" si="99"/>
        <v>0</v>
      </c>
      <c r="M76" s="274"/>
      <c r="N76" s="275">
        <f t="shared" si="100"/>
        <v>36.152735</v>
      </c>
      <c r="O76" s="274"/>
      <c r="P76" s="275">
        <f t="shared" si="101"/>
        <v>0</v>
      </c>
      <c r="Q76" s="276" t="str">
        <f t="shared" si="102"/>
        <v>-</v>
      </c>
      <c r="R76" s="275">
        <f t="shared" si="103"/>
        <v>0</v>
      </c>
      <c r="S76" s="274"/>
      <c r="T76" s="275">
        <f t="shared" si="104"/>
        <v>0</v>
      </c>
      <c r="U76" s="274"/>
      <c r="V76" s="275">
        <f t="shared" si="105"/>
        <v>0</v>
      </c>
      <c r="W76" s="274"/>
      <c r="X76" s="275">
        <f t="shared" si="106"/>
        <v>0</v>
      </c>
      <c r="Y76" s="276" t="str">
        <f t="shared" si="107"/>
        <v>-</v>
      </c>
      <c r="Z76" s="274">
        <v>0</v>
      </c>
      <c r="AA76" s="274"/>
      <c r="AB76" s="274">
        <v>0</v>
      </c>
      <c r="AC76" s="274"/>
      <c r="AD76" s="274">
        <v>0</v>
      </c>
      <c r="AE76" s="274"/>
      <c r="AF76" s="275">
        <f t="shared" si="108"/>
        <v>0</v>
      </c>
      <c r="AG76" s="276" t="str">
        <f t="shared" si="109"/>
        <v>-</v>
      </c>
      <c r="AH76" s="274">
        <v>0</v>
      </c>
      <c r="AI76" s="274"/>
      <c r="AJ76" s="274">
        <v>0</v>
      </c>
      <c r="AK76" s="274"/>
      <c r="AL76" s="274">
        <v>0</v>
      </c>
      <c r="AM76" s="274"/>
      <c r="AN76" s="275">
        <f t="shared" si="110"/>
        <v>0</v>
      </c>
      <c r="AO76" s="276" t="str">
        <f t="shared" si="111"/>
        <v>-</v>
      </c>
      <c r="AP76" s="274">
        <v>0</v>
      </c>
      <c r="AQ76" s="274"/>
      <c r="AR76" s="274">
        <v>0</v>
      </c>
      <c r="AS76" s="274"/>
      <c r="AT76" s="274">
        <v>0</v>
      </c>
      <c r="AU76" s="274"/>
      <c r="AV76" s="275">
        <f t="shared" si="112"/>
        <v>0</v>
      </c>
      <c r="AW76" s="276" t="str">
        <f t="shared" si="113"/>
        <v>-</v>
      </c>
      <c r="AX76" s="275">
        <f t="shared" si="114"/>
        <v>0</v>
      </c>
      <c r="AY76" s="274"/>
      <c r="AZ76" s="275">
        <f t="shared" si="115"/>
        <v>0</v>
      </c>
      <c r="BA76" s="274"/>
      <c r="BB76" s="275">
        <f t="shared" si="116"/>
        <v>36.152735</v>
      </c>
      <c r="BC76" s="274"/>
      <c r="BD76" s="275">
        <f t="shared" si="117"/>
        <v>0</v>
      </c>
      <c r="BE76" s="276" t="str">
        <f t="shared" si="118"/>
        <v>-</v>
      </c>
      <c r="BF76" s="274">
        <v>0</v>
      </c>
      <c r="BG76" s="274"/>
      <c r="BH76" s="274">
        <v>0</v>
      </c>
      <c r="BI76" s="274"/>
      <c r="BJ76" s="274">
        <v>0</v>
      </c>
      <c r="BK76" s="274"/>
      <c r="BL76" s="275">
        <f t="shared" si="119"/>
        <v>0</v>
      </c>
      <c r="BM76" s="276" t="str">
        <f t="shared" si="120"/>
        <v>-</v>
      </c>
      <c r="BN76" s="274">
        <v>0</v>
      </c>
      <c r="BO76" s="274"/>
      <c r="BP76" s="274">
        <v>0</v>
      </c>
      <c r="BQ76" s="274"/>
      <c r="BR76" s="274">
        <v>11.53</v>
      </c>
      <c r="BS76" s="274"/>
      <c r="BT76" s="275">
        <f t="shared" si="121"/>
        <v>0</v>
      </c>
      <c r="BU76" s="276" t="str">
        <f t="shared" si="122"/>
        <v>-</v>
      </c>
      <c r="BV76" s="274">
        <v>0</v>
      </c>
      <c r="BW76" s="274"/>
      <c r="BX76" s="274">
        <v>0</v>
      </c>
      <c r="BY76" s="274"/>
      <c r="BZ76" s="274">
        <v>24.622734999999999</v>
      </c>
      <c r="CA76" s="274"/>
      <c r="CB76" s="275">
        <f t="shared" si="123"/>
        <v>0</v>
      </c>
      <c r="CC76" s="276" t="str">
        <f t="shared" si="124"/>
        <v>-</v>
      </c>
      <c r="CD76" s="275">
        <f t="shared" si="125"/>
        <v>0</v>
      </c>
      <c r="CE76" s="274"/>
      <c r="CF76" s="275">
        <f t="shared" si="126"/>
        <v>0</v>
      </c>
      <c r="CG76" s="274"/>
      <c r="CH76" s="275">
        <f t="shared" si="127"/>
        <v>0</v>
      </c>
      <c r="CI76" s="274"/>
      <c r="CJ76" s="275">
        <f t="shared" si="128"/>
        <v>0</v>
      </c>
      <c r="CK76" s="276" t="str">
        <f t="shared" si="129"/>
        <v>-</v>
      </c>
      <c r="CL76" s="274">
        <v>0</v>
      </c>
      <c r="CM76" s="274"/>
      <c r="CN76" s="274">
        <v>0</v>
      </c>
      <c r="CO76" s="274"/>
      <c r="CP76" s="274"/>
      <c r="CQ76" s="274"/>
      <c r="CR76" s="275">
        <f t="shared" si="130"/>
        <v>0</v>
      </c>
      <c r="CS76" s="276" t="str">
        <f t="shared" si="131"/>
        <v>-</v>
      </c>
      <c r="CT76" s="274">
        <v>0</v>
      </c>
      <c r="CU76" s="274"/>
      <c r="CV76" s="274">
        <v>0</v>
      </c>
      <c r="CW76" s="274"/>
      <c r="CX76" s="274"/>
      <c r="CY76" s="274"/>
      <c r="CZ76" s="275">
        <f t="shared" si="132"/>
        <v>0</v>
      </c>
      <c r="DA76" s="276" t="str">
        <f t="shared" si="133"/>
        <v>-</v>
      </c>
      <c r="DB76" s="274">
        <v>0</v>
      </c>
      <c r="DC76" s="274"/>
      <c r="DD76" s="274">
        <v>0</v>
      </c>
      <c r="DE76" s="274"/>
      <c r="DF76" s="274"/>
      <c r="DG76" s="274"/>
      <c r="DH76" s="275">
        <f t="shared" si="134"/>
        <v>0</v>
      </c>
      <c r="DI76" s="276" t="str">
        <f t="shared" si="135"/>
        <v>-</v>
      </c>
      <c r="DJ76" s="275">
        <f t="shared" si="136"/>
        <v>0</v>
      </c>
      <c r="DK76" s="274"/>
      <c r="DL76" s="275">
        <f t="shared" si="137"/>
        <v>0</v>
      </c>
      <c r="DM76" s="274"/>
      <c r="DN76" s="275">
        <f t="shared" si="138"/>
        <v>0</v>
      </c>
      <c r="DO76" s="274"/>
      <c r="DP76" s="275">
        <f t="shared" si="139"/>
        <v>0</v>
      </c>
      <c r="DQ76" s="276" t="str">
        <f t="shared" si="140"/>
        <v>-</v>
      </c>
      <c r="DR76" s="274">
        <v>0</v>
      </c>
      <c r="DS76" s="274"/>
      <c r="DT76" s="274">
        <v>0</v>
      </c>
      <c r="DU76" s="274"/>
      <c r="DV76" s="274"/>
      <c r="DW76" s="274"/>
      <c r="DX76" s="275">
        <f t="shared" si="141"/>
        <v>0</v>
      </c>
      <c r="DY76" s="276" t="str">
        <f t="shared" si="142"/>
        <v>-</v>
      </c>
      <c r="DZ76" s="274">
        <v>0</v>
      </c>
      <c r="EA76" s="274"/>
      <c r="EB76" s="274">
        <v>0</v>
      </c>
      <c r="EC76" s="274"/>
      <c r="ED76" s="274"/>
      <c r="EE76" s="274"/>
      <c r="EF76" s="275">
        <f t="shared" si="143"/>
        <v>0</v>
      </c>
      <c r="EG76" s="276" t="str">
        <f t="shared" si="144"/>
        <v>-</v>
      </c>
      <c r="EH76" s="274">
        <v>0</v>
      </c>
      <c r="EI76" s="274"/>
      <c r="EJ76" s="274">
        <v>0</v>
      </c>
      <c r="EK76" s="274"/>
      <c r="EL76" s="274"/>
      <c r="EM76" s="274"/>
      <c r="EN76" s="275">
        <f t="shared" si="145"/>
        <v>0</v>
      </c>
      <c r="EO76" s="276" t="str">
        <f t="shared" si="146"/>
        <v>-</v>
      </c>
    </row>
    <row r="77" spans="1:145" ht="39" customHeight="1" x14ac:dyDescent="0.35">
      <c r="A77" s="264"/>
      <c r="B77" s="32" t="s">
        <v>1680</v>
      </c>
      <c r="C77" s="234" t="s">
        <v>1681</v>
      </c>
      <c r="D77" s="234"/>
      <c r="E77" s="235"/>
      <c r="F77" s="232"/>
      <c r="G77" s="236"/>
      <c r="H77" s="243"/>
      <c r="I77" s="252"/>
      <c r="J77" s="275">
        <f t="shared" si="98"/>
        <v>0</v>
      </c>
      <c r="K77" s="274"/>
      <c r="L77" s="275">
        <f t="shared" si="99"/>
        <v>0</v>
      </c>
      <c r="M77" s="274"/>
      <c r="N77" s="275">
        <f t="shared" si="100"/>
        <v>0</v>
      </c>
      <c r="O77" s="274"/>
      <c r="P77" s="275">
        <f t="shared" si="101"/>
        <v>0</v>
      </c>
      <c r="Q77" s="276" t="str">
        <f t="shared" si="102"/>
        <v>-</v>
      </c>
      <c r="R77" s="275">
        <f t="shared" si="103"/>
        <v>0</v>
      </c>
      <c r="S77" s="274"/>
      <c r="T77" s="275">
        <f t="shared" si="104"/>
        <v>0</v>
      </c>
      <c r="U77" s="274"/>
      <c r="V77" s="275">
        <f t="shared" si="105"/>
        <v>0</v>
      </c>
      <c r="W77" s="274"/>
      <c r="X77" s="275">
        <f t="shared" si="106"/>
        <v>0</v>
      </c>
      <c r="Y77" s="276" t="str">
        <f t="shared" si="107"/>
        <v>-</v>
      </c>
      <c r="Z77" s="274">
        <v>0</v>
      </c>
      <c r="AA77" s="274"/>
      <c r="AB77" s="274">
        <v>0</v>
      </c>
      <c r="AC77" s="274"/>
      <c r="AD77" s="274">
        <v>0</v>
      </c>
      <c r="AE77" s="274"/>
      <c r="AF77" s="275">
        <f t="shared" si="108"/>
        <v>0</v>
      </c>
      <c r="AG77" s="276" t="str">
        <f t="shared" si="109"/>
        <v>-</v>
      </c>
      <c r="AH77" s="274">
        <v>0</v>
      </c>
      <c r="AI77" s="274"/>
      <c r="AJ77" s="274">
        <v>0</v>
      </c>
      <c r="AK77" s="274"/>
      <c r="AL77" s="274">
        <v>0</v>
      </c>
      <c r="AM77" s="274"/>
      <c r="AN77" s="275">
        <f t="shared" si="110"/>
        <v>0</v>
      </c>
      <c r="AO77" s="276" t="str">
        <f t="shared" si="111"/>
        <v>-</v>
      </c>
      <c r="AP77" s="274">
        <v>0</v>
      </c>
      <c r="AQ77" s="274"/>
      <c r="AR77" s="274">
        <v>0</v>
      </c>
      <c r="AS77" s="274"/>
      <c r="AT77" s="274">
        <v>0</v>
      </c>
      <c r="AU77" s="274"/>
      <c r="AV77" s="275">
        <f t="shared" si="112"/>
        <v>0</v>
      </c>
      <c r="AW77" s="276" t="str">
        <f t="shared" si="113"/>
        <v>-</v>
      </c>
      <c r="AX77" s="275">
        <f t="shared" si="114"/>
        <v>0</v>
      </c>
      <c r="AY77" s="274"/>
      <c r="AZ77" s="275">
        <f t="shared" si="115"/>
        <v>0</v>
      </c>
      <c r="BA77" s="274"/>
      <c r="BB77" s="275">
        <f t="shared" si="116"/>
        <v>0</v>
      </c>
      <c r="BC77" s="274"/>
      <c r="BD77" s="275">
        <f t="shared" si="117"/>
        <v>0</v>
      </c>
      <c r="BE77" s="276" t="str">
        <f t="shared" si="118"/>
        <v>-</v>
      </c>
      <c r="BF77" s="274">
        <v>0</v>
      </c>
      <c r="BG77" s="274"/>
      <c r="BH77" s="274">
        <v>0</v>
      </c>
      <c r="BI77" s="274"/>
      <c r="BJ77" s="274">
        <v>0</v>
      </c>
      <c r="BK77" s="274"/>
      <c r="BL77" s="275">
        <f t="shared" si="119"/>
        <v>0</v>
      </c>
      <c r="BM77" s="276" t="str">
        <f t="shared" si="120"/>
        <v>-</v>
      </c>
      <c r="BN77" s="274">
        <v>0</v>
      </c>
      <c r="BO77" s="274"/>
      <c r="BP77" s="274">
        <v>0</v>
      </c>
      <c r="BQ77" s="274"/>
      <c r="BR77" s="274">
        <v>0</v>
      </c>
      <c r="BS77" s="274"/>
      <c r="BT77" s="275">
        <f t="shared" si="121"/>
        <v>0</v>
      </c>
      <c r="BU77" s="276" t="str">
        <f t="shared" si="122"/>
        <v>-</v>
      </c>
      <c r="BV77" s="274">
        <v>0</v>
      </c>
      <c r="BW77" s="274"/>
      <c r="BX77" s="274">
        <v>0</v>
      </c>
      <c r="BY77" s="274"/>
      <c r="BZ77" s="274">
        <v>0</v>
      </c>
      <c r="CA77" s="274"/>
      <c r="CB77" s="275">
        <f t="shared" si="123"/>
        <v>0</v>
      </c>
      <c r="CC77" s="276" t="str">
        <f t="shared" si="124"/>
        <v>-</v>
      </c>
      <c r="CD77" s="275">
        <f t="shared" si="125"/>
        <v>0</v>
      </c>
      <c r="CE77" s="274"/>
      <c r="CF77" s="275">
        <f t="shared" si="126"/>
        <v>0</v>
      </c>
      <c r="CG77" s="274"/>
      <c r="CH77" s="275">
        <f t="shared" si="127"/>
        <v>0</v>
      </c>
      <c r="CI77" s="274"/>
      <c r="CJ77" s="275">
        <f t="shared" si="128"/>
        <v>0</v>
      </c>
      <c r="CK77" s="276" t="str">
        <f t="shared" si="129"/>
        <v>-</v>
      </c>
      <c r="CL77" s="274">
        <v>0</v>
      </c>
      <c r="CM77" s="274"/>
      <c r="CN77" s="274">
        <v>0</v>
      </c>
      <c r="CO77" s="274"/>
      <c r="CP77" s="274"/>
      <c r="CQ77" s="274"/>
      <c r="CR77" s="275">
        <f t="shared" si="130"/>
        <v>0</v>
      </c>
      <c r="CS77" s="276" t="str">
        <f t="shared" si="131"/>
        <v>-</v>
      </c>
      <c r="CT77" s="274">
        <v>0</v>
      </c>
      <c r="CU77" s="274"/>
      <c r="CV77" s="274">
        <v>0</v>
      </c>
      <c r="CW77" s="274"/>
      <c r="CX77" s="274"/>
      <c r="CY77" s="274"/>
      <c r="CZ77" s="275">
        <f t="shared" si="132"/>
        <v>0</v>
      </c>
      <c r="DA77" s="276" t="str">
        <f t="shared" si="133"/>
        <v>-</v>
      </c>
      <c r="DB77" s="274">
        <v>0</v>
      </c>
      <c r="DC77" s="274"/>
      <c r="DD77" s="274">
        <v>0</v>
      </c>
      <c r="DE77" s="274"/>
      <c r="DF77" s="274"/>
      <c r="DG77" s="274"/>
      <c r="DH77" s="275">
        <f t="shared" si="134"/>
        <v>0</v>
      </c>
      <c r="DI77" s="276" t="str">
        <f t="shared" si="135"/>
        <v>-</v>
      </c>
      <c r="DJ77" s="275">
        <f t="shared" si="136"/>
        <v>0</v>
      </c>
      <c r="DK77" s="274"/>
      <c r="DL77" s="275">
        <f t="shared" si="137"/>
        <v>0</v>
      </c>
      <c r="DM77" s="274"/>
      <c r="DN77" s="275">
        <f t="shared" si="138"/>
        <v>0</v>
      </c>
      <c r="DO77" s="274"/>
      <c r="DP77" s="275">
        <f t="shared" si="139"/>
        <v>0</v>
      </c>
      <c r="DQ77" s="276" t="str">
        <f t="shared" si="140"/>
        <v>-</v>
      </c>
      <c r="DR77" s="274">
        <v>0</v>
      </c>
      <c r="DS77" s="274"/>
      <c r="DT77" s="274">
        <v>0</v>
      </c>
      <c r="DU77" s="274"/>
      <c r="DV77" s="274"/>
      <c r="DW77" s="274"/>
      <c r="DX77" s="275">
        <f t="shared" si="141"/>
        <v>0</v>
      </c>
      <c r="DY77" s="276" t="str">
        <f t="shared" si="142"/>
        <v>-</v>
      </c>
      <c r="DZ77" s="274">
        <v>0</v>
      </c>
      <c r="EA77" s="274"/>
      <c r="EB77" s="274">
        <v>0</v>
      </c>
      <c r="EC77" s="274"/>
      <c r="ED77" s="274"/>
      <c r="EE77" s="274"/>
      <c r="EF77" s="275">
        <f t="shared" si="143"/>
        <v>0</v>
      </c>
      <c r="EG77" s="276" t="str">
        <f t="shared" si="144"/>
        <v>-</v>
      </c>
      <c r="EH77" s="274">
        <v>0</v>
      </c>
      <c r="EI77" s="274"/>
      <c r="EJ77" s="274">
        <v>0</v>
      </c>
      <c r="EK77" s="274"/>
      <c r="EL77" s="274"/>
      <c r="EM77" s="274"/>
      <c r="EN77" s="275">
        <f t="shared" si="145"/>
        <v>0</v>
      </c>
      <c r="EO77" s="276" t="str">
        <f t="shared" si="146"/>
        <v>-</v>
      </c>
    </row>
    <row r="78" spans="1:145" ht="19.5" customHeight="1" x14ac:dyDescent="0.35">
      <c r="A78" s="264" t="s">
        <v>1682</v>
      </c>
      <c r="B78" s="32" t="s">
        <v>1683</v>
      </c>
      <c r="C78" s="234"/>
      <c r="D78" s="234"/>
      <c r="E78" s="235">
        <v>5</v>
      </c>
      <c r="F78" s="232"/>
      <c r="G78" s="236"/>
      <c r="H78" s="243"/>
      <c r="I78" s="252"/>
      <c r="J78" s="275">
        <f t="shared" si="98"/>
        <v>0</v>
      </c>
      <c r="K78" s="274"/>
      <c r="L78" s="275">
        <f t="shared" si="99"/>
        <v>0</v>
      </c>
      <c r="M78" s="274"/>
      <c r="N78" s="275">
        <f t="shared" si="100"/>
        <v>0</v>
      </c>
      <c r="O78" s="274"/>
      <c r="P78" s="275">
        <f t="shared" si="101"/>
        <v>0</v>
      </c>
      <c r="Q78" s="276" t="str">
        <f t="shared" si="102"/>
        <v>-</v>
      </c>
      <c r="R78" s="275">
        <f t="shared" si="103"/>
        <v>0</v>
      </c>
      <c r="S78" s="274"/>
      <c r="T78" s="275">
        <f t="shared" si="104"/>
        <v>0</v>
      </c>
      <c r="U78" s="274"/>
      <c r="V78" s="275">
        <f t="shared" si="105"/>
        <v>0</v>
      </c>
      <c r="W78" s="274"/>
      <c r="X78" s="275">
        <f t="shared" si="106"/>
        <v>0</v>
      </c>
      <c r="Y78" s="276" t="str">
        <f t="shared" si="107"/>
        <v>-</v>
      </c>
      <c r="Z78" s="277"/>
      <c r="AA78" s="274"/>
      <c r="AB78" s="277"/>
      <c r="AC78" s="274"/>
      <c r="AD78" s="277"/>
      <c r="AE78" s="274"/>
      <c r="AF78" s="275">
        <f t="shared" si="108"/>
        <v>0</v>
      </c>
      <c r="AG78" s="276" t="str">
        <f t="shared" si="109"/>
        <v>-</v>
      </c>
      <c r="AH78" s="277"/>
      <c r="AI78" s="274"/>
      <c r="AJ78" s="277"/>
      <c r="AK78" s="274"/>
      <c r="AL78" s="277"/>
      <c r="AM78" s="274"/>
      <c r="AN78" s="275">
        <f t="shared" si="110"/>
        <v>0</v>
      </c>
      <c r="AO78" s="276" t="str">
        <f t="shared" si="111"/>
        <v>-</v>
      </c>
      <c r="AP78" s="277"/>
      <c r="AQ78" s="274"/>
      <c r="AR78" s="277"/>
      <c r="AS78" s="274"/>
      <c r="AT78" s="277"/>
      <c r="AU78" s="274"/>
      <c r="AV78" s="275">
        <f t="shared" si="112"/>
        <v>0</v>
      </c>
      <c r="AW78" s="276" t="str">
        <f t="shared" si="113"/>
        <v>-</v>
      </c>
      <c r="AX78" s="275">
        <f t="shared" si="114"/>
        <v>0</v>
      </c>
      <c r="AY78" s="274"/>
      <c r="AZ78" s="275">
        <f t="shared" si="115"/>
        <v>0</v>
      </c>
      <c r="BA78" s="274"/>
      <c r="BB78" s="275">
        <f t="shared" si="116"/>
        <v>0</v>
      </c>
      <c r="BC78" s="274"/>
      <c r="BD78" s="275">
        <f t="shared" si="117"/>
        <v>0</v>
      </c>
      <c r="BE78" s="276" t="str">
        <f t="shared" si="118"/>
        <v>-</v>
      </c>
      <c r="BF78" s="277"/>
      <c r="BG78" s="274"/>
      <c r="BH78" s="277"/>
      <c r="BI78" s="274"/>
      <c r="BJ78" s="277"/>
      <c r="BK78" s="274"/>
      <c r="BL78" s="275">
        <f t="shared" si="119"/>
        <v>0</v>
      </c>
      <c r="BM78" s="276" t="str">
        <f t="shared" si="120"/>
        <v>-</v>
      </c>
      <c r="BN78" s="277"/>
      <c r="BO78" s="274"/>
      <c r="BP78" s="277"/>
      <c r="BQ78" s="274"/>
      <c r="BR78" s="277"/>
      <c r="BS78" s="274"/>
      <c r="BT78" s="275">
        <f t="shared" si="121"/>
        <v>0</v>
      </c>
      <c r="BU78" s="276" t="str">
        <f t="shared" si="122"/>
        <v>-</v>
      </c>
      <c r="BV78" s="277"/>
      <c r="BW78" s="274"/>
      <c r="BX78" s="277"/>
      <c r="BY78" s="274"/>
      <c r="BZ78" s="277"/>
      <c r="CA78" s="274"/>
      <c r="CB78" s="275">
        <f t="shared" si="123"/>
        <v>0</v>
      </c>
      <c r="CC78" s="276" t="str">
        <f t="shared" si="124"/>
        <v>-</v>
      </c>
      <c r="CD78" s="275">
        <f t="shared" si="125"/>
        <v>0</v>
      </c>
      <c r="CE78" s="274"/>
      <c r="CF78" s="275">
        <f t="shared" si="126"/>
        <v>0</v>
      </c>
      <c r="CG78" s="274"/>
      <c r="CH78" s="275">
        <f t="shared" si="127"/>
        <v>0</v>
      </c>
      <c r="CI78" s="274"/>
      <c r="CJ78" s="275">
        <f t="shared" si="128"/>
        <v>0</v>
      </c>
      <c r="CK78" s="276" t="str">
        <f t="shared" si="129"/>
        <v>-</v>
      </c>
      <c r="CL78" s="277"/>
      <c r="CM78" s="274"/>
      <c r="CN78" s="277"/>
      <c r="CO78" s="274"/>
      <c r="CP78" s="277"/>
      <c r="CQ78" s="274"/>
      <c r="CR78" s="275">
        <f t="shared" si="130"/>
        <v>0</v>
      </c>
      <c r="CS78" s="276" t="str">
        <f t="shared" si="131"/>
        <v>-</v>
      </c>
      <c r="CT78" s="277"/>
      <c r="CU78" s="274"/>
      <c r="CV78" s="277"/>
      <c r="CW78" s="274"/>
      <c r="CX78" s="277"/>
      <c r="CY78" s="274"/>
      <c r="CZ78" s="275">
        <f t="shared" si="132"/>
        <v>0</v>
      </c>
      <c r="DA78" s="276" t="str">
        <f t="shared" si="133"/>
        <v>-</v>
      </c>
      <c r="DB78" s="277"/>
      <c r="DC78" s="274"/>
      <c r="DD78" s="277"/>
      <c r="DE78" s="274"/>
      <c r="DF78" s="277"/>
      <c r="DG78" s="274"/>
      <c r="DH78" s="275">
        <f t="shared" si="134"/>
        <v>0</v>
      </c>
      <c r="DI78" s="276" t="str">
        <f t="shared" si="135"/>
        <v>-</v>
      </c>
      <c r="DJ78" s="275">
        <f t="shared" si="136"/>
        <v>0</v>
      </c>
      <c r="DK78" s="274"/>
      <c r="DL78" s="275">
        <f t="shared" si="137"/>
        <v>0</v>
      </c>
      <c r="DM78" s="274"/>
      <c r="DN78" s="275">
        <f t="shared" si="138"/>
        <v>0</v>
      </c>
      <c r="DO78" s="274"/>
      <c r="DP78" s="275">
        <f t="shared" si="139"/>
        <v>0</v>
      </c>
      <c r="DQ78" s="276" t="str">
        <f t="shared" si="140"/>
        <v>-</v>
      </c>
      <c r="DR78" s="277"/>
      <c r="DS78" s="274"/>
      <c r="DT78" s="277"/>
      <c r="DU78" s="274"/>
      <c r="DV78" s="277"/>
      <c r="DW78" s="274"/>
      <c r="DX78" s="275">
        <f t="shared" si="141"/>
        <v>0</v>
      </c>
      <c r="DY78" s="276" t="str">
        <f t="shared" si="142"/>
        <v>-</v>
      </c>
      <c r="DZ78" s="277"/>
      <c r="EA78" s="274"/>
      <c r="EB78" s="277"/>
      <c r="EC78" s="274"/>
      <c r="ED78" s="277"/>
      <c r="EE78" s="274"/>
      <c r="EF78" s="275">
        <f t="shared" si="143"/>
        <v>0</v>
      </c>
      <c r="EG78" s="276" t="str">
        <f t="shared" si="144"/>
        <v>-</v>
      </c>
      <c r="EH78" s="277"/>
      <c r="EI78" s="274"/>
      <c r="EJ78" s="277"/>
      <c r="EK78" s="274"/>
      <c r="EL78" s="277"/>
      <c r="EM78" s="274"/>
      <c r="EN78" s="275">
        <f t="shared" si="145"/>
        <v>0</v>
      </c>
      <c r="EO78" s="276" t="str">
        <f t="shared" si="146"/>
        <v>-</v>
      </c>
    </row>
    <row r="79" spans="1:145" ht="39" customHeight="1" x14ac:dyDescent="0.35">
      <c r="A79" s="264"/>
      <c r="B79" s="23" t="s">
        <v>1684</v>
      </c>
      <c r="C79" s="234" t="s">
        <v>1685</v>
      </c>
      <c r="D79" s="234"/>
      <c r="E79" s="235"/>
      <c r="F79" s="232"/>
      <c r="G79" s="236"/>
      <c r="H79" s="243"/>
      <c r="I79" s="252"/>
      <c r="J79" s="275">
        <f t="shared" si="98"/>
        <v>0</v>
      </c>
      <c r="K79" s="274"/>
      <c r="L79" s="275">
        <f t="shared" si="99"/>
        <v>0</v>
      </c>
      <c r="M79" s="274"/>
      <c r="N79" s="275">
        <f t="shared" si="100"/>
        <v>0</v>
      </c>
      <c r="O79" s="274"/>
      <c r="P79" s="275">
        <f t="shared" si="101"/>
        <v>0</v>
      </c>
      <c r="Q79" s="276" t="str">
        <f t="shared" si="102"/>
        <v>-</v>
      </c>
      <c r="R79" s="275">
        <f t="shared" si="103"/>
        <v>0</v>
      </c>
      <c r="S79" s="274"/>
      <c r="T79" s="275">
        <f t="shared" si="104"/>
        <v>0</v>
      </c>
      <c r="U79" s="274"/>
      <c r="V79" s="275">
        <f t="shared" si="105"/>
        <v>0</v>
      </c>
      <c r="W79" s="274"/>
      <c r="X79" s="275">
        <f t="shared" si="106"/>
        <v>0</v>
      </c>
      <c r="Y79" s="276" t="str">
        <f t="shared" si="107"/>
        <v>-</v>
      </c>
      <c r="Z79" s="274"/>
      <c r="AA79" s="274"/>
      <c r="AB79" s="274"/>
      <c r="AC79" s="274"/>
      <c r="AD79" s="274"/>
      <c r="AE79" s="274"/>
      <c r="AF79" s="275">
        <f t="shared" si="108"/>
        <v>0</v>
      </c>
      <c r="AG79" s="276" t="str">
        <f t="shared" si="109"/>
        <v>-</v>
      </c>
      <c r="AH79" s="274"/>
      <c r="AI79" s="274"/>
      <c r="AJ79" s="274"/>
      <c r="AK79" s="274"/>
      <c r="AL79" s="274"/>
      <c r="AM79" s="274"/>
      <c r="AN79" s="275">
        <f t="shared" si="110"/>
        <v>0</v>
      </c>
      <c r="AO79" s="276" t="str">
        <f t="shared" si="111"/>
        <v>-</v>
      </c>
      <c r="AP79" s="274"/>
      <c r="AQ79" s="274"/>
      <c r="AR79" s="274"/>
      <c r="AS79" s="274"/>
      <c r="AT79" s="274"/>
      <c r="AU79" s="274"/>
      <c r="AV79" s="275">
        <f t="shared" si="112"/>
        <v>0</v>
      </c>
      <c r="AW79" s="276" t="str">
        <f t="shared" si="113"/>
        <v>-</v>
      </c>
      <c r="AX79" s="275">
        <f t="shared" si="114"/>
        <v>0</v>
      </c>
      <c r="AY79" s="274"/>
      <c r="AZ79" s="275">
        <f t="shared" si="115"/>
        <v>0</v>
      </c>
      <c r="BA79" s="274"/>
      <c r="BB79" s="275">
        <f t="shared" si="116"/>
        <v>0</v>
      </c>
      <c r="BC79" s="274"/>
      <c r="BD79" s="275">
        <f t="shared" si="117"/>
        <v>0</v>
      </c>
      <c r="BE79" s="276" t="str">
        <f t="shared" si="118"/>
        <v>-</v>
      </c>
      <c r="BF79" s="274"/>
      <c r="BG79" s="274"/>
      <c r="BH79" s="274"/>
      <c r="BI79" s="274"/>
      <c r="BJ79" s="274"/>
      <c r="BK79" s="274"/>
      <c r="BL79" s="275">
        <f t="shared" si="119"/>
        <v>0</v>
      </c>
      <c r="BM79" s="276" t="str">
        <f t="shared" si="120"/>
        <v>-</v>
      </c>
      <c r="BN79" s="274"/>
      <c r="BO79" s="274"/>
      <c r="BP79" s="274"/>
      <c r="BQ79" s="274"/>
      <c r="BR79" s="274"/>
      <c r="BS79" s="274"/>
      <c r="BT79" s="275">
        <f t="shared" si="121"/>
        <v>0</v>
      </c>
      <c r="BU79" s="276" t="str">
        <f t="shared" si="122"/>
        <v>-</v>
      </c>
      <c r="BV79" s="274"/>
      <c r="BW79" s="274"/>
      <c r="BX79" s="274"/>
      <c r="BY79" s="274"/>
      <c r="BZ79" s="274"/>
      <c r="CA79" s="274"/>
      <c r="CB79" s="275">
        <f t="shared" si="123"/>
        <v>0</v>
      </c>
      <c r="CC79" s="276" t="str">
        <f t="shared" si="124"/>
        <v>-</v>
      </c>
      <c r="CD79" s="275">
        <f t="shared" si="125"/>
        <v>0</v>
      </c>
      <c r="CE79" s="274"/>
      <c r="CF79" s="275">
        <f t="shared" si="126"/>
        <v>0</v>
      </c>
      <c r="CG79" s="274"/>
      <c r="CH79" s="275">
        <f t="shared" si="127"/>
        <v>0</v>
      </c>
      <c r="CI79" s="274"/>
      <c r="CJ79" s="275">
        <f t="shared" si="128"/>
        <v>0</v>
      </c>
      <c r="CK79" s="276" t="str">
        <f t="shared" si="129"/>
        <v>-</v>
      </c>
      <c r="CL79" s="274"/>
      <c r="CM79" s="274"/>
      <c r="CN79" s="274"/>
      <c r="CO79" s="274"/>
      <c r="CP79" s="274"/>
      <c r="CQ79" s="274"/>
      <c r="CR79" s="275">
        <f t="shared" si="130"/>
        <v>0</v>
      </c>
      <c r="CS79" s="276" t="str">
        <f t="shared" si="131"/>
        <v>-</v>
      </c>
      <c r="CT79" s="274"/>
      <c r="CU79" s="274"/>
      <c r="CV79" s="274"/>
      <c r="CW79" s="274"/>
      <c r="CX79" s="274"/>
      <c r="CY79" s="274"/>
      <c r="CZ79" s="275">
        <f t="shared" si="132"/>
        <v>0</v>
      </c>
      <c r="DA79" s="276" t="str">
        <f t="shared" si="133"/>
        <v>-</v>
      </c>
      <c r="DB79" s="274"/>
      <c r="DC79" s="274"/>
      <c r="DD79" s="274"/>
      <c r="DE79" s="274"/>
      <c r="DF79" s="274"/>
      <c r="DG79" s="274"/>
      <c r="DH79" s="275">
        <f t="shared" si="134"/>
        <v>0</v>
      </c>
      <c r="DI79" s="276" t="str">
        <f t="shared" si="135"/>
        <v>-</v>
      </c>
      <c r="DJ79" s="275">
        <f t="shared" si="136"/>
        <v>0</v>
      </c>
      <c r="DK79" s="274"/>
      <c r="DL79" s="275">
        <f t="shared" si="137"/>
        <v>0</v>
      </c>
      <c r="DM79" s="274"/>
      <c r="DN79" s="275">
        <f t="shared" si="138"/>
        <v>0</v>
      </c>
      <c r="DO79" s="274"/>
      <c r="DP79" s="275">
        <f t="shared" si="139"/>
        <v>0</v>
      </c>
      <c r="DQ79" s="276" t="str">
        <f t="shared" si="140"/>
        <v>-</v>
      </c>
      <c r="DR79" s="274"/>
      <c r="DS79" s="274"/>
      <c r="DT79" s="274"/>
      <c r="DU79" s="274"/>
      <c r="DV79" s="274"/>
      <c r="DW79" s="274"/>
      <c r="DX79" s="275">
        <f t="shared" si="141"/>
        <v>0</v>
      </c>
      <c r="DY79" s="276" t="str">
        <f t="shared" si="142"/>
        <v>-</v>
      </c>
      <c r="DZ79" s="274"/>
      <c r="EA79" s="274"/>
      <c r="EB79" s="274"/>
      <c r="EC79" s="274"/>
      <c r="ED79" s="274"/>
      <c r="EE79" s="274"/>
      <c r="EF79" s="275">
        <f t="shared" si="143"/>
        <v>0</v>
      </c>
      <c r="EG79" s="276" t="str">
        <f t="shared" si="144"/>
        <v>-</v>
      </c>
      <c r="EH79" s="274"/>
      <c r="EI79" s="274"/>
      <c r="EJ79" s="274"/>
      <c r="EK79" s="274"/>
      <c r="EL79" s="274"/>
      <c r="EM79" s="274"/>
      <c r="EN79" s="275">
        <f t="shared" si="145"/>
        <v>0</v>
      </c>
      <c r="EO79" s="276" t="str">
        <f t="shared" si="146"/>
        <v>-</v>
      </c>
    </row>
    <row r="80" spans="1:145" ht="19.5" customHeight="1" x14ac:dyDescent="0.35">
      <c r="A80" s="213"/>
      <c r="B80" s="23" t="s">
        <v>1230</v>
      </c>
      <c r="C80" s="234" t="s">
        <v>1686</v>
      </c>
      <c r="D80" s="234"/>
      <c r="E80" s="235"/>
      <c r="F80" s="232"/>
      <c r="G80" s="236"/>
      <c r="H80" s="243"/>
      <c r="I80" s="252"/>
      <c r="J80" s="275">
        <f t="shared" si="98"/>
        <v>0.20199999999999999</v>
      </c>
      <c r="K80" s="274"/>
      <c r="L80" s="275">
        <f t="shared" si="99"/>
        <v>0.20199999999999999</v>
      </c>
      <c r="M80" s="274"/>
      <c r="N80" s="275">
        <f t="shared" si="100"/>
        <v>0</v>
      </c>
      <c r="O80" s="274"/>
      <c r="P80" s="275">
        <f t="shared" si="101"/>
        <v>0</v>
      </c>
      <c r="Q80" s="276">
        <f t="shared" si="102"/>
        <v>1</v>
      </c>
      <c r="R80" s="275">
        <f t="shared" si="103"/>
        <v>4.1999999999999996E-2</v>
      </c>
      <c r="S80" s="274"/>
      <c r="T80" s="275">
        <f t="shared" si="104"/>
        <v>4.1999999999999996E-2</v>
      </c>
      <c r="U80" s="274"/>
      <c r="V80" s="275">
        <f t="shared" si="105"/>
        <v>0</v>
      </c>
      <c r="W80" s="274"/>
      <c r="X80" s="275">
        <f t="shared" si="106"/>
        <v>0</v>
      </c>
      <c r="Y80" s="276">
        <f t="shared" si="107"/>
        <v>1</v>
      </c>
      <c r="Z80" s="274">
        <v>1.7999999999999999E-2</v>
      </c>
      <c r="AA80" s="274"/>
      <c r="AB80" s="274">
        <v>1.7999999999999999E-2</v>
      </c>
      <c r="AC80" s="274"/>
      <c r="AD80" s="274"/>
      <c r="AE80" s="274"/>
      <c r="AF80" s="275">
        <f t="shared" si="108"/>
        <v>0</v>
      </c>
      <c r="AG80" s="276">
        <f t="shared" si="109"/>
        <v>1</v>
      </c>
      <c r="AH80" s="274">
        <v>7.0000000000000001E-3</v>
      </c>
      <c r="AI80" s="274"/>
      <c r="AJ80" s="274">
        <v>7.0000000000000001E-3</v>
      </c>
      <c r="AK80" s="274"/>
      <c r="AL80" s="274"/>
      <c r="AM80" s="274"/>
      <c r="AN80" s="275">
        <f t="shared" si="110"/>
        <v>0</v>
      </c>
      <c r="AO80" s="276">
        <f t="shared" si="111"/>
        <v>1</v>
      </c>
      <c r="AP80" s="274">
        <v>1.7000000000000001E-2</v>
      </c>
      <c r="AQ80" s="274"/>
      <c r="AR80" s="274">
        <v>1.7000000000000001E-2</v>
      </c>
      <c r="AS80" s="274"/>
      <c r="AT80" s="274"/>
      <c r="AU80" s="274"/>
      <c r="AV80" s="275">
        <f t="shared" si="112"/>
        <v>0</v>
      </c>
      <c r="AW80" s="276">
        <f t="shared" si="113"/>
        <v>1</v>
      </c>
      <c r="AX80" s="275">
        <f t="shared" si="114"/>
        <v>6.9000000000000006E-2</v>
      </c>
      <c r="AY80" s="274"/>
      <c r="AZ80" s="275">
        <f t="shared" si="115"/>
        <v>6.9000000000000006E-2</v>
      </c>
      <c r="BA80" s="274"/>
      <c r="BB80" s="275">
        <f t="shared" si="116"/>
        <v>0</v>
      </c>
      <c r="BC80" s="274"/>
      <c r="BD80" s="275">
        <f t="shared" si="117"/>
        <v>0</v>
      </c>
      <c r="BE80" s="276">
        <f t="shared" si="118"/>
        <v>1</v>
      </c>
      <c r="BF80" s="274">
        <v>4.2000000000000003E-2</v>
      </c>
      <c r="BG80" s="274"/>
      <c r="BH80" s="274">
        <v>4.2000000000000003E-2</v>
      </c>
      <c r="BI80" s="274"/>
      <c r="BJ80" s="274"/>
      <c r="BK80" s="274"/>
      <c r="BL80" s="275">
        <f t="shared" si="119"/>
        <v>0</v>
      </c>
      <c r="BM80" s="276">
        <f t="shared" si="120"/>
        <v>1</v>
      </c>
      <c r="BN80" s="274">
        <v>2.7E-2</v>
      </c>
      <c r="BO80" s="274"/>
      <c r="BP80" s="274">
        <v>2.7E-2</v>
      </c>
      <c r="BQ80" s="274"/>
      <c r="BR80" s="274"/>
      <c r="BS80" s="274"/>
      <c r="BT80" s="275">
        <f t="shared" si="121"/>
        <v>0</v>
      </c>
      <c r="BU80" s="276">
        <f t="shared" si="122"/>
        <v>1</v>
      </c>
      <c r="BV80" s="274"/>
      <c r="BW80" s="274"/>
      <c r="BX80" s="274"/>
      <c r="BY80" s="274"/>
      <c r="BZ80" s="274"/>
      <c r="CA80" s="274"/>
      <c r="CB80" s="275">
        <f t="shared" si="123"/>
        <v>0</v>
      </c>
      <c r="CC80" s="276" t="str">
        <f t="shared" si="124"/>
        <v>-</v>
      </c>
      <c r="CD80" s="275">
        <f t="shared" si="125"/>
        <v>6.3E-2</v>
      </c>
      <c r="CE80" s="274"/>
      <c r="CF80" s="275">
        <f t="shared" si="126"/>
        <v>6.3E-2</v>
      </c>
      <c r="CG80" s="274"/>
      <c r="CH80" s="275">
        <f t="shared" si="127"/>
        <v>0</v>
      </c>
      <c r="CI80" s="274"/>
      <c r="CJ80" s="275">
        <f t="shared" si="128"/>
        <v>0</v>
      </c>
      <c r="CK80" s="276">
        <f t="shared" si="129"/>
        <v>1</v>
      </c>
      <c r="CL80" s="274">
        <v>-2.8000000000000001E-2</v>
      </c>
      <c r="CM80" s="274"/>
      <c r="CN80" s="274">
        <v>-2.8000000000000001E-2</v>
      </c>
      <c r="CO80" s="274"/>
      <c r="CP80" s="274"/>
      <c r="CQ80" s="274"/>
      <c r="CR80" s="275">
        <f t="shared" si="130"/>
        <v>0</v>
      </c>
      <c r="CS80" s="276">
        <f t="shared" si="131"/>
        <v>1</v>
      </c>
      <c r="CT80" s="274">
        <v>4.7E-2</v>
      </c>
      <c r="CU80" s="274"/>
      <c r="CV80" s="274">
        <v>4.7E-2</v>
      </c>
      <c r="CW80" s="274"/>
      <c r="CX80" s="274"/>
      <c r="CY80" s="274"/>
      <c r="CZ80" s="275">
        <f t="shared" si="132"/>
        <v>0</v>
      </c>
      <c r="DA80" s="276">
        <f t="shared" si="133"/>
        <v>1</v>
      </c>
      <c r="DB80" s="274">
        <v>4.3999999999999997E-2</v>
      </c>
      <c r="DC80" s="274"/>
      <c r="DD80" s="274">
        <v>4.3999999999999997E-2</v>
      </c>
      <c r="DE80" s="274"/>
      <c r="DF80" s="274"/>
      <c r="DG80" s="274"/>
      <c r="DH80" s="275">
        <f t="shared" si="134"/>
        <v>0</v>
      </c>
      <c r="DI80" s="276">
        <f t="shared" si="135"/>
        <v>1</v>
      </c>
      <c r="DJ80" s="275">
        <f t="shared" si="136"/>
        <v>2.7999999999999997E-2</v>
      </c>
      <c r="DK80" s="274"/>
      <c r="DL80" s="275">
        <f t="shared" si="137"/>
        <v>2.7999999999999997E-2</v>
      </c>
      <c r="DM80" s="274"/>
      <c r="DN80" s="275">
        <f t="shared" si="138"/>
        <v>0</v>
      </c>
      <c r="DO80" s="274"/>
      <c r="DP80" s="275">
        <f t="shared" si="139"/>
        <v>0</v>
      </c>
      <c r="DQ80" s="276">
        <f t="shared" si="140"/>
        <v>1</v>
      </c>
      <c r="DR80" s="274">
        <v>-3.0000000000000001E-3</v>
      </c>
      <c r="DS80" s="274"/>
      <c r="DT80" s="274">
        <v>-3.0000000000000001E-3</v>
      </c>
      <c r="DU80" s="274"/>
      <c r="DV80" s="274"/>
      <c r="DW80" s="274"/>
      <c r="DX80" s="275">
        <f t="shared" si="141"/>
        <v>0</v>
      </c>
      <c r="DY80" s="276">
        <f t="shared" si="142"/>
        <v>1</v>
      </c>
      <c r="DZ80" s="274">
        <v>1.2999999999999999E-2</v>
      </c>
      <c r="EA80" s="274"/>
      <c r="EB80" s="274">
        <v>1.2999999999999999E-2</v>
      </c>
      <c r="EC80" s="274"/>
      <c r="ED80" s="274"/>
      <c r="EE80" s="274"/>
      <c r="EF80" s="275">
        <f t="shared" si="143"/>
        <v>0</v>
      </c>
      <c r="EG80" s="276">
        <f t="shared" si="144"/>
        <v>1</v>
      </c>
      <c r="EH80" s="274">
        <v>1.7999999999999999E-2</v>
      </c>
      <c r="EI80" s="274"/>
      <c r="EJ80" s="274">
        <v>1.7999999999999999E-2</v>
      </c>
      <c r="EK80" s="274"/>
      <c r="EL80" s="274"/>
      <c r="EM80" s="274"/>
      <c r="EN80" s="275">
        <f t="shared" si="145"/>
        <v>0</v>
      </c>
      <c r="EO80" s="276">
        <f t="shared" si="146"/>
        <v>1</v>
      </c>
    </row>
    <row r="81" spans="1:145" ht="25.5" customHeight="1" x14ac:dyDescent="0.3">
      <c r="A81" s="214"/>
      <c r="B81" s="252"/>
      <c r="C81" s="234"/>
      <c r="D81" s="234" t="s">
        <v>1687</v>
      </c>
      <c r="E81" s="235"/>
      <c r="F81" s="233" t="s">
        <v>1688</v>
      </c>
      <c r="G81" s="236"/>
      <c r="H81" s="243"/>
      <c r="I81" s="252"/>
      <c r="J81" s="275">
        <f>Лист1!J73+Лист1!J74</f>
        <v>542.20000000000005</v>
      </c>
      <c r="K81" s="275">
        <f>Лист1!K73+Лист1!K74</f>
        <v>0</v>
      </c>
      <c r="L81" s="275">
        <f>Лист1!L73+Лист1!L74</f>
        <v>542.20000000000005</v>
      </c>
      <c r="M81" s="275">
        <f>Лист1!M73+Лист1!M74</f>
        <v>0</v>
      </c>
      <c r="N81" s="275">
        <f>Лист1!N73+Лист1!N74</f>
        <v>20.176490999999999</v>
      </c>
      <c r="O81" s="275">
        <f>Лист1!O73+Лист1!O74</f>
        <v>0</v>
      </c>
      <c r="P81" s="275">
        <f t="shared" si="101"/>
        <v>0</v>
      </c>
      <c r="Q81" s="276">
        <f t="shared" si="102"/>
        <v>1</v>
      </c>
      <c r="R81" s="275">
        <f>Лист1!R73+Лист1!R74</f>
        <v>159.80000000000001</v>
      </c>
      <c r="S81" s="275">
        <f>Лист1!S73+Лист1!S74</f>
        <v>0</v>
      </c>
      <c r="T81" s="275">
        <f>Лист1!T73+Лист1!T74</f>
        <v>159.80000000000001</v>
      </c>
      <c r="U81" s="275">
        <f>Лист1!U73+Лист1!U74</f>
        <v>0</v>
      </c>
      <c r="V81" s="275">
        <f>Лист1!V73+Лист1!V74</f>
        <v>0.8236</v>
      </c>
      <c r="W81" s="275">
        <f>Лист1!W73+Лист1!W74</f>
        <v>0</v>
      </c>
      <c r="X81" s="275">
        <f t="shared" si="106"/>
        <v>0</v>
      </c>
      <c r="Y81" s="276">
        <f t="shared" si="107"/>
        <v>1</v>
      </c>
      <c r="Z81" s="275">
        <f>Лист1!Z73+Лист1!Z74</f>
        <v>54.300000000000004</v>
      </c>
      <c r="AA81" s="275">
        <f>Лист1!AA73+Лист1!AA74</f>
        <v>0</v>
      </c>
      <c r="AB81" s="275">
        <f>Лист1!AB73+Лист1!AB74</f>
        <v>54.300000000000004</v>
      </c>
      <c r="AC81" s="275">
        <f>Лист1!AC73+Лист1!AC74</f>
        <v>0</v>
      </c>
      <c r="AD81" s="275">
        <f>Лист1!AD73+Лист1!AD74</f>
        <v>0</v>
      </c>
      <c r="AE81" s="275">
        <f>Лист1!AE73+Лист1!AE74</f>
        <v>0</v>
      </c>
      <c r="AF81" s="275">
        <f t="shared" si="108"/>
        <v>0</v>
      </c>
      <c r="AG81" s="276">
        <f t="shared" si="109"/>
        <v>1</v>
      </c>
      <c r="AH81" s="275">
        <f>Лист1!AH73+Лист1!AH74</f>
        <v>49.8</v>
      </c>
      <c r="AI81" s="275">
        <f>Лист1!AI73+Лист1!AI74</f>
        <v>0</v>
      </c>
      <c r="AJ81" s="275">
        <f>Лист1!AJ73+Лист1!AJ74</f>
        <v>49.8</v>
      </c>
      <c r="AK81" s="275">
        <f>Лист1!AK73+Лист1!AK74</f>
        <v>0</v>
      </c>
      <c r="AL81" s="275">
        <f>Лист1!AL73+Лист1!AL74</f>
        <v>0</v>
      </c>
      <c r="AM81" s="275">
        <f>Лист1!AM73+Лист1!AM74</f>
        <v>0</v>
      </c>
      <c r="AN81" s="275">
        <f t="shared" si="110"/>
        <v>0</v>
      </c>
      <c r="AO81" s="276">
        <f t="shared" si="111"/>
        <v>1</v>
      </c>
      <c r="AP81" s="275">
        <f>Лист1!AP73+Лист1!AP74</f>
        <v>55.699999999999996</v>
      </c>
      <c r="AQ81" s="275">
        <f>Лист1!AQ73+Лист1!AQ74</f>
        <v>0</v>
      </c>
      <c r="AR81" s="275">
        <f>Лист1!AR73+Лист1!AR74</f>
        <v>55.699999999999996</v>
      </c>
      <c r="AS81" s="275">
        <f>Лист1!AS73+Лист1!AS74</f>
        <v>0</v>
      </c>
      <c r="AT81" s="275">
        <f>Лист1!AT73+Лист1!AT74</f>
        <v>0.8236</v>
      </c>
      <c r="AU81" s="275">
        <f>Лист1!AU73+Лист1!AU74</f>
        <v>0</v>
      </c>
      <c r="AV81" s="275">
        <f t="shared" si="112"/>
        <v>0</v>
      </c>
      <c r="AW81" s="276">
        <f t="shared" si="113"/>
        <v>1</v>
      </c>
      <c r="AX81" s="275">
        <f>Лист1!AX73+Лист1!AX74</f>
        <v>70.5</v>
      </c>
      <c r="AY81" s="275">
        <f>Лист1!AY73+Лист1!AY74</f>
        <v>0</v>
      </c>
      <c r="AZ81" s="275">
        <f>Лист1!AZ73+Лист1!AZ74</f>
        <v>70.5</v>
      </c>
      <c r="BA81" s="275">
        <f>Лист1!BA73+Лист1!BA74</f>
        <v>0</v>
      </c>
      <c r="BB81" s="275">
        <f>Лист1!BB73+Лист1!BB74</f>
        <v>19.352891</v>
      </c>
      <c r="BC81" s="275">
        <f>Лист1!BC73+Лист1!BC74</f>
        <v>0</v>
      </c>
      <c r="BD81" s="275">
        <f t="shared" si="117"/>
        <v>0</v>
      </c>
      <c r="BE81" s="276">
        <f t="shared" si="118"/>
        <v>1</v>
      </c>
      <c r="BF81" s="275">
        <f>Лист1!BF73+Лист1!BF74</f>
        <v>54.900000000000006</v>
      </c>
      <c r="BG81" s="275">
        <f>Лист1!BG73+Лист1!BG74</f>
        <v>0</v>
      </c>
      <c r="BH81" s="275">
        <f>Лист1!BH73+Лист1!BH74</f>
        <v>54.900000000000006</v>
      </c>
      <c r="BI81" s="275">
        <f>Лист1!BI73+Лист1!BI74</f>
        <v>0</v>
      </c>
      <c r="BJ81" s="275">
        <f>Лист1!BJ73+Лист1!BJ74</f>
        <v>0.97889099999999996</v>
      </c>
      <c r="BK81" s="275">
        <f>Лист1!BK73+Лист1!BK74</f>
        <v>0</v>
      </c>
      <c r="BL81" s="275">
        <f t="shared" si="119"/>
        <v>0</v>
      </c>
      <c r="BM81" s="276">
        <f t="shared" si="120"/>
        <v>1</v>
      </c>
      <c r="BN81" s="275">
        <f>Лист1!BN73+Лист1!BN74</f>
        <v>15.600000000000001</v>
      </c>
      <c r="BO81" s="275">
        <f>Лист1!BO73+Лист1!BO74</f>
        <v>0</v>
      </c>
      <c r="BP81" s="275">
        <f>Лист1!BP73+Лист1!BP74</f>
        <v>15.600000000000001</v>
      </c>
      <c r="BQ81" s="275">
        <f>Лист1!BQ73+Лист1!BQ74</f>
        <v>0</v>
      </c>
      <c r="BR81" s="275">
        <f>Лист1!BR73+Лист1!BR74</f>
        <v>18.373999999999999</v>
      </c>
      <c r="BS81" s="275">
        <f>Лист1!BS73+Лист1!BS74</f>
        <v>0</v>
      </c>
      <c r="BT81" s="275">
        <f t="shared" si="121"/>
        <v>0</v>
      </c>
      <c r="BU81" s="276">
        <f t="shared" si="122"/>
        <v>1</v>
      </c>
      <c r="BV81" s="275">
        <f>Лист1!BV73+Лист1!BV74</f>
        <v>0</v>
      </c>
      <c r="BW81" s="275">
        <f>Лист1!BW73+Лист1!BW74</f>
        <v>0</v>
      </c>
      <c r="BX81" s="275">
        <f>Лист1!BX73+Лист1!BX74</f>
        <v>0</v>
      </c>
      <c r="BY81" s="275">
        <f>Лист1!BY73+Лист1!BY74</f>
        <v>0</v>
      </c>
      <c r="BZ81" s="275">
        <f>Лист1!BZ73+Лист1!BZ74</f>
        <v>0</v>
      </c>
      <c r="CA81" s="275">
        <f>Лист1!CA73+Лист1!CA74</f>
        <v>0</v>
      </c>
      <c r="CB81" s="275">
        <f t="shared" si="123"/>
        <v>0</v>
      </c>
      <c r="CC81" s="276" t="str">
        <f t="shared" si="124"/>
        <v>-</v>
      </c>
      <c r="CD81" s="275">
        <f>Лист1!CD73+Лист1!CD74</f>
        <v>148</v>
      </c>
      <c r="CE81" s="275">
        <f>Лист1!CE73+Лист1!CE74</f>
        <v>0</v>
      </c>
      <c r="CF81" s="275">
        <f>Лист1!CF73+Лист1!CF74</f>
        <v>148</v>
      </c>
      <c r="CG81" s="275">
        <f>Лист1!CG73+Лист1!CG74</f>
        <v>0</v>
      </c>
      <c r="CH81" s="275">
        <f>Лист1!CH73+Лист1!CH74</f>
        <v>0</v>
      </c>
      <c r="CI81" s="275">
        <f>Лист1!CI73+Лист1!CI74</f>
        <v>0</v>
      </c>
      <c r="CJ81" s="275">
        <f t="shared" si="128"/>
        <v>0</v>
      </c>
      <c r="CK81" s="276">
        <f t="shared" si="129"/>
        <v>1</v>
      </c>
      <c r="CL81" s="275">
        <f>Лист1!CL73+Лист1!CL74</f>
        <v>40.099999999999994</v>
      </c>
      <c r="CM81" s="275">
        <f>Лист1!CM73+Лист1!CM74</f>
        <v>0</v>
      </c>
      <c r="CN81" s="275">
        <f>Лист1!CN73+Лист1!CN74</f>
        <v>40.099999999999994</v>
      </c>
      <c r="CO81" s="275">
        <f>Лист1!CO73+Лист1!CO74</f>
        <v>0</v>
      </c>
      <c r="CP81" s="275">
        <f>Лист1!CP73+Лист1!CP74</f>
        <v>0</v>
      </c>
      <c r="CQ81" s="275">
        <f>Лист1!CQ73+Лист1!CQ74</f>
        <v>0</v>
      </c>
      <c r="CR81" s="275">
        <f t="shared" si="130"/>
        <v>0</v>
      </c>
      <c r="CS81" s="276">
        <f t="shared" si="131"/>
        <v>1</v>
      </c>
      <c r="CT81" s="275">
        <f>Лист1!CT73+Лист1!CT74</f>
        <v>54.4</v>
      </c>
      <c r="CU81" s="275">
        <f>Лист1!CU73+Лист1!CU74</f>
        <v>0</v>
      </c>
      <c r="CV81" s="275">
        <f>Лист1!CV73+Лист1!CV74</f>
        <v>54.4</v>
      </c>
      <c r="CW81" s="275">
        <f>Лист1!CW73+Лист1!CW74</f>
        <v>0</v>
      </c>
      <c r="CX81" s="275">
        <f>Лист1!CX73+Лист1!CX74</f>
        <v>0</v>
      </c>
      <c r="CY81" s="275">
        <f>Лист1!CY73+Лист1!CY74</f>
        <v>0</v>
      </c>
      <c r="CZ81" s="275">
        <f t="shared" si="132"/>
        <v>0</v>
      </c>
      <c r="DA81" s="276">
        <f t="shared" si="133"/>
        <v>1</v>
      </c>
      <c r="DB81" s="275">
        <f>Лист1!DB73+Лист1!DB74</f>
        <v>53.5</v>
      </c>
      <c r="DC81" s="275">
        <f>Лист1!DC73+Лист1!DC74</f>
        <v>0</v>
      </c>
      <c r="DD81" s="275">
        <f>Лист1!DD73+Лист1!DD74</f>
        <v>53.5</v>
      </c>
      <c r="DE81" s="275">
        <f>Лист1!DE73+Лист1!DE74</f>
        <v>0</v>
      </c>
      <c r="DF81" s="275">
        <f>Лист1!DF73+Лист1!DF74</f>
        <v>0</v>
      </c>
      <c r="DG81" s="275">
        <f>Лист1!DG73+Лист1!DG74</f>
        <v>0</v>
      </c>
      <c r="DH81" s="275">
        <f t="shared" si="134"/>
        <v>0</v>
      </c>
      <c r="DI81" s="276">
        <f t="shared" si="135"/>
        <v>1</v>
      </c>
      <c r="DJ81" s="275">
        <f>Лист1!DJ73+Лист1!DJ74</f>
        <v>163.9</v>
      </c>
      <c r="DK81" s="275">
        <f>Лист1!DK73+Лист1!DK74</f>
        <v>0</v>
      </c>
      <c r="DL81" s="275">
        <f>Лист1!DL73+Лист1!DL74</f>
        <v>163.9</v>
      </c>
      <c r="DM81" s="275">
        <f>Лист1!DM73+Лист1!DM74</f>
        <v>0</v>
      </c>
      <c r="DN81" s="275">
        <f>Лист1!DN73+Лист1!DN74</f>
        <v>0</v>
      </c>
      <c r="DO81" s="275">
        <f>Лист1!DO73+Лист1!DO74</f>
        <v>0</v>
      </c>
      <c r="DP81" s="275">
        <f t="shared" si="139"/>
        <v>0</v>
      </c>
      <c r="DQ81" s="276">
        <f t="shared" si="140"/>
        <v>1</v>
      </c>
      <c r="DR81" s="275">
        <f>Лист1!DR73+Лист1!DR74</f>
        <v>55.099999999999994</v>
      </c>
      <c r="DS81" s="275">
        <f>Лист1!DS73+Лист1!DS74</f>
        <v>0</v>
      </c>
      <c r="DT81" s="275">
        <f>Лист1!DT73+Лист1!DT74</f>
        <v>55.099999999999994</v>
      </c>
      <c r="DU81" s="275">
        <f>Лист1!DU73+Лист1!DU74</f>
        <v>0</v>
      </c>
      <c r="DV81" s="275">
        <f>Лист1!DV73+Лист1!DV74</f>
        <v>0</v>
      </c>
      <c r="DW81" s="275">
        <f>Лист1!DW73+Лист1!DW74</f>
        <v>0</v>
      </c>
      <c r="DX81" s="275">
        <f t="shared" si="141"/>
        <v>0</v>
      </c>
      <c r="DY81" s="276">
        <f t="shared" si="142"/>
        <v>1</v>
      </c>
      <c r="DZ81" s="275">
        <f>Лист1!DZ73+Лист1!DZ74</f>
        <v>53.900000000000006</v>
      </c>
      <c r="EA81" s="275">
        <f>Лист1!EA73+Лист1!EA74</f>
        <v>0</v>
      </c>
      <c r="EB81" s="275">
        <f>Лист1!EB73+Лист1!EB74</f>
        <v>53.900000000000006</v>
      </c>
      <c r="EC81" s="275">
        <f>Лист1!EC73+Лист1!EC74</f>
        <v>0</v>
      </c>
      <c r="ED81" s="275">
        <f>Лист1!ED73+Лист1!ED74</f>
        <v>0</v>
      </c>
      <c r="EE81" s="275">
        <f>Лист1!EE73+Лист1!EE74</f>
        <v>0</v>
      </c>
      <c r="EF81" s="275">
        <f t="shared" si="143"/>
        <v>0</v>
      </c>
      <c r="EG81" s="276">
        <f t="shared" si="144"/>
        <v>1</v>
      </c>
      <c r="EH81" s="275">
        <f>Лист1!EH73+Лист1!EH74</f>
        <v>54.900000000000006</v>
      </c>
      <c r="EI81" s="275">
        <f>Лист1!EI73+Лист1!EI74</f>
        <v>0</v>
      </c>
      <c r="EJ81" s="275">
        <f>Лист1!EJ73+Лист1!EJ74</f>
        <v>54.900000000000006</v>
      </c>
      <c r="EK81" s="275">
        <f>Лист1!EK73+Лист1!EK74</f>
        <v>0</v>
      </c>
      <c r="EL81" s="275">
        <f>Лист1!EL73+Лист1!EL74</f>
        <v>0</v>
      </c>
      <c r="EM81" s="275">
        <f>Лист1!EM73+Лист1!EM74</f>
        <v>0</v>
      </c>
      <c r="EN81" s="275">
        <f t="shared" si="145"/>
        <v>0</v>
      </c>
      <c r="EO81" s="276">
        <f t="shared" si="146"/>
        <v>1</v>
      </c>
    </row>
    <row r="82" spans="1:145" ht="26.25" customHeight="1" x14ac:dyDescent="0.25">
      <c r="A82" s="214"/>
      <c r="B82" s="257"/>
      <c r="C82" s="234"/>
      <c r="D82" s="234" t="s">
        <v>1689</v>
      </c>
      <c r="E82" s="235"/>
      <c r="F82" s="236" t="s">
        <v>1690</v>
      </c>
      <c r="G82" s="236"/>
      <c r="H82" s="243"/>
      <c r="I82" s="257"/>
      <c r="J82" s="278">
        <f>J6+0</f>
        <v>13574.199999999999</v>
      </c>
      <c r="K82" s="272"/>
      <c r="L82" s="278">
        <f>L6+0</f>
        <v>13574.199999999999</v>
      </c>
      <c r="M82" s="272"/>
      <c r="N82" s="278">
        <f>N6+0</f>
        <v>3725.5687019999996</v>
      </c>
      <c r="O82" s="272"/>
      <c r="P82" s="272"/>
      <c r="Q82" s="272"/>
      <c r="R82" s="278">
        <f>R6+0</f>
        <v>3405.4</v>
      </c>
      <c r="S82" s="272"/>
      <c r="T82" s="278">
        <f>T6+0</f>
        <v>3405.4</v>
      </c>
      <c r="U82" s="272"/>
      <c r="V82" s="278">
        <f>V6+0</f>
        <v>2363.5887819999998</v>
      </c>
      <c r="W82" s="272"/>
      <c r="X82" s="272"/>
      <c r="Y82" s="272"/>
      <c r="Z82" s="278">
        <f>Z6+0</f>
        <v>1172.9000000000001</v>
      </c>
      <c r="AA82" s="272"/>
      <c r="AB82" s="278">
        <f>AB6+0</f>
        <v>1172.9000000000001</v>
      </c>
      <c r="AC82" s="272"/>
      <c r="AD82" s="278">
        <f>AD6+0</f>
        <v>852.21490500000004</v>
      </c>
      <c r="AE82" s="272"/>
      <c r="AF82" s="272"/>
      <c r="AG82" s="272"/>
      <c r="AH82" s="278">
        <f>AH6+0</f>
        <v>1059.5</v>
      </c>
      <c r="AI82" s="272"/>
      <c r="AJ82" s="278">
        <f>AJ6+0</f>
        <v>1059.5</v>
      </c>
      <c r="AK82" s="272"/>
      <c r="AL82" s="278">
        <f>AL6+0</f>
        <v>663.76837399999999</v>
      </c>
      <c r="AM82" s="272"/>
      <c r="AN82" s="272"/>
      <c r="AO82" s="272"/>
      <c r="AP82" s="278">
        <f>AP6+0</f>
        <v>1173</v>
      </c>
      <c r="AQ82" s="272"/>
      <c r="AR82" s="278">
        <f>AR6+0</f>
        <v>1173</v>
      </c>
      <c r="AS82" s="272"/>
      <c r="AT82" s="278">
        <f>AT6+0</f>
        <v>847.605503</v>
      </c>
      <c r="AU82" s="272"/>
      <c r="AV82" s="272"/>
      <c r="AW82" s="272"/>
      <c r="AX82" s="278">
        <f>AX6+0</f>
        <v>2597.3999999999996</v>
      </c>
      <c r="AY82" s="272"/>
      <c r="AZ82" s="278">
        <f>AZ6+0</f>
        <v>2597.3999999999996</v>
      </c>
      <c r="BA82" s="272"/>
      <c r="BB82" s="278">
        <f>BB6+0</f>
        <v>1361.97992</v>
      </c>
      <c r="BC82" s="272"/>
      <c r="BD82" s="272"/>
      <c r="BE82" s="272"/>
      <c r="BF82" s="278">
        <f>BF6+0</f>
        <v>1135.2</v>
      </c>
      <c r="BG82" s="272"/>
      <c r="BH82" s="278">
        <f>BH6+0</f>
        <v>1135.2</v>
      </c>
      <c r="BI82" s="272"/>
      <c r="BJ82" s="278">
        <f>BJ6+0</f>
        <v>807.964788</v>
      </c>
      <c r="BK82" s="272"/>
      <c r="BL82" s="272"/>
      <c r="BM82" s="272"/>
      <c r="BN82" s="278">
        <f>BN6+0</f>
        <v>806.4</v>
      </c>
      <c r="BO82" s="272"/>
      <c r="BP82" s="278">
        <f>BP6+0</f>
        <v>806.4</v>
      </c>
      <c r="BQ82" s="272"/>
      <c r="BR82" s="278">
        <f>BR6+0</f>
        <v>328.21300000000002</v>
      </c>
      <c r="BS82" s="272"/>
      <c r="BT82" s="272"/>
      <c r="BU82" s="272"/>
      <c r="BV82" s="278">
        <f>BV6+0</f>
        <v>655.8</v>
      </c>
      <c r="BW82" s="272"/>
      <c r="BX82" s="278">
        <f>BX6+0</f>
        <v>655.8</v>
      </c>
      <c r="BY82" s="272"/>
      <c r="BZ82" s="278">
        <f>BZ6+0</f>
        <v>225.802132</v>
      </c>
      <c r="CA82" s="272"/>
      <c r="CB82" s="272"/>
      <c r="CC82" s="272"/>
      <c r="CD82" s="278">
        <f>CD6+0</f>
        <v>3706</v>
      </c>
      <c r="CE82" s="272"/>
      <c r="CF82" s="278">
        <f>CF6+0</f>
        <v>3706</v>
      </c>
      <c r="CG82" s="272"/>
      <c r="CH82" s="278">
        <f>CH6+0</f>
        <v>0</v>
      </c>
      <c r="CI82" s="272"/>
      <c r="CJ82" s="272"/>
      <c r="CK82" s="272"/>
      <c r="CL82" s="278">
        <f>CL6+0</f>
        <v>1219.5999999999999</v>
      </c>
      <c r="CM82" s="272"/>
      <c r="CN82" s="278">
        <f>CN6+0</f>
        <v>1219.5999999999999</v>
      </c>
      <c r="CO82" s="272"/>
      <c r="CP82" s="278">
        <f>CP6+0</f>
        <v>0</v>
      </c>
      <c r="CQ82" s="272"/>
      <c r="CR82" s="272"/>
      <c r="CS82" s="272"/>
      <c r="CT82" s="278">
        <f>CT6+0</f>
        <v>1225.0999999999999</v>
      </c>
      <c r="CU82" s="272"/>
      <c r="CV82" s="278">
        <f>CV6+0</f>
        <v>1225.0999999999999</v>
      </c>
      <c r="CW82" s="272"/>
      <c r="CX82" s="278">
        <f>CX6+0</f>
        <v>0</v>
      </c>
      <c r="CY82" s="272"/>
      <c r="CZ82" s="272"/>
      <c r="DA82" s="272"/>
      <c r="DB82" s="278">
        <f>DB6+0</f>
        <v>1261.3</v>
      </c>
      <c r="DC82" s="272"/>
      <c r="DD82" s="278">
        <f>DD6+0</f>
        <v>1261.3</v>
      </c>
      <c r="DE82" s="272"/>
      <c r="DF82" s="278">
        <f>DF6+0</f>
        <v>0</v>
      </c>
      <c r="DG82" s="272"/>
      <c r="DH82" s="272"/>
      <c r="DI82" s="272"/>
      <c r="DJ82" s="278">
        <f>DJ6+0</f>
        <v>3865.3999999999996</v>
      </c>
      <c r="DK82" s="272"/>
      <c r="DL82" s="278">
        <f>DL6+0</f>
        <v>3865.3999999999996</v>
      </c>
      <c r="DM82" s="272"/>
      <c r="DN82" s="278">
        <f>DN6+0</f>
        <v>0</v>
      </c>
      <c r="DO82" s="272"/>
      <c r="DP82" s="272"/>
      <c r="DQ82" s="272"/>
      <c r="DR82" s="278">
        <f>DR6+0</f>
        <v>1303.3</v>
      </c>
      <c r="DS82" s="272"/>
      <c r="DT82" s="278">
        <f>DT6+0</f>
        <v>1303.3</v>
      </c>
      <c r="DU82" s="272"/>
      <c r="DV82" s="278">
        <f>DV6+0</f>
        <v>0</v>
      </c>
      <c r="DW82" s="272"/>
      <c r="DX82" s="272"/>
      <c r="DY82" s="272"/>
      <c r="DZ82" s="278">
        <f>DZ6+0</f>
        <v>1261.3</v>
      </c>
      <c r="EA82" s="272"/>
      <c r="EB82" s="278">
        <f>EB6+0</f>
        <v>1261.3</v>
      </c>
      <c r="EC82" s="272"/>
      <c r="ED82" s="278">
        <f>ED6+0</f>
        <v>0</v>
      </c>
      <c r="EE82" s="272"/>
      <c r="EF82" s="272"/>
      <c r="EG82" s="272"/>
      <c r="EH82" s="278">
        <f>EH6+0</f>
        <v>1300.8</v>
      </c>
      <c r="EI82" s="272"/>
      <c r="EJ82" s="278">
        <f>EJ6+0</f>
        <v>1300.8</v>
      </c>
      <c r="EK82" s="272"/>
      <c r="EL82" s="278">
        <f>EL6+0</f>
        <v>0</v>
      </c>
      <c r="EM82" s="272"/>
      <c r="EN82" s="272"/>
      <c r="EO82" s="272"/>
    </row>
    <row r="83" spans="1:145" ht="39" customHeight="1" x14ac:dyDescent="0.25">
      <c r="A83" s="214"/>
      <c r="B83" s="257"/>
      <c r="C83" s="234"/>
      <c r="D83" s="234" t="s">
        <v>1691</v>
      </c>
      <c r="E83" s="235"/>
      <c r="F83" s="236" t="s">
        <v>1692</v>
      </c>
      <c r="G83" s="236"/>
      <c r="H83" s="243"/>
      <c r="I83" s="257"/>
      <c r="J83" s="272"/>
      <c r="K83" s="272"/>
      <c r="L83" s="272"/>
      <c r="M83" s="272"/>
      <c r="N83" s="272"/>
      <c r="O83" s="272"/>
      <c r="P83" s="272"/>
      <c r="Q83" s="272"/>
      <c r="R83" s="272"/>
      <c r="S83" s="272"/>
      <c r="T83" s="272"/>
      <c r="U83" s="272"/>
      <c r="V83" s="272"/>
      <c r="W83" s="272"/>
      <c r="X83" s="272"/>
      <c r="Y83" s="272"/>
      <c r="Z83" s="278">
        <f>ROUND(AB79/AB80*Z80,1)</f>
        <v>0</v>
      </c>
      <c r="AA83" s="272"/>
      <c r="AB83" s="272"/>
      <c r="AC83" s="272"/>
      <c r="AD83" s="272"/>
      <c r="AE83" s="272"/>
      <c r="AF83" s="272"/>
      <c r="AG83" s="272"/>
      <c r="AH83" s="278">
        <f>ROUND(AJ79/AJ80*AH80,1)</f>
        <v>0</v>
      </c>
      <c r="AI83" s="272"/>
      <c r="AJ83" s="272"/>
      <c r="AK83" s="272"/>
      <c r="AL83" s="272"/>
      <c r="AM83" s="272"/>
      <c r="AN83" s="272"/>
      <c r="AO83" s="272"/>
      <c r="AP83" s="278">
        <f>ROUND(AR79/AR80*AP80,1)</f>
        <v>0</v>
      </c>
      <c r="AQ83" s="272"/>
      <c r="AR83" s="272"/>
      <c r="AS83" s="272"/>
      <c r="AT83" s="272"/>
      <c r="AU83" s="272"/>
      <c r="AV83" s="272"/>
      <c r="AW83" s="272"/>
      <c r="AX83" s="272"/>
      <c r="AY83" s="272"/>
      <c r="AZ83" s="272"/>
      <c r="BA83" s="272"/>
      <c r="BB83" s="272"/>
      <c r="BC83" s="272"/>
      <c r="BD83" s="272"/>
      <c r="BE83" s="272"/>
      <c r="BF83" s="278">
        <f>ROUND(BH79/BH80*BF80,1)</f>
        <v>0</v>
      </c>
      <c r="BG83" s="272"/>
      <c r="BH83" s="272"/>
      <c r="BI83" s="272"/>
      <c r="BJ83" s="272"/>
      <c r="BK83" s="272"/>
      <c r="BL83" s="272"/>
      <c r="BM83" s="272"/>
      <c r="BN83" s="278">
        <f>ROUND(BP79/BP80*BN80,1)</f>
        <v>0</v>
      </c>
      <c r="BO83" s="272"/>
      <c r="BP83" s="272"/>
      <c r="BQ83" s="272"/>
      <c r="BR83" s="272"/>
      <c r="BS83" s="272"/>
      <c r="BT83" s="272"/>
      <c r="BU83" s="272"/>
      <c r="BV83" s="278" t="e">
        <f>ROUND(BX79/BX80*BV80,1)</f>
        <v>#DIV/0!</v>
      </c>
      <c r="BW83" s="272"/>
      <c r="BX83" s="272"/>
      <c r="BY83" s="272"/>
      <c r="BZ83" s="272"/>
      <c r="CA83" s="272"/>
      <c r="CB83" s="272"/>
      <c r="CC83" s="272"/>
      <c r="CD83" s="272"/>
      <c r="CE83" s="272"/>
      <c r="CF83" s="272"/>
      <c r="CG83" s="272"/>
      <c r="CH83" s="272"/>
      <c r="CI83" s="272"/>
      <c r="CJ83" s="272"/>
      <c r="CK83" s="272"/>
      <c r="CL83" s="278">
        <f>ROUND(CN79/CN80*CL80,1)</f>
        <v>0</v>
      </c>
      <c r="CM83" s="272"/>
      <c r="CN83" s="272"/>
      <c r="CO83" s="272"/>
      <c r="CP83" s="272"/>
      <c r="CQ83" s="272"/>
      <c r="CR83" s="272"/>
      <c r="CS83" s="272"/>
      <c r="CT83" s="278">
        <f>ROUND(CV79/CV80*CT80,1)</f>
        <v>0</v>
      </c>
      <c r="CU83" s="272"/>
      <c r="CV83" s="272"/>
      <c r="CW83" s="272"/>
      <c r="CX83" s="272"/>
      <c r="CY83" s="272"/>
      <c r="CZ83" s="272"/>
      <c r="DA83" s="272"/>
      <c r="DB83" s="278">
        <f>ROUND(DD79/DD80*DB80,1)</f>
        <v>0</v>
      </c>
      <c r="DC83" s="272"/>
      <c r="DD83" s="272"/>
      <c r="DE83" s="272"/>
      <c r="DF83" s="272"/>
      <c r="DG83" s="272"/>
      <c r="DH83" s="272"/>
      <c r="DI83" s="272"/>
      <c r="DJ83" s="272"/>
      <c r="DK83" s="272"/>
      <c r="DL83" s="272"/>
      <c r="DM83" s="272"/>
      <c r="DN83" s="272"/>
      <c r="DO83" s="272"/>
      <c r="DP83" s="272"/>
      <c r="DQ83" s="272"/>
      <c r="DR83" s="278">
        <f>ROUND(DT79/DT80*DR80,1)</f>
        <v>0</v>
      </c>
      <c r="DS83" s="272"/>
      <c r="DT83" s="272"/>
      <c r="DU83" s="272"/>
      <c r="DV83" s="272"/>
      <c r="DW83" s="272"/>
      <c r="DX83" s="272"/>
      <c r="DY83" s="272"/>
      <c r="DZ83" s="278">
        <f>ROUND(EB79/EB80*DZ80,1)</f>
        <v>0</v>
      </c>
      <c r="EA83" s="272"/>
      <c r="EB83" s="272"/>
      <c r="EC83" s="272"/>
      <c r="ED83" s="272"/>
      <c r="EE83" s="272"/>
      <c r="EF83" s="272"/>
      <c r="EG83" s="272"/>
      <c r="EH83" s="278">
        <f>ROUND(EJ79/EJ80*EH80,1)</f>
        <v>0</v>
      </c>
      <c r="EI83" s="272"/>
      <c r="EJ83" s="272"/>
      <c r="EK83" s="272"/>
      <c r="EL83" s="272"/>
      <c r="EM83" s="272"/>
      <c r="EN83" s="272"/>
      <c r="EO83" s="272"/>
    </row>
    <row r="84" spans="1:145" ht="19.5" x14ac:dyDescent="0.25">
      <c r="A84" s="262"/>
      <c r="B84" s="253"/>
      <c r="C84" s="238"/>
      <c r="D84" s="238" t="s">
        <v>1693</v>
      </c>
      <c r="E84" s="239"/>
      <c r="F84" s="240" t="s">
        <v>1694</v>
      </c>
      <c r="G84" s="240"/>
      <c r="H84" s="243"/>
      <c r="I84" s="253"/>
      <c r="J84" s="272"/>
      <c r="K84" s="272"/>
      <c r="L84" s="272"/>
      <c r="M84" s="272"/>
      <c r="N84" s="272"/>
      <c r="O84" s="272"/>
      <c r="P84" s="278">
        <f>N6-N8</f>
        <v>1054.2117019999996</v>
      </c>
      <c r="Q84" s="272"/>
      <c r="R84" s="272"/>
      <c r="S84" s="272"/>
      <c r="T84" s="272"/>
      <c r="U84" s="272"/>
      <c r="V84" s="272"/>
      <c r="W84" s="272"/>
      <c r="X84" s="278">
        <f>V6-V8</f>
        <v>671.75878199999966</v>
      </c>
      <c r="Y84" s="272"/>
      <c r="Z84" s="272"/>
      <c r="AA84" s="272"/>
      <c r="AB84" s="272"/>
      <c r="AC84" s="272"/>
      <c r="AD84" s="272"/>
      <c r="AE84" s="272"/>
      <c r="AF84" s="278">
        <f>AD6-AD8</f>
        <v>243.389905</v>
      </c>
      <c r="AG84" s="272"/>
      <c r="AH84" s="272"/>
      <c r="AI84" s="272"/>
      <c r="AJ84" s="272"/>
      <c r="AK84" s="272"/>
      <c r="AL84" s="272"/>
      <c r="AM84" s="272"/>
      <c r="AN84" s="278">
        <f>AL6-AL8</f>
        <v>189.23237399999999</v>
      </c>
      <c r="AO84" s="272"/>
      <c r="AP84" s="272"/>
      <c r="AQ84" s="272"/>
      <c r="AR84" s="272"/>
      <c r="AS84" s="272"/>
      <c r="AT84" s="272"/>
      <c r="AU84" s="272"/>
      <c r="AV84" s="278">
        <f>AT6-AT8</f>
        <v>239.13650299999995</v>
      </c>
      <c r="AW84" s="272"/>
      <c r="AX84" s="272"/>
      <c r="AY84" s="272"/>
      <c r="AZ84" s="272"/>
      <c r="BA84" s="272"/>
      <c r="BB84" s="272"/>
      <c r="BC84" s="272"/>
      <c r="BD84" s="278">
        <f>BB6-BB8</f>
        <v>382.45291999999995</v>
      </c>
      <c r="BE84" s="272"/>
      <c r="BF84" s="272"/>
      <c r="BG84" s="272"/>
      <c r="BH84" s="272"/>
      <c r="BI84" s="272"/>
      <c r="BJ84" s="272"/>
      <c r="BK84" s="272"/>
      <c r="BL84" s="278">
        <f>BJ6-BJ8</f>
        <v>225.97078799999997</v>
      </c>
      <c r="BM84" s="272"/>
      <c r="BN84" s="272"/>
      <c r="BO84" s="272"/>
      <c r="BP84" s="272"/>
      <c r="BQ84" s="272"/>
      <c r="BR84" s="272"/>
      <c r="BS84" s="272"/>
      <c r="BT84" s="278">
        <f>BR6-BR8</f>
        <v>91.873000000000019</v>
      </c>
      <c r="BU84" s="272"/>
      <c r="BV84" s="272"/>
      <c r="BW84" s="272"/>
      <c r="BX84" s="272"/>
      <c r="BY84" s="272"/>
      <c r="BZ84" s="272"/>
      <c r="CA84" s="272"/>
      <c r="CB84" s="278">
        <f>BZ6-BZ8</f>
        <v>64.609131999999988</v>
      </c>
      <c r="CC84" s="272"/>
      <c r="CD84" s="272"/>
      <c r="CE84" s="272"/>
      <c r="CF84" s="272"/>
      <c r="CG84" s="272"/>
      <c r="CH84" s="272"/>
      <c r="CI84" s="272"/>
      <c r="CJ84" s="278">
        <f>CH6-CH8</f>
        <v>0</v>
      </c>
      <c r="CK84" s="272"/>
      <c r="CL84" s="272"/>
      <c r="CM84" s="272"/>
      <c r="CN84" s="272"/>
      <c r="CO84" s="272"/>
      <c r="CP84" s="272"/>
      <c r="CQ84" s="272"/>
      <c r="CR84" s="278">
        <f>CP6-CP8</f>
        <v>0</v>
      </c>
      <c r="CS84" s="272"/>
      <c r="CT84" s="272"/>
      <c r="CU84" s="272"/>
      <c r="CV84" s="272"/>
      <c r="CW84" s="272"/>
      <c r="CX84" s="272"/>
      <c r="CY84" s="272"/>
      <c r="CZ84" s="278">
        <f>CX6-CX8</f>
        <v>0</v>
      </c>
      <c r="DA84" s="272"/>
      <c r="DB84" s="272"/>
      <c r="DC84" s="272"/>
      <c r="DD84" s="272"/>
      <c r="DE84" s="272"/>
      <c r="DF84" s="272"/>
      <c r="DG84" s="272"/>
      <c r="DH84" s="278">
        <f>DF6-DF8</f>
        <v>0</v>
      </c>
      <c r="DI84" s="272"/>
      <c r="DJ84" s="272"/>
      <c r="DK84" s="272"/>
      <c r="DL84" s="272"/>
      <c r="DM84" s="272"/>
      <c r="DN84" s="272"/>
      <c r="DO84" s="272"/>
      <c r="DP84" s="278">
        <f>DN6-DN8</f>
        <v>0</v>
      </c>
      <c r="DQ84" s="272"/>
      <c r="DR84" s="272"/>
      <c r="DS84" s="272"/>
      <c r="DT84" s="272"/>
      <c r="DU84" s="272"/>
      <c r="DV84" s="272"/>
      <c r="DW84" s="272"/>
      <c r="DX84" s="278">
        <f>DV6-DV8</f>
        <v>0</v>
      </c>
      <c r="DY84" s="272"/>
      <c r="DZ84" s="272"/>
      <c r="EA84" s="272"/>
      <c r="EB84" s="272"/>
      <c r="EC84" s="272"/>
      <c r="ED84" s="272"/>
      <c r="EE84" s="272"/>
      <c r="EF84" s="278">
        <f>ED6-ED8</f>
        <v>0</v>
      </c>
      <c r="EG84" s="272"/>
      <c r="EH84" s="272"/>
      <c r="EI84" s="272"/>
      <c r="EJ84" s="272"/>
      <c r="EK84" s="272"/>
      <c r="EL84" s="272"/>
      <c r="EM84" s="272"/>
      <c r="EN84" s="278">
        <f>EL6-EL8</f>
        <v>0</v>
      </c>
      <c r="EO84" s="272"/>
    </row>
  </sheetData>
  <mergeCells count="143">
    <mergeCell ref="DD3:DD4"/>
    <mergeCell ref="EA3:EA4"/>
    <mergeCell ref="AN3:AO3"/>
    <mergeCell ref="L3:L4"/>
    <mergeCell ref="N3:N4"/>
    <mergeCell ref="F3:F4"/>
    <mergeCell ref="A7:A8"/>
    <mergeCell ref="BF3:BF4"/>
    <mergeCell ref="Z3:Z4"/>
    <mergeCell ref="BH3:BH4"/>
    <mergeCell ref="BZ3:BZ4"/>
    <mergeCell ref="BR3:BR4"/>
    <mergeCell ref="DJ3:DJ4"/>
    <mergeCell ref="EI3:EI4"/>
    <mergeCell ref="EF3:EG3"/>
    <mergeCell ref="DE3:DE4"/>
    <mergeCell ref="EH3:EH4"/>
    <mergeCell ref="CA3:CA4"/>
    <mergeCell ref="DK3:DK4"/>
    <mergeCell ref="EE3:EE4"/>
    <mergeCell ref="EB3:EB4"/>
    <mergeCell ref="BD3:BE3"/>
    <mergeCell ref="ED3:ED4"/>
    <mergeCell ref="DV3:DV4"/>
    <mergeCell ref="DP3:DQ3"/>
    <mergeCell ref="DH3:DI3"/>
    <mergeCell ref="CB3:CC3"/>
    <mergeCell ref="CF3:CF4"/>
    <mergeCell ref="EC3:EC4"/>
    <mergeCell ref="CD3:CD4"/>
    <mergeCell ref="DN3:DN4"/>
    <mergeCell ref="CY3:CY4"/>
    <mergeCell ref="CH3:CH4"/>
    <mergeCell ref="CL3:CL4"/>
    <mergeCell ref="CV3:CV4"/>
    <mergeCell ref="CX3:CX4"/>
    <mergeCell ref="CJ3:CK3"/>
    <mergeCell ref="A74:A75"/>
    <mergeCell ref="AJ3:AJ4"/>
    <mergeCell ref="D3:D4"/>
    <mergeCell ref="AL3:AL4"/>
    <mergeCell ref="DC3:DC4"/>
    <mergeCell ref="A17:A18"/>
    <mergeCell ref="B30:B31"/>
    <mergeCell ref="B32:B33"/>
    <mergeCell ref="C3:C4"/>
    <mergeCell ref="E3:E4"/>
    <mergeCell ref="B7:B8"/>
    <mergeCell ref="A2:A4"/>
    <mergeCell ref="AE3:AE4"/>
    <mergeCell ref="AQ3:AQ4"/>
    <mergeCell ref="BY3:BY4"/>
    <mergeCell ref="BI3:BI4"/>
    <mergeCell ref="CQ3:CQ4"/>
    <mergeCell ref="BK3:BK4"/>
    <mergeCell ref="M3:M4"/>
    <mergeCell ref="B34:B35"/>
    <mergeCell ref="CT3:CT4"/>
    <mergeCell ref="BT3:BU3"/>
    <mergeCell ref="AI3:AI4"/>
    <mergeCell ref="CZ3:DA3"/>
    <mergeCell ref="A32:A33"/>
    <mergeCell ref="A30:A31"/>
    <mergeCell ref="EK3:EK4"/>
    <mergeCell ref="EM3:EM4"/>
    <mergeCell ref="CN3:CN4"/>
    <mergeCell ref="AX3:AX4"/>
    <mergeCell ref="X3:Y3"/>
    <mergeCell ref="CP3:CP4"/>
    <mergeCell ref="AZ3:AZ4"/>
    <mergeCell ref="I2:I4"/>
    <mergeCell ref="DB3:DB4"/>
    <mergeCell ref="DL3:DL4"/>
    <mergeCell ref="T3:T4"/>
    <mergeCell ref="BV3:BV4"/>
    <mergeCell ref="BX3:BX4"/>
    <mergeCell ref="DF3:DF4"/>
    <mergeCell ref="DZ3:DZ4"/>
    <mergeCell ref="DR3:DR4"/>
    <mergeCell ref="K3:K4"/>
    <mergeCell ref="BL3:BM3"/>
    <mergeCell ref="EL3:EL4"/>
    <mergeCell ref="BG3:BG4"/>
    <mergeCell ref="DX3:DY3"/>
    <mergeCell ref="DU3:DU4"/>
    <mergeCell ref="A13:A14"/>
    <mergeCell ref="H3:H4"/>
    <mergeCell ref="R3:R4"/>
    <mergeCell ref="J3:J4"/>
    <mergeCell ref="AB3:AB4"/>
    <mergeCell ref="B2:B4"/>
    <mergeCell ref="BJ3:BJ4"/>
    <mergeCell ref="AD3:AD4"/>
    <mergeCell ref="P3:Q3"/>
    <mergeCell ref="AH3:AH4"/>
    <mergeCell ref="AT3:AT4"/>
    <mergeCell ref="AF3:AG3"/>
    <mergeCell ref="AK3:AK4"/>
    <mergeCell ref="AC3:AC4"/>
    <mergeCell ref="C2:H2"/>
    <mergeCell ref="AS3:AS4"/>
    <mergeCell ref="AU3:AU4"/>
    <mergeCell ref="AY3:AY4"/>
    <mergeCell ref="AV3:AW3"/>
    <mergeCell ref="B13:B14"/>
    <mergeCell ref="G3:G4"/>
    <mergeCell ref="O3:O4"/>
    <mergeCell ref="S3:S4"/>
    <mergeCell ref="EN3:EO3"/>
    <mergeCell ref="BA3:BA4"/>
    <mergeCell ref="U3:U4"/>
    <mergeCell ref="BC3:BC4"/>
    <mergeCell ref="DT3:DT4"/>
    <mergeCell ref="W3:W4"/>
    <mergeCell ref="BW3:BW4"/>
    <mergeCell ref="BO3:BO4"/>
    <mergeCell ref="BQ3:BQ4"/>
    <mergeCell ref="CI3:CI4"/>
    <mergeCell ref="DS3:DS4"/>
    <mergeCell ref="DW3:DW4"/>
    <mergeCell ref="BN3:BN4"/>
    <mergeCell ref="BP3:BP4"/>
    <mergeCell ref="EJ3:EJ4"/>
    <mergeCell ref="CR3:CS3"/>
    <mergeCell ref="CU3:CU4"/>
    <mergeCell ref="CW3:CW4"/>
    <mergeCell ref="DG3:DG4"/>
    <mergeCell ref="BS3:BS4"/>
    <mergeCell ref="CE3:CE4"/>
    <mergeCell ref="DM3:DM4"/>
    <mergeCell ref="CG3:CG4"/>
    <mergeCell ref="DO3:DO4"/>
    <mergeCell ref="B74:B75"/>
    <mergeCell ref="AA3:AA4"/>
    <mergeCell ref="AM3:AM4"/>
    <mergeCell ref="CM3:CM4"/>
    <mergeCell ref="CO3:CO4"/>
    <mergeCell ref="V3:V4"/>
    <mergeCell ref="AP3:AP4"/>
    <mergeCell ref="AR3:AR4"/>
    <mergeCell ref="BB3:BB4"/>
    <mergeCell ref="B36:B37"/>
    <mergeCell ref="B17:B18"/>
  </mergeCells>
  <conditionalFormatting sqref="J6 J8 L6 L8 N6 N8 P6:P84 Q6:Q84 R6 R8 T6 T8 V6 V8 X6:X84 Y6:Y84 Z6 Z8 AB6 AB8 AD6 AD8 AF6:AF84 AG6:AG84 AH6 AH8 AJ6 AJ8 AL6 AL8 AN6:AN84 AO6:AO84 AP6 AP8 AR6 AR8 AT6 AT8 AV6:AV84 AW6:AW84 AX6 AX8 AZ6 AZ8 BB6 BB8 BD6:BD84 BE6:BE84 BF6 BF8 BH6 BH8 BJ6 BJ8 BL6:BL84 BM6:BM84 BN6 BN8 BP6 BP8 BR6 BR8 BT6:BT84 BU6:BU84 BV6 BV8 BX6 BX8 BZ6 BZ8 CB6:CB84 CC6:CC84 CD6 CD8 CF6 CF8 CH6 CH8 CJ6:CJ84 CK6:CK84 CL6 CL8 CN6 CN8 CP6 CP8 CR6:CR84 CS6:CS84 CT6 CT8 CV6 CV8 CX6 CX8 CZ6:CZ84 DA6:DA84 DB6 DB8 DD6 DD8 DF6 DF8 DH6:DH84 DI6:DI84 DJ6 DJ8 DL6 DL8 DN6 DN8 DP6:DP84 DQ6:DQ84 DR6 DR8 DT6 DT8 DV6 DV8 DX6:DX84 DY6:DY84 DZ6 DZ8 EB6 EB8 ED6 ED8 EF6:EF84 EG6:EG84 EH6 EH8 EJ6 EJ8 EL6 EL8 EN6:EN84 EO6:EO84">
    <cfRule type="cellIs" dxfId="10" priority="2" operator="lessThan">
      <formula>0</formula>
    </cfRule>
    <cfRule type="cellIs" dxfId="9" priority="3" operator="greaterThan">
      <formula>0</formula>
    </cfRule>
    <cfRule type="cellIs" dxfId="8" priority="1" operator="equal">
      <formula>0</formula>
    </cfRule>
  </conditionalFormatting>
  <conditionalFormatting sqref="K6:K84 M6:M84 O6:O84 S6:S84 U6:U84 W6:W84 AA6:AA84 AC6:AC84 AE6:AE84 AI6:AI84 AK6:AK84 AM6:AM84 AQ6:AQ84 AS6:AS84 AU6:AU84 AY6:AY84 BA6:BA84 BC6:BC84 BG6:BG84 BI6:BI84 BK6:BK84 BO6:BO84 BQ6:BQ84 BS6:BS84 BW6:BW84 BY6:BY84 CA6:CA84 CE6:CE84 CG6:CG84 CI6:CI84 CM6:CM84 CO6:CO84 CQ6:CQ84 CU6:CU84 CW6:CW84 CY6:CY84 DC6:DC84 DE6:DE84 DG6:DG84 DK6:DK84 DM6:DM84 DO6:DO84 DS6:DS84 DU6:DU84 DW6:DW84 EA6:EA84 EC6:EC84 EE6:EE84 EI6:EI84 EK6:EK84 EM6:EM84">
    <cfRule type="cellIs" dxfId="7" priority="4" operator="equal">
      <formula>0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/>
  <dimension ref="A2:I80"/>
  <sheetViews>
    <sheetView workbookViewId="0">
      <selection activeCell="B29" sqref="B29"/>
    </sheetView>
  </sheetViews>
  <sheetFormatPr defaultRowHeight="15" outlineLevelCol="1" x14ac:dyDescent="0.25"/>
  <cols>
    <col min="1" max="1" width="14.42578125" style="261" bestFit="1" customWidth="1"/>
    <col min="2" max="2" width="77.7109375" style="261" customWidth="1"/>
    <col min="3" max="3" width="14.85546875" style="261" customWidth="1" outlineLevel="1"/>
    <col min="4" max="4" width="28.5703125" style="261" customWidth="1" outlineLevel="1"/>
    <col min="5" max="5" width="16.42578125" style="261" customWidth="1" outlineLevel="1"/>
    <col min="6" max="6" width="22.85546875" style="261" customWidth="1" outlineLevel="1"/>
    <col min="7" max="8" width="14" style="261" customWidth="1" outlineLevel="1"/>
  </cols>
  <sheetData>
    <row r="2" spans="1:9" ht="18.75" customHeight="1" x14ac:dyDescent="0.25">
      <c r="A2" s="321" t="s">
        <v>1514</v>
      </c>
      <c r="B2" s="279" t="s">
        <v>0</v>
      </c>
      <c r="C2" s="296" t="s">
        <v>1</v>
      </c>
      <c r="D2" s="297"/>
      <c r="E2" s="297"/>
      <c r="F2" s="297"/>
      <c r="G2" s="297"/>
      <c r="H2" s="298"/>
      <c r="I2" s="279" t="s">
        <v>2</v>
      </c>
    </row>
    <row r="3" spans="1:9" ht="18.75" customHeight="1" x14ac:dyDescent="0.25">
      <c r="A3" s="280"/>
      <c r="B3" s="280"/>
      <c r="C3" s="293" t="s">
        <v>3</v>
      </c>
      <c r="D3" s="285" t="s">
        <v>4</v>
      </c>
      <c r="E3" s="285" t="s">
        <v>5</v>
      </c>
      <c r="F3" s="285" t="s">
        <v>6</v>
      </c>
      <c r="G3" s="285" t="s">
        <v>7</v>
      </c>
      <c r="H3" s="285" t="s">
        <v>8</v>
      </c>
      <c r="I3" s="280"/>
    </row>
    <row r="4" spans="1:9" ht="18.75" customHeight="1" x14ac:dyDescent="0.25">
      <c r="A4" s="281"/>
      <c r="B4" s="281"/>
      <c r="C4" s="294"/>
      <c r="D4" s="281"/>
      <c r="E4" s="281"/>
      <c r="F4" s="281"/>
      <c r="G4" s="281"/>
      <c r="H4" s="281"/>
      <c r="I4" s="281"/>
    </row>
    <row r="5" spans="1:9" ht="18.75" customHeight="1" x14ac:dyDescent="0.25">
      <c r="A5" s="35"/>
      <c r="B5" s="36"/>
      <c r="C5" s="37"/>
      <c r="D5" s="37"/>
      <c r="E5" s="37"/>
    </row>
    <row r="6" spans="1:9" ht="37.5" customHeight="1" x14ac:dyDescent="0.25">
      <c r="A6" s="1">
        <v>1</v>
      </c>
      <c r="B6" s="2" t="s">
        <v>1516</v>
      </c>
      <c r="C6" s="234" t="s">
        <v>1695</v>
      </c>
      <c r="D6" s="234"/>
      <c r="E6" s="235"/>
      <c r="F6" s="232"/>
      <c r="G6" s="231"/>
      <c r="H6" s="242"/>
    </row>
    <row r="7" spans="1:9" x14ac:dyDescent="0.25">
      <c r="A7" s="319" t="s">
        <v>1521</v>
      </c>
      <c r="B7" s="314" t="s">
        <v>1522</v>
      </c>
      <c r="C7" s="234" t="s">
        <v>1696</v>
      </c>
      <c r="D7" s="234"/>
      <c r="E7" s="235"/>
      <c r="F7" s="232"/>
      <c r="G7" s="231"/>
      <c r="H7" s="242"/>
    </row>
    <row r="8" spans="1:9" x14ac:dyDescent="0.25">
      <c r="A8" s="280"/>
      <c r="B8" s="280"/>
      <c r="C8" s="234" t="s">
        <v>1697</v>
      </c>
      <c r="D8" s="234"/>
      <c r="E8" s="235"/>
      <c r="F8" s="232"/>
      <c r="G8" s="231"/>
      <c r="H8" s="242"/>
    </row>
    <row r="9" spans="1:9" ht="56.25" customHeight="1" x14ac:dyDescent="0.25">
      <c r="A9" s="264" t="s">
        <v>1527</v>
      </c>
      <c r="B9" s="3" t="s">
        <v>1528</v>
      </c>
      <c r="C9" s="234" t="s">
        <v>1698</v>
      </c>
      <c r="D9" s="234"/>
      <c r="E9" s="235"/>
      <c r="F9" s="232"/>
      <c r="G9" s="231"/>
      <c r="H9" s="242"/>
    </row>
    <row r="10" spans="1:9" ht="39" customHeight="1" x14ac:dyDescent="0.25">
      <c r="A10" s="264"/>
      <c r="B10" s="5" t="s">
        <v>1530</v>
      </c>
      <c r="C10" s="234" t="s">
        <v>1699</v>
      </c>
      <c r="D10" s="234"/>
      <c r="E10" s="235"/>
      <c r="F10" s="232"/>
      <c r="G10" s="231"/>
      <c r="H10" s="242"/>
    </row>
    <row r="11" spans="1:9" ht="18.75" customHeight="1" x14ac:dyDescent="0.25">
      <c r="A11" s="264"/>
      <c r="B11" s="7" t="s">
        <v>1532</v>
      </c>
      <c r="C11" s="234" t="s">
        <v>1700</v>
      </c>
      <c r="D11" s="234"/>
      <c r="E11" s="235"/>
      <c r="F11" s="232"/>
      <c r="G11" s="231"/>
      <c r="H11" s="242"/>
    </row>
    <row r="12" spans="1:9" ht="37.5" customHeight="1" x14ac:dyDescent="0.25">
      <c r="A12" s="8" t="s">
        <v>1535</v>
      </c>
      <c r="B12" s="3" t="s">
        <v>1536</v>
      </c>
      <c r="C12" s="234" t="s">
        <v>1701</v>
      </c>
      <c r="D12" s="234"/>
      <c r="E12" s="235"/>
      <c r="F12" s="232"/>
      <c r="G12" s="231"/>
      <c r="H12" s="242"/>
    </row>
    <row r="13" spans="1:9" x14ac:dyDescent="0.25">
      <c r="A13" s="316" t="s">
        <v>1539</v>
      </c>
      <c r="B13" s="322" t="s">
        <v>1540</v>
      </c>
      <c r="C13" s="234" t="s">
        <v>1702</v>
      </c>
      <c r="D13" s="234"/>
      <c r="E13" s="235"/>
      <c r="F13" s="232"/>
      <c r="G13" s="231"/>
      <c r="H13" s="242"/>
    </row>
    <row r="14" spans="1:9" x14ac:dyDescent="0.25">
      <c r="A14" s="280"/>
      <c r="B14" s="280"/>
      <c r="C14" s="234" t="s">
        <v>1703</v>
      </c>
      <c r="D14" s="234"/>
      <c r="E14" s="235"/>
      <c r="F14" s="232"/>
      <c r="G14" s="231"/>
      <c r="H14" s="242"/>
    </row>
    <row r="15" spans="1:9" ht="18.75" customHeight="1" x14ac:dyDescent="0.25">
      <c r="A15" s="266" t="s">
        <v>1543</v>
      </c>
      <c r="B15" s="268" t="s">
        <v>1544</v>
      </c>
      <c r="C15" s="234" t="s">
        <v>1704</v>
      </c>
      <c r="D15" s="234"/>
      <c r="E15" s="235"/>
      <c r="F15" s="232"/>
      <c r="G15" s="231"/>
      <c r="H15" s="242"/>
    </row>
    <row r="16" spans="1:9" ht="37.5" customHeight="1" x14ac:dyDescent="0.25">
      <c r="A16" s="264" t="s">
        <v>1546</v>
      </c>
      <c r="B16" s="3" t="s">
        <v>1547</v>
      </c>
      <c r="C16" s="234" t="s">
        <v>1705</v>
      </c>
      <c r="D16" s="234"/>
      <c r="E16" s="235"/>
      <c r="F16" s="232"/>
      <c r="G16" s="231"/>
      <c r="H16" s="242"/>
    </row>
    <row r="17" spans="1:8" ht="25.5" customHeight="1" x14ac:dyDescent="0.25">
      <c r="A17" s="319" t="s">
        <v>1549</v>
      </c>
      <c r="B17" s="320" t="s">
        <v>1550</v>
      </c>
      <c r="C17" s="234" t="s">
        <v>1706</v>
      </c>
      <c r="D17" s="234"/>
      <c r="E17" s="235"/>
      <c r="F17" s="232" t="s">
        <v>1707</v>
      </c>
      <c r="G17" s="231"/>
      <c r="H17" s="242"/>
    </row>
    <row r="18" spans="1:8" x14ac:dyDescent="0.25">
      <c r="A18" s="280"/>
      <c r="B18" s="280"/>
      <c r="C18" s="234"/>
      <c r="D18" s="234" t="s">
        <v>1708</v>
      </c>
      <c r="E18" s="235"/>
      <c r="F18" s="232" t="s">
        <v>1709</v>
      </c>
      <c r="G18" s="231"/>
      <c r="H18" s="242"/>
    </row>
    <row r="19" spans="1:8" ht="56.25" customHeight="1" x14ac:dyDescent="0.3">
      <c r="A19" s="264" t="s">
        <v>1553</v>
      </c>
      <c r="B19" s="9" t="s">
        <v>1554</v>
      </c>
      <c r="C19" s="234"/>
      <c r="D19" s="234"/>
      <c r="E19" s="235">
        <v>1</v>
      </c>
      <c r="F19" s="232"/>
      <c r="G19" s="231"/>
      <c r="H19" s="242"/>
    </row>
    <row r="20" spans="1:8" ht="18.75" customHeight="1" x14ac:dyDescent="0.25">
      <c r="A20" s="8" t="s">
        <v>1556</v>
      </c>
      <c r="B20" s="269" t="s">
        <v>1557</v>
      </c>
      <c r="C20" s="234"/>
      <c r="D20" s="234"/>
      <c r="E20" s="235">
        <v>2</v>
      </c>
      <c r="F20" s="232"/>
      <c r="G20" s="231"/>
      <c r="H20" s="242"/>
    </row>
    <row r="21" spans="1:8" ht="37.5" customHeight="1" x14ac:dyDescent="0.25">
      <c r="A21" s="266" t="s">
        <v>1559</v>
      </c>
      <c r="B21" s="10" t="s">
        <v>1560</v>
      </c>
      <c r="C21" s="234"/>
      <c r="D21" s="234"/>
      <c r="E21" s="235">
        <v>3</v>
      </c>
      <c r="F21" s="232"/>
      <c r="G21" s="231"/>
      <c r="H21" s="242"/>
    </row>
    <row r="22" spans="1:8" ht="18.75" customHeight="1" x14ac:dyDescent="0.3">
      <c r="A22" s="266" t="s">
        <v>1563</v>
      </c>
      <c r="B22" s="11" t="s">
        <v>1564</v>
      </c>
      <c r="C22" s="234"/>
      <c r="D22" s="234"/>
      <c r="E22" s="235">
        <v>4</v>
      </c>
      <c r="F22" s="232"/>
      <c r="G22" s="231"/>
      <c r="H22" s="242"/>
    </row>
    <row r="23" spans="1:8" ht="37.5" customHeight="1" x14ac:dyDescent="0.25">
      <c r="A23" s="266" t="s">
        <v>1566</v>
      </c>
      <c r="B23" s="10" t="s">
        <v>1567</v>
      </c>
      <c r="C23" s="234"/>
      <c r="D23" s="234"/>
      <c r="E23" s="235">
        <v>5</v>
      </c>
      <c r="F23" s="232"/>
      <c r="G23" s="231"/>
      <c r="H23" s="242"/>
    </row>
    <row r="24" spans="1:8" ht="18.75" customHeight="1" x14ac:dyDescent="0.25">
      <c r="A24" s="266" t="s">
        <v>1569</v>
      </c>
      <c r="B24" s="12" t="s">
        <v>1570</v>
      </c>
      <c r="C24" s="234"/>
      <c r="D24" s="234"/>
      <c r="E24" s="235">
        <v>6</v>
      </c>
      <c r="F24" s="232"/>
      <c r="G24" s="231"/>
      <c r="H24" s="242"/>
    </row>
    <row r="25" spans="1:8" ht="19.5" customHeight="1" x14ac:dyDescent="0.25">
      <c r="A25" s="263"/>
      <c r="B25" s="13" t="s">
        <v>815</v>
      </c>
      <c r="C25" s="234"/>
      <c r="D25" s="234"/>
      <c r="E25" s="235">
        <v>7</v>
      </c>
      <c r="F25" s="232"/>
      <c r="G25" s="231"/>
      <c r="H25" s="242"/>
    </row>
    <row r="26" spans="1:8" ht="39" customHeight="1" x14ac:dyDescent="0.25">
      <c r="A26" s="6">
        <v>3</v>
      </c>
      <c r="B26" s="13" t="s">
        <v>1572</v>
      </c>
      <c r="C26" s="234"/>
      <c r="D26" s="234"/>
      <c r="E26" s="235">
        <v>8</v>
      </c>
      <c r="F26" s="232"/>
      <c r="G26" s="231"/>
      <c r="H26" s="242"/>
    </row>
    <row r="27" spans="1:8" ht="18.75" customHeight="1" x14ac:dyDescent="0.25">
      <c r="A27" s="14" t="s">
        <v>1574</v>
      </c>
      <c r="B27" s="15" t="s">
        <v>1367</v>
      </c>
      <c r="C27" s="234"/>
      <c r="D27" s="234"/>
      <c r="E27" s="235">
        <v>9</v>
      </c>
      <c r="F27" s="232"/>
      <c r="G27" s="231"/>
      <c r="H27" s="242"/>
    </row>
    <row r="28" spans="1:8" ht="18.75" customHeight="1" x14ac:dyDescent="0.3">
      <c r="A28" s="14" t="s">
        <v>1576</v>
      </c>
      <c r="B28" s="16" t="s">
        <v>1577</v>
      </c>
      <c r="C28" s="234"/>
      <c r="D28" s="234"/>
      <c r="E28" s="235">
        <v>10</v>
      </c>
      <c r="F28" s="232"/>
      <c r="G28" s="231"/>
      <c r="H28" s="242"/>
    </row>
    <row r="29" spans="1:8" ht="37.5" customHeight="1" x14ac:dyDescent="0.25">
      <c r="A29" s="4">
        <v>4</v>
      </c>
      <c r="B29" s="269" t="s">
        <v>1578</v>
      </c>
      <c r="C29" s="234"/>
      <c r="D29" s="234"/>
      <c r="E29" s="235">
        <v>11</v>
      </c>
      <c r="F29" s="232"/>
      <c r="G29" s="231"/>
      <c r="H29" s="242"/>
    </row>
    <row r="30" spans="1:8" x14ac:dyDescent="0.25">
      <c r="A30" s="319" t="s">
        <v>1580</v>
      </c>
      <c r="B30" s="320" t="s">
        <v>1581</v>
      </c>
      <c r="C30" s="234"/>
      <c r="D30" s="234"/>
      <c r="E30" s="235">
        <v>12</v>
      </c>
      <c r="F30" s="232"/>
      <c r="G30" s="231"/>
      <c r="H30" s="242"/>
    </row>
    <row r="31" spans="1:8" x14ac:dyDescent="0.25">
      <c r="A31" s="280"/>
      <c r="B31" s="280"/>
      <c r="C31" s="234"/>
      <c r="D31" s="234"/>
      <c r="E31" s="235">
        <v>13</v>
      </c>
      <c r="F31" s="232"/>
      <c r="G31" s="231"/>
      <c r="H31" s="242"/>
    </row>
    <row r="32" spans="1:8" x14ac:dyDescent="0.25">
      <c r="A32" s="318" t="s">
        <v>1584</v>
      </c>
      <c r="B32" s="315" t="s">
        <v>1585</v>
      </c>
      <c r="C32" s="234"/>
      <c r="D32" s="234"/>
      <c r="E32" s="235">
        <v>14</v>
      </c>
      <c r="F32" s="232"/>
      <c r="G32" s="231"/>
      <c r="H32" s="242"/>
    </row>
    <row r="33" spans="1:8" x14ac:dyDescent="0.25">
      <c r="A33" s="280"/>
      <c r="B33" s="280"/>
      <c r="C33" s="234"/>
      <c r="D33" s="234"/>
      <c r="E33" s="235">
        <v>15</v>
      </c>
      <c r="F33" s="232"/>
      <c r="G33" s="231"/>
      <c r="H33" s="242"/>
    </row>
    <row r="34" spans="1:8" ht="18.75" customHeight="1" x14ac:dyDescent="0.25">
      <c r="A34" s="263" t="s">
        <v>1588</v>
      </c>
      <c r="B34" s="325" t="s">
        <v>1589</v>
      </c>
      <c r="C34" s="234"/>
      <c r="D34" s="234"/>
      <c r="E34" s="235">
        <v>16</v>
      </c>
      <c r="F34" s="232"/>
      <c r="G34" s="231"/>
      <c r="H34" s="242"/>
    </row>
    <row r="35" spans="1:8" ht="18.75" customHeight="1" x14ac:dyDescent="0.25">
      <c r="A35" s="263"/>
      <c r="B35" s="324"/>
      <c r="C35" s="234"/>
      <c r="D35" s="234"/>
      <c r="E35" s="235">
        <v>17</v>
      </c>
      <c r="F35" s="232"/>
      <c r="G35" s="231"/>
      <c r="H35" s="242"/>
    </row>
    <row r="36" spans="1:8" ht="18.75" customHeight="1" x14ac:dyDescent="0.25">
      <c r="A36" s="263" t="s">
        <v>1592</v>
      </c>
      <c r="B36" s="315" t="s">
        <v>1593</v>
      </c>
      <c r="C36" s="234"/>
      <c r="D36" s="234"/>
      <c r="E36" s="235">
        <v>18</v>
      </c>
      <c r="F36" s="232"/>
      <c r="G36" s="231"/>
      <c r="H36" s="242"/>
    </row>
    <row r="37" spans="1:8" ht="18.75" customHeight="1" x14ac:dyDescent="0.25">
      <c r="A37" s="263"/>
      <c r="B37" s="280"/>
      <c r="C37" s="234"/>
      <c r="D37" s="234"/>
      <c r="E37" s="235">
        <v>19</v>
      </c>
      <c r="F37" s="232"/>
      <c r="G37" s="231"/>
      <c r="H37" s="242"/>
    </row>
    <row r="38" spans="1:8" ht="18.75" customHeight="1" x14ac:dyDescent="0.25">
      <c r="A38" s="264" t="s">
        <v>1596</v>
      </c>
      <c r="B38" s="269" t="s">
        <v>1597</v>
      </c>
      <c r="C38" s="234"/>
      <c r="D38" s="234"/>
      <c r="E38" s="235">
        <v>20</v>
      </c>
      <c r="F38" s="232"/>
      <c r="G38" s="231"/>
      <c r="H38" s="242"/>
    </row>
    <row r="39" spans="1:8" ht="18.75" customHeight="1" x14ac:dyDescent="0.3">
      <c r="A39" s="263" t="s">
        <v>1599</v>
      </c>
      <c r="B39" s="17" t="s">
        <v>1600</v>
      </c>
      <c r="C39" s="234"/>
      <c r="D39" s="234"/>
      <c r="E39" s="235">
        <v>21</v>
      </c>
      <c r="F39" s="232"/>
      <c r="G39" s="231"/>
      <c r="H39" s="242"/>
    </row>
    <row r="40" spans="1:8" ht="18.75" customHeight="1" x14ac:dyDescent="0.3">
      <c r="A40" s="263" t="s">
        <v>1602</v>
      </c>
      <c r="B40" s="18" t="s">
        <v>394</v>
      </c>
      <c r="C40" s="234"/>
      <c r="D40" s="234"/>
      <c r="E40" s="235">
        <v>22</v>
      </c>
      <c r="F40" s="232"/>
      <c r="G40" s="231"/>
      <c r="H40" s="242"/>
    </row>
    <row r="41" spans="1:8" ht="18.75" customHeight="1" x14ac:dyDescent="0.3">
      <c r="A41" s="263" t="s">
        <v>1604</v>
      </c>
      <c r="B41" s="18" t="s">
        <v>396</v>
      </c>
      <c r="C41" s="234"/>
      <c r="D41" s="234"/>
      <c r="E41" s="235">
        <v>23</v>
      </c>
      <c r="F41" s="232"/>
      <c r="G41" s="231"/>
      <c r="H41" s="242"/>
    </row>
    <row r="42" spans="1:8" ht="18.75" customHeight="1" x14ac:dyDescent="0.3">
      <c r="A42" s="263" t="s">
        <v>1606</v>
      </c>
      <c r="B42" s="18" t="s">
        <v>403</v>
      </c>
      <c r="C42" s="234"/>
      <c r="D42" s="234"/>
      <c r="E42" s="235">
        <v>24</v>
      </c>
      <c r="F42" s="232"/>
      <c r="G42" s="231"/>
      <c r="H42" s="242"/>
    </row>
    <row r="43" spans="1:8" ht="18.75" customHeight="1" x14ac:dyDescent="0.3">
      <c r="A43" s="263" t="s">
        <v>1608</v>
      </c>
      <c r="B43" s="18" t="s">
        <v>1609</v>
      </c>
      <c r="C43" s="234"/>
      <c r="D43" s="234"/>
      <c r="E43" s="235">
        <v>25</v>
      </c>
      <c r="F43" s="232"/>
      <c r="G43" s="231"/>
      <c r="H43" s="242"/>
    </row>
    <row r="44" spans="1:8" ht="18.75" customHeight="1" x14ac:dyDescent="0.3">
      <c r="A44" s="263" t="s">
        <v>1611</v>
      </c>
      <c r="B44" s="18" t="s">
        <v>405</v>
      </c>
      <c r="C44" s="234"/>
      <c r="D44" s="234"/>
      <c r="E44" s="235">
        <v>26</v>
      </c>
      <c r="F44" s="232"/>
      <c r="G44" s="231"/>
      <c r="H44" s="242"/>
    </row>
    <row r="45" spans="1:8" ht="19.5" customHeight="1" x14ac:dyDescent="0.25">
      <c r="A45" s="263"/>
      <c r="B45" s="13" t="s">
        <v>815</v>
      </c>
      <c r="C45" s="234"/>
      <c r="D45" s="234"/>
      <c r="E45" s="235">
        <v>27</v>
      </c>
      <c r="F45" s="232"/>
      <c r="G45" s="231"/>
      <c r="H45" s="242"/>
    </row>
    <row r="46" spans="1:8" ht="18.75" customHeight="1" x14ac:dyDescent="0.25">
      <c r="A46" s="263"/>
      <c r="B46" s="19" t="s">
        <v>1613</v>
      </c>
      <c r="C46" s="234"/>
      <c r="D46" s="234"/>
      <c r="E46" s="235">
        <v>28</v>
      </c>
      <c r="F46" s="232"/>
      <c r="G46" s="231"/>
      <c r="H46" s="242"/>
    </row>
    <row r="47" spans="1:8" ht="18.75" customHeight="1" x14ac:dyDescent="0.25">
      <c r="A47" s="263"/>
      <c r="B47" s="19" t="s">
        <v>1615</v>
      </c>
      <c r="C47" s="234"/>
      <c r="D47" s="234"/>
      <c r="E47" s="235">
        <v>29</v>
      </c>
      <c r="F47" s="232"/>
      <c r="G47" s="231"/>
      <c r="H47" s="242"/>
    </row>
    <row r="48" spans="1:8" ht="18.75" customHeight="1" x14ac:dyDescent="0.25">
      <c r="A48" s="263"/>
      <c r="B48" s="19" t="s">
        <v>1617</v>
      </c>
      <c r="C48" s="234"/>
      <c r="D48" s="234"/>
      <c r="E48" s="235">
        <v>30</v>
      </c>
      <c r="F48" s="232"/>
      <c r="G48" s="231"/>
      <c r="H48" s="242"/>
    </row>
    <row r="49" spans="1:8" ht="18.75" customHeight="1" x14ac:dyDescent="0.3">
      <c r="A49" s="264" t="s">
        <v>1619</v>
      </c>
      <c r="B49" s="20" t="s">
        <v>1620</v>
      </c>
      <c r="C49" s="234"/>
      <c r="D49" s="234"/>
      <c r="E49" s="235">
        <v>31</v>
      </c>
      <c r="F49" s="232"/>
      <c r="G49" s="231"/>
      <c r="H49" s="242"/>
    </row>
    <row r="50" spans="1:8" ht="18.75" customHeight="1" x14ac:dyDescent="0.3">
      <c r="A50" s="263" t="s">
        <v>1622</v>
      </c>
      <c r="B50" s="17" t="s">
        <v>1623</v>
      </c>
      <c r="C50" s="234"/>
      <c r="D50" s="234"/>
      <c r="E50" s="235">
        <v>32</v>
      </c>
      <c r="F50" s="232"/>
      <c r="G50" s="231"/>
      <c r="H50" s="242"/>
    </row>
    <row r="51" spans="1:8" ht="18.75" customHeight="1" x14ac:dyDescent="0.3">
      <c r="A51" s="14"/>
      <c r="B51" s="21" t="s">
        <v>1625</v>
      </c>
      <c r="C51" s="234"/>
      <c r="D51" s="234"/>
      <c r="E51" s="235">
        <v>33</v>
      </c>
      <c r="F51" s="232"/>
      <c r="G51" s="231"/>
      <c r="H51" s="242"/>
    </row>
    <row r="52" spans="1:8" ht="19.5" customHeight="1" x14ac:dyDescent="0.35">
      <c r="A52" s="22"/>
      <c r="B52" s="23" t="s">
        <v>815</v>
      </c>
      <c r="C52" s="234"/>
      <c r="D52" s="234"/>
      <c r="E52" s="235">
        <v>34</v>
      </c>
      <c r="F52" s="232"/>
      <c r="G52" s="231"/>
      <c r="H52" s="242"/>
    </row>
    <row r="53" spans="1:8" ht="18.75" customHeight="1" x14ac:dyDescent="0.3">
      <c r="A53" s="22"/>
      <c r="B53" s="24" t="s">
        <v>1627</v>
      </c>
      <c r="C53" s="234"/>
      <c r="D53" s="234"/>
      <c r="E53" s="235">
        <v>35</v>
      </c>
      <c r="F53" s="232"/>
      <c r="G53" s="231"/>
      <c r="H53" s="242"/>
    </row>
    <row r="54" spans="1:8" ht="18.75" customHeight="1" x14ac:dyDescent="0.3">
      <c r="A54" s="25"/>
      <c r="B54" s="24" t="s">
        <v>1629</v>
      </c>
      <c r="C54" s="234"/>
      <c r="D54" s="234"/>
      <c r="E54" s="235">
        <v>36</v>
      </c>
      <c r="F54" s="232"/>
      <c r="G54" s="231"/>
      <c r="H54" s="242"/>
    </row>
    <row r="55" spans="1:8" ht="18.75" customHeight="1" x14ac:dyDescent="0.3">
      <c r="A55" s="25"/>
      <c r="B55" s="26" t="s">
        <v>1625</v>
      </c>
      <c r="C55" s="234"/>
      <c r="D55" s="234"/>
      <c r="E55" s="235">
        <v>37</v>
      </c>
      <c r="F55" s="232"/>
      <c r="G55" s="231"/>
      <c r="H55" s="242"/>
    </row>
    <row r="56" spans="1:8" ht="18.75" customHeight="1" x14ac:dyDescent="0.3">
      <c r="A56" s="22"/>
      <c r="B56" s="24" t="s">
        <v>1632</v>
      </c>
      <c r="C56" s="234"/>
      <c r="D56" s="234"/>
      <c r="E56" s="235">
        <v>38</v>
      </c>
      <c r="F56" s="232"/>
      <c r="G56" s="231"/>
      <c r="H56" s="242"/>
    </row>
    <row r="57" spans="1:8" ht="18.75" customHeight="1" x14ac:dyDescent="0.3">
      <c r="A57" s="14"/>
      <c r="B57" s="27" t="s">
        <v>1625</v>
      </c>
      <c r="C57" s="234"/>
      <c r="D57" s="234"/>
      <c r="E57" s="235">
        <v>39</v>
      </c>
      <c r="F57" s="232"/>
      <c r="G57" s="231"/>
      <c r="H57" s="242"/>
    </row>
    <row r="58" spans="1:8" ht="18.75" customHeight="1" x14ac:dyDescent="0.25">
      <c r="A58" s="264" t="s">
        <v>1635</v>
      </c>
      <c r="B58" s="269" t="s">
        <v>1636</v>
      </c>
      <c r="C58" s="234"/>
      <c r="D58" s="234"/>
      <c r="E58" s="235">
        <v>40</v>
      </c>
      <c r="F58" s="232"/>
      <c r="G58" s="231"/>
      <c r="H58" s="242"/>
    </row>
    <row r="59" spans="1:8" ht="18.75" customHeight="1" x14ac:dyDescent="0.3">
      <c r="A59" s="264" t="s">
        <v>1638</v>
      </c>
      <c r="B59" s="20" t="s">
        <v>1639</v>
      </c>
      <c r="C59" s="234"/>
      <c r="D59" s="234"/>
      <c r="E59" s="235">
        <v>41</v>
      </c>
      <c r="F59" s="232"/>
      <c r="G59" s="231"/>
      <c r="H59" s="242"/>
    </row>
    <row r="60" spans="1:8" ht="18.75" customHeight="1" x14ac:dyDescent="0.3">
      <c r="A60" s="28" t="s">
        <v>1641</v>
      </c>
      <c r="B60" s="29" t="s">
        <v>1642</v>
      </c>
      <c r="C60" s="234"/>
      <c r="D60" s="234"/>
      <c r="E60" s="235">
        <v>42</v>
      </c>
      <c r="F60" s="232"/>
      <c r="G60" s="231"/>
      <c r="H60" s="242"/>
    </row>
    <row r="61" spans="1:8" ht="19.5" customHeight="1" x14ac:dyDescent="0.35">
      <c r="A61" s="30"/>
      <c r="B61" s="23" t="s">
        <v>815</v>
      </c>
      <c r="C61" s="234"/>
      <c r="D61" s="234"/>
      <c r="E61" s="235">
        <v>43</v>
      </c>
      <c r="F61" s="232"/>
      <c r="G61" s="231"/>
      <c r="H61" s="242"/>
    </row>
    <row r="62" spans="1:8" ht="18.75" customHeight="1" x14ac:dyDescent="0.3">
      <c r="A62" s="14"/>
      <c r="B62" s="16" t="s">
        <v>1644</v>
      </c>
      <c r="C62" s="234"/>
      <c r="D62" s="234"/>
      <c r="E62" s="235">
        <v>44</v>
      </c>
      <c r="F62" s="232"/>
      <c r="G62" s="231"/>
      <c r="H62" s="242"/>
    </row>
    <row r="63" spans="1:8" ht="18.75" customHeight="1" x14ac:dyDescent="0.3">
      <c r="A63" s="14"/>
      <c r="B63" s="16" t="s">
        <v>1646</v>
      </c>
      <c r="C63" s="234"/>
      <c r="D63" s="234"/>
      <c r="E63" s="235">
        <v>45</v>
      </c>
      <c r="F63" s="232"/>
      <c r="G63" s="231"/>
      <c r="H63" s="242"/>
    </row>
    <row r="64" spans="1:8" ht="18.75" customHeight="1" x14ac:dyDescent="0.3">
      <c r="A64" s="14"/>
      <c r="B64" s="16" t="s">
        <v>1648</v>
      </c>
      <c r="C64" s="234"/>
      <c r="D64" s="234"/>
      <c r="E64" s="235">
        <v>46</v>
      </c>
      <c r="F64" s="232"/>
      <c r="G64" s="231"/>
      <c r="H64" s="242"/>
    </row>
    <row r="65" spans="1:8" ht="18.75" customHeight="1" x14ac:dyDescent="0.3">
      <c r="A65" s="264" t="s">
        <v>1650</v>
      </c>
      <c r="B65" s="20" t="s">
        <v>1651</v>
      </c>
      <c r="C65" s="234"/>
      <c r="D65" s="234"/>
      <c r="E65" s="235">
        <v>47</v>
      </c>
      <c r="F65" s="232"/>
      <c r="G65" s="231"/>
      <c r="H65" s="242"/>
    </row>
    <row r="66" spans="1:8" ht="18.75" customHeight="1" x14ac:dyDescent="0.3">
      <c r="A66" s="264"/>
      <c r="B66" s="31" t="s">
        <v>635</v>
      </c>
      <c r="C66" s="234"/>
      <c r="D66" s="234"/>
      <c r="E66" s="235">
        <v>48</v>
      </c>
      <c r="F66" s="232"/>
      <c r="G66" s="231"/>
      <c r="H66" s="242"/>
    </row>
    <row r="67" spans="1:8" ht="18.75" customHeight="1" x14ac:dyDescent="0.3">
      <c r="A67" s="263" t="s">
        <v>1654</v>
      </c>
      <c r="B67" s="31" t="s">
        <v>637</v>
      </c>
      <c r="C67" s="234"/>
      <c r="D67" s="234"/>
      <c r="E67" s="235">
        <v>49</v>
      </c>
      <c r="F67" s="232"/>
      <c r="G67" s="231"/>
      <c r="H67" s="242"/>
    </row>
    <row r="68" spans="1:8" ht="18.75" customHeight="1" x14ac:dyDescent="0.3">
      <c r="A68" s="263" t="s">
        <v>1656</v>
      </c>
      <c r="B68" s="31" t="s">
        <v>646</v>
      </c>
      <c r="C68" s="234"/>
      <c r="D68" s="234"/>
      <c r="E68" s="235">
        <v>50</v>
      </c>
      <c r="F68" s="232"/>
      <c r="G68" s="231"/>
      <c r="H68" s="242"/>
    </row>
    <row r="69" spans="1:8" ht="18.75" customHeight="1" x14ac:dyDescent="0.3">
      <c r="A69" s="264" t="s">
        <v>1658</v>
      </c>
      <c r="B69" s="20" t="s">
        <v>1659</v>
      </c>
      <c r="C69" s="234"/>
      <c r="D69" s="234"/>
      <c r="E69" s="235">
        <v>51</v>
      </c>
      <c r="F69" s="232"/>
      <c r="G69" s="231"/>
      <c r="H69" s="242"/>
    </row>
    <row r="70" spans="1:8" ht="18.75" customHeight="1" x14ac:dyDescent="0.3">
      <c r="A70" s="264" t="s">
        <v>1661</v>
      </c>
      <c r="B70" s="20" t="s">
        <v>1662</v>
      </c>
      <c r="C70" s="234"/>
      <c r="D70" s="234"/>
      <c r="E70" s="235">
        <v>52</v>
      </c>
      <c r="F70" s="232"/>
      <c r="G70" s="231"/>
      <c r="H70" s="242"/>
    </row>
    <row r="71" spans="1:8" ht="18.75" customHeight="1" x14ac:dyDescent="0.3">
      <c r="A71" s="264" t="s">
        <v>1664</v>
      </c>
      <c r="B71" s="20" t="s">
        <v>1665</v>
      </c>
      <c r="C71" s="234"/>
      <c r="D71" s="234"/>
      <c r="E71" s="235">
        <v>53</v>
      </c>
      <c r="F71" s="232"/>
      <c r="G71" s="231"/>
      <c r="H71" s="242"/>
    </row>
    <row r="72" spans="1:8" ht="18.75" customHeight="1" x14ac:dyDescent="0.3">
      <c r="A72" s="264" t="s">
        <v>1667</v>
      </c>
      <c r="B72" s="20" t="s">
        <v>1668</v>
      </c>
      <c r="C72" s="234"/>
      <c r="D72" s="234"/>
      <c r="E72" s="235">
        <v>54</v>
      </c>
      <c r="F72" s="232"/>
      <c r="G72" s="231"/>
      <c r="H72" s="242"/>
    </row>
    <row r="73" spans="1:8" ht="18.75" customHeight="1" x14ac:dyDescent="0.3">
      <c r="A73" s="264" t="s">
        <v>1670</v>
      </c>
      <c r="B73" s="20" t="s">
        <v>1671</v>
      </c>
      <c r="C73" s="234"/>
      <c r="D73" s="234"/>
      <c r="E73" s="235">
        <v>55</v>
      </c>
      <c r="F73" s="232"/>
      <c r="G73" s="231"/>
      <c r="H73" s="242"/>
    </row>
    <row r="74" spans="1:8" x14ac:dyDescent="0.25">
      <c r="A74" s="319" t="s">
        <v>1673</v>
      </c>
      <c r="B74" s="323" t="s">
        <v>1674</v>
      </c>
      <c r="C74" s="234"/>
      <c r="D74" s="234"/>
      <c r="E74" s="235">
        <v>56</v>
      </c>
      <c r="F74" s="232"/>
      <c r="G74" s="231"/>
      <c r="H74" s="242"/>
    </row>
    <row r="75" spans="1:8" x14ac:dyDescent="0.25">
      <c r="A75" s="280"/>
      <c r="B75" s="324"/>
      <c r="C75" s="234"/>
      <c r="D75" s="234"/>
      <c r="E75" s="235">
        <v>57</v>
      </c>
      <c r="F75" s="232"/>
      <c r="G75" s="231"/>
      <c r="H75" s="242"/>
    </row>
    <row r="76" spans="1:8" ht="39" customHeight="1" x14ac:dyDescent="0.35">
      <c r="A76" s="264" t="s">
        <v>1677</v>
      </c>
      <c r="B76" s="32" t="s">
        <v>1678</v>
      </c>
      <c r="C76" s="234"/>
      <c r="D76" s="234"/>
      <c r="E76" s="235">
        <v>58</v>
      </c>
      <c r="F76" s="232"/>
      <c r="G76" s="231"/>
      <c r="H76" s="242"/>
    </row>
    <row r="77" spans="1:8" ht="39" customHeight="1" x14ac:dyDescent="0.35">
      <c r="A77" s="264"/>
      <c r="B77" s="32" t="s">
        <v>1680</v>
      </c>
      <c r="C77" s="234"/>
      <c r="D77" s="234"/>
      <c r="E77" s="235">
        <v>59</v>
      </c>
      <c r="F77" s="232"/>
      <c r="G77" s="231"/>
      <c r="H77" s="242"/>
    </row>
    <row r="78" spans="1:8" ht="19.5" customHeight="1" x14ac:dyDescent="0.35">
      <c r="A78" s="264" t="s">
        <v>1682</v>
      </c>
      <c r="B78" s="32" t="s">
        <v>1683</v>
      </c>
      <c r="C78" s="234"/>
      <c r="D78" s="234"/>
      <c r="E78" s="235">
        <v>60</v>
      </c>
      <c r="F78" s="232"/>
      <c r="G78" s="231"/>
      <c r="H78" s="242"/>
    </row>
    <row r="79" spans="1:8" ht="39" customHeight="1" x14ac:dyDescent="0.35">
      <c r="A79" s="264"/>
      <c r="B79" s="23" t="s">
        <v>1684</v>
      </c>
      <c r="C79" s="234"/>
      <c r="D79" s="234"/>
      <c r="E79" s="235">
        <v>61</v>
      </c>
      <c r="F79" s="232"/>
      <c r="G79" s="231"/>
      <c r="H79" s="242"/>
    </row>
    <row r="80" spans="1:8" ht="19.5" customHeight="1" x14ac:dyDescent="0.35">
      <c r="A80" s="33"/>
      <c r="B80" s="34" t="s">
        <v>1230</v>
      </c>
      <c r="C80" s="234"/>
      <c r="D80" s="234"/>
      <c r="E80" s="235">
        <v>62</v>
      </c>
      <c r="F80" s="232"/>
      <c r="G80" s="231"/>
      <c r="H80" s="242"/>
    </row>
  </sheetData>
  <mergeCells count="24">
    <mergeCell ref="G3:G4"/>
    <mergeCell ref="D3:D4"/>
    <mergeCell ref="B34:B35"/>
    <mergeCell ref="A2:A4"/>
    <mergeCell ref="B17:B18"/>
    <mergeCell ref="F3:F4"/>
    <mergeCell ref="A7:A8"/>
    <mergeCell ref="C2:H2"/>
    <mergeCell ref="I2:I4"/>
    <mergeCell ref="A32:A33"/>
    <mergeCell ref="A17:A18"/>
    <mergeCell ref="B74:B75"/>
    <mergeCell ref="B36:B37"/>
    <mergeCell ref="A13:A14"/>
    <mergeCell ref="H3:H4"/>
    <mergeCell ref="B2:B4"/>
    <mergeCell ref="B30:B31"/>
    <mergeCell ref="B32:B33"/>
    <mergeCell ref="C3:C4"/>
    <mergeCell ref="E3:E4"/>
    <mergeCell ref="B7:B8"/>
    <mergeCell ref="A30:A31"/>
    <mergeCell ref="A74:A75"/>
    <mergeCell ref="B13:B14"/>
  </mergeCells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I13"/>
  <sheetViews>
    <sheetView workbookViewId="0">
      <selection activeCell="D18" sqref="D18"/>
    </sheetView>
  </sheetViews>
  <sheetFormatPr defaultRowHeight="15" x14ac:dyDescent="0.25"/>
  <cols>
    <col min="1" max="1" width="28.85546875" style="261" customWidth="1"/>
    <col min="2" max="2" width="73.28515625" style="261" customWidth="1"/>
    <col min="8" max="8" width="23.7109375" style="241" customWidth="1"/>
    <col min="9" max="9" width="41.140625" style="241" customWidth="1"/>
  </cols>
  <sheetData>
    <row r="1" spans="1:9" ht="18.75" customHeight="1" x14ac:dyDescent="0.3">
      <c r="A1" s="38" t="s">
        <v>1710</v>
      </c>
      <c r="B1" s="38" t="s">
        <v>1711</v>
      </c>
      <c r="H1" s="241" t="s">
        <v>1712</v>
      </c>
      <c r="I1" s="241" t="s">
        <v>1713</v>
      </c>
    </row>
    <row r="2" spans="1:9" ht="18.75" customHeight="1" x14ac:dyDescent="0.3">
      <c r="A2" t="s">
        <v>1714</v>
      </c>
      <c r="B2" s="205">
        <v>1234567890.12345</v>
      </c>
      <c r="H2" s="241" t="s">
        <v>1715</v>
      </c>
      <c r="I2" s="241" t="s">
        <v>1716</v>
      </c>
    </row>
    <row r="3" spans="1:9" ht="18.75" customHeight="1" x14ac:dyDescent="0.3">
      <c r="A3" t="s">
        <v>1717</v>
      </c>
      <c r="B3" s="206">
        <v>1234567890.12345</v>
      </c>
      <c r="H3" s="241" t="s">
        <v>1718</v>
      </c>
      <c r="I3" s="241" t="s">
        <v>1719</v>
      </c>
    </row>
    <row r="4" spans="1:9" x14ac:dyDescent="0.25">
      <c r="A4" t="s">
        <v>1720</v>
      </c>
      <c r="B4" s="40" t="s">
        <v>1721</v>
      </c>
      <c r="H4" s="241" t="s">
        <v>1722</v>
      </c>
      <c r="I4" s="241" t="s">
        <v>1723</v>
      </c>
    </row>
    <row r="5" spans="1:9" ht="18.75" customHeight="1" x14ac:dyDescent="0.25">
      <c r="A5" t="s">
        <v>1724</v>
      </c>
      <c r="B5" s="39" t="s">
        <v>1721</v>
      </c>
      <c r="H5" s="241" t="s">
        <v>1725</v>
      </c>
      <c r="I5" s="241" t="s">
        <v>1726</v>
      </c>
    </row>
    <row r="6" spans="1:9" x14ac:dyDescent="0.25">
      <c r="A6" t="s">
        <v>1727</v>
      </c>
      <c r="B6" s="207">
        <v>1234567890.12345</v>
      </c>
      <c r="H6" s="241" t="s">
        <v>1728</v>
      </c>
      <c r="I6" s="241" t="s">
        <v>1729</v>
      </c>
    </row>
    <row r="7" spans="1:9" x14ac:dyDescent="0.25">
      <c r="A7" t="s">
        <v>1730</v>
      </c>
      <c r="B7" s="210" t="s">
        <v>1721</v>
      </c>
      <c r="H7" s="241" t="s">
        <v>1731</v>
      </c>
      <c r="I7" s="241" t="s">
        <v>1732</v>
      </c>
    </row>
    <row r="8" spans="1:9" x14ac:dyDescent="0.25">
      <c r="A8" t="s">
        <v>1733</v>
      </c>
      <c r="B8" s="208">
        <v>0.76</v>
      </c>
      <c r="H8" s="241" t="s">
        <v>1734</v>
      </c>
      <c r="I8" s="241" t="s">
        <v>1735</v>
      </c>
    </row>
    <row r="9" spans="1:9" ht="19.5" customHeight="1" x14ac:dyDescent="0.25">
      <c r="A9" t="s">
        <v>1736</v>
      </c>
      <c r="B9" s="203" t="s">
        <v>1721</v>
      </c>
      <c r="H9" s="241" t="s">
        <v>1737</v>
      </c>
      <c r="I9" s="241" t="s">
        <v>1738</v>
      </c>
    </row>
    <row r="10" spans="1:9" x14ac:dyDescent="0.25">
      <c r="A10" t="s">
        <v>1739</v>
      </c>
      <c r="B10" s="204" t="s">
        <v>1721</v>
      </c>
      <c r="H10" s="241" t="s">
        <v>1740</v>
      </c>
      <c r="I10" s="241" t="s">
        <v>1741</v>
      </c>
    </row>
    <row r="11" spans="1:9" ht="19.5" customHeight="1" x14ac:dyDescent="0.25">
      <c r="A11" t="s">
        <v>1742</v>
      </c>
      <c r="B11" s="209">
        <v>1234567890.12345</v>
      </c>
      <c r="H11" s="241">
        <v>0</v>
      </c>
      <c r="I11" s="241" t="s">
        <v>1743</v>
      </c>
    </row>
    <row r="12" spans="1:9" x14ac:dyDescent="0.25">
      <c r="A12" t="s">
        <v>1744</v>
      </c>
      <c r="B12">
        <v>0</v>
      </c>
      <c r="H12" s="241" t="s">
        <v>1745</v>
      </c>
      <c r="I12" s="241" t="s">
        <v>1457</v>
      </c>
    </row>
    <row r="13" spans="1:9" ht="18.75" customHeight="1" x14ac:dyDescent="0.3">
      <c r="A13" t="s">
        <v>1746</v>
      </c>
      <c r="B13" s="270">
        <v>1234567890.12345</v>
      </c>
      <c r="H13" s="241" t="s">
        <v>1546</v>
      </c>
      <c r="I13" s="241" t="s">
        <v>1747</v>
      </c>
    </row>
  </sheetData>
  <conditionalFormatting sqref="B6">
    <cfRule type="cellIs" dxfId="6" priority="2" operator="lessThan">
      <formula>0</formula>
    </cfRule>
    <cfRule type="cellIs" dxfId="5" priority="3" operator="greaterThan">
      <formula>0</formula>
    </cfRule>
  </conditionalFormatting>
  <conditionalFormatting sqref="B6 B12">
    <cfRule type="cellIs" dxfId="4" priority="1" operator="equal">
      <formula>0</formula>
    </cfRule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10</vt:i4>
      </vt:variant>
    </vt:vector>
  </HeadingPairs>
  <TitlesOfParts>
    <vt:vector size="14" baseType="lpstr">
      <vt:lpstr>Отчёт КПД ДО</vt:lpstr>
      <vt:lpstr>Баланс ЗС</vt:lpstr>
      <vt:lpstr>Лист1</vt:lpstr>
      <vt:lpstr>tech</vt:lpstr>
      <vt:lpstr>_INTERNAL_KEY1</vt:lpstr>
      <vt:lpstr>_INTERNAL_KEY2</vt:lpstr>
      <vt:lpstr>_SET_ROW1</vt:lpstr>
      <vt:lpstr>_SET_ROW2</vt:lpstr>
      <vt:lpstr>_STATIC_REP_INTERNAL_KEY1</vt:lpstr>
      <vt:lpstr>_STATIC_REP_SET_ROW1</vt:lpstr>
      <vt:lpstr>_SUM_REP_INTERNAL_KEY1</vt:lpstr>
      <vt:lpstr>_SUM_REP_INTERNAL_KEY2</vt:lpstr>
      <vt:lpstr>_SUM_REP_SET_ROW1</vt:lpstr>
      <vt:lpstr>_SUM_REP_SET_ROW2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2026-08-10T13:20:59Z</dcterms:modified>
</cp:coreProperties>
</file>