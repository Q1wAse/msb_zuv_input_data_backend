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admin\Documents\Backend\msb_zuv_input_data_backend\file\"/>
    </mc:Choice>
  </mc:AlternateContent>
  <bookViews>
    <workbookView xWindow="0" yWindow="0" windowWidth="21570" windowHeight="12465" activeTab="3"/>
  </bookViews>
  <sheets>
    <sheet name="План общий " sheetId="1" r:id="rId1"/>
    <sheet name="Отчёт КПД ДО" sheetId="2" r:id="rId2"/>
    <sheet name="Баланс ЗС" sheetId="3" r:id="rId3"/>
    <sheet name="Лист1" sheetId="4" r:id="rId4"/>
    <sheet name="Лист1 (2)" sheetId="5" r:id="rId5"/>
    <sheet name="tech" sheetId="6" r:id="rId6"/>
  </sheets>
  <externalReferences>
    <externalReference r:id="rId7"/>
    <externalReference r:id="rId8"/>
  </externalReferences>
  <definedNames>
    <definedName name="____________q1" hidden="1">{#N/A,#N/A,FALSE,"Август Сальдо После отчета"}</definedName>
    <definedName name="___________q1" hidden="1">{#N/A,#N/A,FALSE,"Август Сальдо После отчета"}</definedName>
    <definedName name="__________q1" hidden="1">{#N/A,#N/A,FALSE,"Август Сальдо После отчета"}</definedName>
    <definedName name="_________q1" hidden="1">{#N/A,#N/A,FALSE,"Август Сальдо После отчета"}</definedName>
    <definedName name="________q1" hidden="1">{#N/A,#N/A,FALSE,"Август Сальдо После отчета"}</definedName>
    <definedName name="_______q1" hidden="1">{#N/A,#N/A,FALSE,"Август Сальдо После отчета"}</definedName>
    <definedName name="______q1" hidden="1">{#N/A,#N/A,FALSE,"Август Сальдо После отчета"}</definedName>
    <definedName name="_____q1" hidden="1">{#N/A,#N/A,FALSE,"Август Сальдо После отчета"}</definedName>
    <definedName name="____q1" hidden="1">{#N/A,#N/A,FALSE,"Август Сальдо После отчета"}</definedName>
    <definedName name="___q1" hidden="1">{#N/A,#N/A,FALSE,"Август Сальдо После отчета"}</definedName>
    <definedName name="__q1" hidden="1">{#N/A,#N/A,FALSE,"Август Сальдо После отчета"}</definedName>
    <definedName name="_asd1" hidden="1">{#N/A,#N/A,FALSE,"Август Сальдо После отчета"}</definedName>
    <definedName name="_INTERNAL_KEY1">Лист1!$5:$5</definedName>
    <definedName name="_INTERNAL_KEY2">'Лист1 (2)'!$5:$5</definedName>
    <definedName name="_q1" hidden="1">{#N/A,#N/A,FALSE,"Август Сальдо После отчета"}</definedName>
    <definedName name="_SET_ROW1">Лист1!$C:$H</definedName>
    <definedName name="_SET_ROW2">'Лист1 (2)'!$C:$H</definedName>
    <definedName name="_SHEET_ID1" localSheetId="3">1</definedName>
    <definedName name="_SHEET_ID2" localSheetId="4">1</definedName>
    <definedName name="_SHEET_ID20" localSheetId="0">1</definedName>
    <definedName name="_SHEET_ID21" localSheetId="1">1</definedName>
    <definedName name="_SHEET_ID22" localSheetId="2">1</definedName>
    <definedName name="_STATIC_REP_INTERNAL_KEY1">'Отчёт КПД ДО'!$5:$5</definedName>
    <definedName name="_STATIC_REP_SET_ROW1">'Отчёт КПД ДО'!$C:$D</definedName>
    <definedName name="_SUM_REP_INTERNAL_KEY1">'План общий '!$5:$5</definedName>
    <definedName name="_SUM_REP_INTERNAL_KEY2">'Баланс ЗС'!$5:$5</definedName>
    <definedName name="_SUM_REP_SET_ROW1">'План общий '!$C:$H</definedName>
    <definedName name="_SUM_REP_SET_ROW2">'Баланс ЗС'!$C:$H</definedName>
    <definedName name="a" hidden="1">{#N/A,#N/A,FALSE,"Август Сальдо После отчета"}</definedName>
    <definedName name="anscount" hidden="1">13</definedName>
    <definedName name="asd" hidden="1">{#N/A,#N/A,FALSE,"Август Сальдо После отчета"}</definedName>
    <definedName name="d" hidden="1">{#N/A,#N/A,FALSE,"Август Сальдо После отчета"}</definedName>
    <definedName name="e" hidden="1">{#N/A,#N/A,FALSE,"Август Сальдо После отчета"}</definedName>
    <definedName name="f" hidden="1">{#N/A,#N/A,FALSE,"Август Сальдо После отчета"}</definedName>
    <definedName name="fff" hidden="1">#REF!</definedName>
    <definedName name="g" hidden="1">{#N/A,#N/A,FALSE,"Август Сальдо После отчета"}</definedName>
    <definedName name="GlobalWork" hidden="1">" "</definedName>
    <definedName name="h" hidden="1">{#N/A,#N/A,FALSE,"Август Сальдо После отчета"}</definedName>
    <definedName name="j" hidden="1">{#N/A,#N/A,FALSE,"Август Сальдо После отчета"}</definedName>
    <definedName name="jjjj" hidden="1">{#N/A,#N/A,FALSE,"Август Сальдо После отчета"}</definedName>
    <definedName name="limcount" hidden="1">13</definedName>
    <definedName name="q" hidden="1">{#N/A,#N/A,FALSE,"Август Сальдо После отчета"}</definedName>
    <definedName name="qw" hidden="1">{#N/A,#N/A,FALSE,"Август Сальдо После отчета"}</definedName>
    <definedName name="s" hidden="1">{#N/A,#N/A,FALSE,"Август Сальдо После отчета"}</definedName>
    <definedName name="SAPBEXrevision" hidden="1">1</definedName>
    <definedName name="SAPBEXsysID" hidden="1">"PCS"</definedName>
    <definedName name="SAPBEXwbID" hidden="1">"46IZ8HZJL1NAGN7JAA6FZ12CA"</definedName>
    <definedName name="sencount" hidden="1">13</definedName>
    <definedName name="t" hidden="1">{#N/A,#N/A,FALSE,"Август Сальдо После отчета"}</definedName>
    <definedName name="u" hidden="1">{#N/A,#N/A,FALSE,"Август Сальдо После отчета"}</definedName>
    <definedName name="vb" hidden="1">{#N/A,#N/A,FALSE,"Август Сальдо После отчета"}</definedName>
    <definedName name="w" hidden="1">{#N/A,#N/A,FALSE,"Август Сальдо После отчета"}</definedName>
    <definedName name="wrn.Отчет." hidden="1">{#N/A,#N/A,FALSE,"Август Сальдо После отчета"}</definedName>
    <definedName name="wrn.Сог_Полная_Версия." hidden="1">{"СОГПолнаяВерсия",#N/A,FALSE,"СОГ"}</definedName>
    <definedName name="wrn.СОГ_Укороченная_Версия." hidden="1">{"СОГУкороченнаяВерсия",#N/A,FALSE,"СОГ"}</definedName>
    <definedName name="y" hidden="1">{#N/A,#N/A,FALSE,"Август Сальдо После отчета"}</definedName>
    <definedName name="Z_1BDBA328_8BF0_4216_A22B_2FB9A5FB2784_.wvu.PrintArea" hidden="1">[1]Лист2!$A$1:$O$144</definedName>
    <definedName name="Z_1BDBA328_8BF0_4216_A22B_2FB9A5FB2784_.wvu.PrintTitles" hidden="1">[1]Лист2!$A$4:$IV$5</definedName>
    <definedName name="Z_1BDBA328_8BF0_4216_A22B_2FB9A5FB2784_.wvu.Rows" hidden="1">[1]Лист2!$A$30:$IV$35,[1]Лист2!$A$70:$IV$72,[1]Лист2!$A$83:$IV$83,[1]Лист2!$A$88:$IV$88,[1]Лист2!$A$111:$IV$112,[1]Лист2!$A$119:$IV$124,[1]Лист2!$A$135:$IV$137</definedName>
    <definedName name="а" hidden="1">{#N/A,#N/A,FALSE,"Август Сальдо После отчета"}</definedName>
    <definedName name="ааа" hidden="1">{#N/A,#N/A,FALSE,"Август Сальдо После отчета"}</definedName>
    <definedName name="аааааааа" hidden="1">{#N/A,#N/A,FALSE,"Август Сальдо После отчета"}</definedName>
    <definedName name="ааааааааа" hidden="1">{#N/A,#N/A,FALSE,"Август Сальдо После отчета"}</definedName>
    <definedName name="аааааааааааааваа" hidden="1">{#N/A,#N/A,FALSE,"Август Сальдо После отчета"}</definedName>
    <definedName name="апрапрпорл" hidden="1">{#N/A,#N/A,FALSE,"Август Сальдо После отчета"}</definedName>
    <definedName name="ар" hidden="1">{#N/A,#N/A,FALSE,"Август Сальдо После отчета"}</definedName>
    <definedName name="б" hidden="1">{#N/A,#N/A,FALSE,"Август Сальдо После отчета"}</definedName>
    <definedName name="база" hidden="1">{#N/A,#N/A,FALSE,"Август Сальдо После отчета"}</definedName>
    <definedName name="в" hidden="1">{#N/A,#N/A,FALSE,"Август Сальдо После отчета"}</definedName>
    <definedName name="ввв" hidden="1">{#N/A,#N/A,FALSE,"Август Сальдо После отчета"}</definedName>
    <definedName name="ггг" hidden="1">{#N/A,#N/A,FALSE,"Август Сальдо После отчета"}</definedName>
    <definedName name="ее" hidden="1">{#N/A,#N/A,FALSE,"Август Сальдо После отчета"}</definedName>
    <definedName name="ж" hidden="1">{#N/A,#N/A,FALSE,"Август Сальдо После отчета"}</definedName>
    <definedName name="з" hidden="1">{#N/A,#N/A,FALSE,"Август Сальдо После отчета"}</definedName>
    <definedName name="и" hidden="1">{#N/A,#N/A,FALSE,"Август Сальдо После отчета"}</definedName>
    <definedName name="июнь" hidden="1">{#N/A,#N/A,FALSE,"Август Сальдо После отчета"}</definedName>
    <definedName name="йй" hidden="1">{#N/A,#N/A,FALSE,"Август Сальдо После отчета"}</definedName>
    <definedName name="йййй" hidden="1">{#N/A,#N/A,FALSE,"Август Сальдо После отчета"}</definedName>
    <definedName name="к" hidden="1">{#N/A,#N/A,FALSE,"Август Сальдо После отчета"}</definedName>
    <definedName name="кк" hidden="1">{#N/A,#N/A,FALSE,"Август Сальдо После отчета"}</definedName>
    <definedName name="кп" hidden="1">{#N/A,#N/A,FALSE,"Август Сальдо После отчета"}</definedName>
    <definedName name="кпп" hidden="1">{#N/A,#N/A,FALSE,"Август Сальдо После отчета"}</definedName>
    <definedName name="л" hidden="1">{#N/A,#N/A,FALSE,"Август Сальдо После отчета"}</definedName>
    <definedName name="лл" hidden="1">{#N/A,#N/A,FALSE,"Август Сальдо После отчета"}</definedName>
    <definedName name="ло" hidden="1">{#N/A,#N/A,FALSE,"Август Сальдо После отчета"}</definedName>
    <definedName name="лр" hidden="1">{#N/A,#N/A,FALSE,"Август Сальдо После отчета"}</definedName>
    <definedName name="м" hidden="1">{#N/A,#N/A,FALSE,"Август Сальдо После отчета"}</definedName>
    <definedName name="н" hidden="1">{#N/A,#N/A,FALSE,"Август Сальдо После отчета"}</definedName>
    <definedName name="НВ" hidden="1">{#N/A,#N/A,FALSE,"Август Сальдо После отчета"}</definedName>
    <definedName name="ннн" hidden="1">{#N/A,#N/A,FALSE,"Август Сальдо После отчета"}</definedName>
    <definedName name="нов." hidden="1">{#N/A,#N/A,FALSE,"Август Сальдо После отчета"}</definedName>
    <definedName name="о" hidden="1">{#N/A,#N/A,FALSE,"Август Сальдо После отчета"}</definedName>
    <definedName name="ол" hidden="1">{#N/A,#N/A,FALSE,"Август Сальдо После отчета"}</definedName>
    <definedName name="олджлждждж" hidden="1">{#N/A,#N/A,FALSE,"Август Сальдо После отчета"}</definedName>
    <definedName name="оо" hidden="1">{#N/A,#N/A,FALSE,"Август Сальдо После отчета"}</definedName>
    <definedName name="ооо" hidden="1">{#N/A,#N/A,FALSE,"Август Сальдо После отчета"}</definedName>
    <definedName name="оооо" hidden="1">{#N/A,#N/A,FALSE,"Август Сальдо После отчета"}</definedName>
    <definedName name="ооооо" hidden="1">{#N/A,#N/A,FALSE,"Август Сальдо После отчета"}</definedName>
    <definedName name="орлордлодлдл" hidden="1">{#N/A,#N/A,FALSE,"Август Сальдо После отчета"}</definedName>
    <definedName name="отчет" hidden="1">{#N/A,#N/A,FALSE,"Август Сальдо После отчета"}</definedName>
    <definedName name="п" hidden="1">{#N/A,#N/A,FALSE,"Август Сальдо После отчета"}</definedName>
    <definedName name="ппп" hidden="1">{#N/A,#N/A,FALSE,"Август Сальдо После отчета"}</definedName>
    <definedName name="пппп" hidden="1">{#N/A,#N/A,FALSE,"Август Сальдо После отчета"}</definedName>
    <definedName name="прап" hidden="1">{#N/A,#N/A,FALSE,"Август Сальдо После отчета"}</definedName>
    <definedName name="ПРИБЫЛЬ" hidden="1">{#N/A,#N/A,FALSE,"Август Сальдо После отчета"}</definedName>
    <definedName name="про" hidden="1">{#N/A,#N/A,FALSE,"Август Сальдо После отчета"}</definedName>
    <definedName name="проо" hidden="1">{#N/A,#N/A,FALSE,"Август Сальдо После отчета"}</definedName>
    <definedName name="ПХГ" hidden="1">{"СОГПолнаяВерсия",#N/A,FALSE,"СОГ"}</definedName>
    <definedName name="р" hidden="1">{#N/A,#N/A,FALSE,"Август Сальдо После отчета"}</definedName>
    <definedName name="роо" hidden="1">{#N/A,#N/A,FALSE,"Август Сальдо После отчета"}</definedName>
    <definedName name="ррр" hidden="1">{#N/A,#N/A,FALSE,"Август Сальдо После отчета"}</definedName>
    <definedName name="с" hidden="1">{#N/A,#N/A,FALSE,"Август Сальдо После отчета"}</definedName>
    <definedName name="смета" hidden="1">#REF!</definedName>
    <definedName name="СНП" hidden="1">#REF!</definedName>
    <definedName name="сравнен" hidden="1">{#N/A,#N/A,FALSE,"Август Сальдо После отчета"}</definedName>
    <definedName name="Сцен.новые" hidden="1">{#N/A,#N/A,FALSE,"Август Сальдо После отчета"}</definedName>
    <definedName name="т" hidden="1">{#N/A,#N/A,FALSE,"Август Сальдо После отчета"}</definedName>
    <definedName name="транзит" hidden="1">{#N/A,#N/A,FALSE,"Август Сальдо После отчета"}</definedName>
    <definedName name="транзит2" hidden="1">{#N/A,#N/A,FALSE,"Август Сальдо После отчета"}</definedName>
    <definedName name="ттттт" hidden="1">{#N/A,#N/A,FALSE,"Август Сальдо После отчета"}</definedName>
    <definedName name="у" hidden="1">{#N/A,#N/A,FALSE,"Август Сальдо После отчета"}</definedName>
    <definedName name="ууу" hidden="1">{#N/A,#N/A,FALSE,"Август Сальдо После отчета"}</definedName>
    <definedName name="ф" hidden="1">{#N/A,#N/A,FALSE,"Август Сальдо После отчета"}</definedName>
    <definedName name="ф7" hidden="1">[2]ИД!#REF!</definedName>
    <definedName name="факт" hidden="1">{#N/A,#N/A,FALSE,"Август Сальдо После отчета"}</definedName>
    <definedName name="фы" hidden="1">#REF!</definedName>
    <definedName name="цв" hidden="1">{#N/A,#N/A,FALSE,"Август Сальдо После отчета"}</definedName>
    <definedName name="цк" hidden="1">{#N/A,#N/A,FALSE,"Август Сальдо После отчета"}</definedName>
    <definedName name="цкк" hidden="1">{#N/A,#N/A,FALSE,"Август Сальдо После отчета"}</definedName>
    <definedName name="цккк" hidden="1">{#N/A,#N/A,FALSE,"Август Сальдо После отчета"}</definedName>
    <definedName name="цкккк" hidden="1">{#N/A,#N/A,FALSE,"Август Сальдо После отчета"}</definedName>
    <definedName name="цккккк" hidden="1">{#N/A,#N/A,FALSE,"Август Сальдо После отчета"}</definedName>
    <definedName name="цкккккк" hidden="1">{#N/A,#N/A,FALSE,"Август Сальдо После отчета"}</definedName>
    <definedName name="цц" hidden="1">{#N/A,#N/A,FALSE,"Август Сальдо После отчета"}</definedName>
    <definedName name="ч" hidden="1">{#N/A,#N/A,FALSE,"Август Сальдо После отчета"}</definedName>
    <definedName name="ш" hidden="1">{#N/A,#N/A,FALSE,"Август Сальдо После отчета"}</definedName>
    <definedName name="шшш" hidden="1">{#N/A,#N/A,FALSE,"Август Сальдо После отчета"}</definedName>
    <definedName name="щ" hidden="1">{#N/A,#N/A,FALSE,"Август Сальдо После отчета"}</definedName>
    <definedName name="щщщ" hidden="1">{#N/A,#N/A,FALSE,"Август Сальдо После отчета"}</definedName>
    <definedName name="ы" hidden="1">{#N/A,#N/A,FALSE,"Август Сальдо После отчета"}</definedName>
    <definedName name="ь" hidden="1">{#N/A,#N/A,FALSE,"Август Сальдо После отчета"}</definedName>
    <definedName name="ю" hidden="1">{#N/A,#N/A,FALSE,"Август Сальдо После отчета"}</definedName>
    <definedName name="я" hidden="1">{#N/A,#N/A,FALSE,"Август Сальдо После отчета"}</definedName>
  </definedNames>
  <calcPr calcId="152511"/>
</workbook>
</file>

<file path=xl/calcChain.xml><?xml version="1.0" encoding="utf-8"?>
<calcChain xmlns="http://schemas.openxmlformats.org/spreadsheetml/2006/main">
  <c r="F9" i="3" l="1"/>
  <c r="K9" i="2"/>
  <c r="I9" i="2"/>
  <c r="H9" i="2"/>
  <c r="K8" i="2"/>
  <c r="I8" i="2"/>
  <c r="H8" i="2"/>
</calcChain>
</file>

<file path=xl/comments1.xml><?xml version="1.0" encoding="utf-8"?>
<comments xmlns="http://schemas.openxmlformats.org/spreadsheetml/2006/main">
  <authors>
    <author>tc={00A1001C-00F8-48C5-A980-00FA00E200ED}</author>
    <author>tc={0017005B-00F6-4BF1-A06B-00D900F900F4}</author>
    <author>tc={00D90064-0059-4E93-83DE-00B500DF00E5}</author>
    <author>tc={00F10029-0022-4347-981B-00F7001E00A9}</author>
    <author>tc={005F0063-00CE-4464-BD85-00F900720061}</author>
    <author>tc={00CC0061-0070-4A23-B068-0016003C00D5}</author>
    <author>tc={0062007B-00C9-4901-B8D3-009B006C003E}</author>
    <author>tc={008400AB-00B2-4B45-AB53-00EB008B008E}</author>
    <author>tc={004B0082-00BB-4710-ABD4-003F0046001F}</author>
    <author>tc={00570049-00D9-4338-84FB-002E0086007F}</author>
    <author>tc={00510070-0073-4651-9C5B-00E7006600E8}</author>
    <author>tc={00B80088-00EB-4799-B3C9-00A200C000F8}</author>
    <author>tc={005A006B-00F9-4185-88CB-0088001100C9}</author>
    <author>tc={007E0040-007F-45B5-BB0A-005400520064}</author>
    <author>tc={002C009A-0070-40E5-B999-000100E100B5}</author>
    <author>tc={00300000-0044-42E5-896C-00DD0000005F}</author>
    <author>tc={008F00E8-0091-4AA7-BF97-0069006D0011}</author>
    <author>tc={002A00C7-0079-4019-8169-007900D400B2}</author>
    <author>tc={009900A6-0068-496E-957A-00CD008B001E}</author>
    <author>tc={005300BE-000D-4D86-9944-008C006B00D2}</author>
    <author>tc={00C10062-0073-4532-BAD7-006800A30077}</author>
    <author>tc={005C003B-0098-451E-A19B-003600AA0048}</author>
    <author>tc={003D0037-00DD-4D80-AA63-0072004200E8}</author>
    <author>tc={00CC004C-005E-4584-93E9-001C00DF0035}</author>
    <author>tc={006C0082-0074-44D2-9265-003D00F500C4}</author>
    <author>tc={004000EC-00AD-42DC-83E8-0083003B0047}</author>
    <author>tc={00F40066-0045-4CBE-8B08-0038005A00BF}</author>
    <author>tc={00000067-0092-433C-9E7D-000F00BB0048}</author>
    <author>tc={00D700C6-00C7-4A18-A30D-004500A40088}</author>
    <author>tc={00AC00B9-00EE-408B-B32D-002700C400CA}</author>
    <author>tc={00DA0099-005F-4301-9F66-008B00AA00EC}</author>
    <author>tc={0074001A-0037-4032-920B-009400AB00AC}</author>
    <author>tc={00C900FC-0072-4CFF-9157-00F300D900EA}</author>
    <author>tc={00FE006D-0065-4811-A129-00AB00230036}</author>
    <author>tc={000300EA-00C8-4F57-A67F-002E00F8000F}</author>
    <author>tc={00A0001A-00DD-41B6-90D3-00C2007F0073}</author>
    <author>tc={00B5007F-00CB-427F-A3F2-00CF000D00B6}</author>
    <author>tc={009F00FE-00E3-4F90-BD33-0076002B00EF}</author>
    <author>tc={00680037-0099-4EF5-ABCB-00AF002D00DC}</author>
    <author>tc={008D006F-0029-4FD6-9241-000E00F90018}</author>
    <author>tc={00F9006B-00C2-400A-9B46-0043003F0036}</author>
    <author>tc={007D0083-000C-4665-8A7B-00D500CB0025}</author>
    <author>tc={00F10069-00BC-49BA-A080-004C00910005}</author>
    <author>tc={005C00FF-0012-4C6E-8300-00A700AC00FB}</author>
    <author>tc={00A700F1-0087-42AC-AA5E-001E00F00046}</author>
    <author>tc={009F00FD-00AC-43AB-B142-00AD00980033}</author>
    <author>tc={008E00AD-00B5-4DCD-92F9-005900D700A5}</author>
    <author>tc={003C009D-00CB-4B09-9960-00DA00820049}</author>
    <author>tc={009B00AE-00DB-47F6-BA37-00DD004A0064}</author>
    <author>tc={00A2000D-00DF-44BD-ADC7-0032000800B2}</author>
    <author>tc={0065002B-0028-4D1B-B175-00C400C200BE}</author>
    <author>tc={003500EF-00F8-46D1-B86F-005B000500AA}</author>
    <author>tc={005A00D5-00F2-40A8-9D34-004400CD0043}</author>
    <author>tc={00C0002E-0094-477D-9FFC-00A500840028}</author>
    <author>tc={00A200C7-00BA-477A-84C4-00900058008F}</author>
    <author>tc={001900FF-00CF-4943-AE27-006C0075003B}</author>
    <author>tc={001500FB-0036-4786-A50A-00D50015000C}</author>
    <author>tc={00CA008C-00EA-47BE-BE31-00EB00EE0030}</author>
    <author>tc={0025009B-00F4-4597-ADA4-00F900610000}</author>
    <author>tc={0073007B-00FA-4943-B138-00770088001F}</author>
    <author>tc={00DD0092-0072-415D-83E5-00D7006900D5}</author>
    <author>tc={00E2002A-0063-4DF9-A4AB-00E800FF0073}</author>
    <author>tc={00AC009D-0058-42B4-992E-00C600420062}</author>
    <author>tc={009D006A-0065-4F2A-AC8B-00DD003F0018}</author>
    <author>tc={0024006F-0004-44C1-8F2A-009900C80090}</author>
    <author>tc={00A700A8-0081-418E-8F2A-00E400360047}</author>
    <author>tc={004E0087-00C2-46EA-91EF-0058008500C0}</author>
    <author>tc={00EB0048-00EC-405B-ABB6-00AC00DC0014}</author>
    <author>tc={000B008D-0031-4DF7-972D-00A900340055}</author>
    <author>tc={00DB0053-001D-4D26-A15D-00D5003A000D}</author>
    <author>tc={005D002A-007C-4F08-AF30-00A00038006B}</author>
    <author>tc={001100B3-0029-4E04-B898-009C00D300B1}</author>
    <author>tc={00A30065-00CD-4EA5-900F-007900880063}</author>
    <author>tc={000F0052-0097-41A4-BF31-008700B70021}</author>
    <author>tc={00200034-00A3-416F-B81B-007900F200CF}</author>
    <author>tc={00F5004D-004C-47D3-A37A-00E700060004}</author>
    <author>tc={003A00B7-002D-466B-BE4F-00DB00D40004}</author>
    <author>tc={004B00AF-0045-49D4-BE8B-001100300020}</author>
    <author>tc={00F6006B-0053-4DF2-BBF6-00C600770015}</author>
    <author>tc={00A30022-00ED-449F-95A8-00A00052005A}</author>
    <author>tc={004B0066-0002-402B-BADC-004B00FE00C1}</author>
    <author>tc={00D10051-0089-4CBC-A143-00DA00770032}</author>
    <author>tc={00C500E9-004B-4B6B-BD0B-00DF00180000}</author>
    <author>tc={00EF00CD-00B7-44EE-83B3-006500650040}</author>
    <author>tc={00950000-00CB-42F8-B0B2-00E200AD00CF}</author>
    <author>tc={001C0003-00B1-4708-953D-00D200F30055}</author>
    <author>tc={00700067-00E5-4B30-8550-005B006600DC}</author>
    <author>tc={002A0075-008D-43D5-961E-008D000A00E7}</author>
    <author>tc={00D400A5-00F9-4EF8-926F-00F600470080}</author>
    <author>tc={0084009B-00E3-4903-974A-006E0076009B}</author>
    <author>tc={00E900F7-00B2-4B8A-B8E9-000D0091002A}</author>
    <author>tc={005C001C-00A8-44C1-8308-00C0003000E6}</author>
    <author>tc={0017006C-00B3-4165-B24D-00BC00B300F9}</author>
    <author>tc={004400CB-0076-4F5E-937E-00AE00E50088}</author>
    <author>tc={005200C4-00EE-4234-9CB1-00D2008B00A6}</author>
    <author>tc={00F20081-001A-4EF9-8BCD-007400910079}</author>
    <author>tc={00780049-00E2-48F0-A123-0075003D00CD}</author>
    <author>tc={0014006A-00E5-4B6E-A94C-001900F800C7}</author>
    <author>tc={00A400F7-0041-482B-89A7-007C003C0070}</author>
    <author>tc={001600BD-0000-435C-8859-00BD00A400C0}</author>
    <author>tc={00F10013-000C-43B6-A863-00C0000100FB}</author>
    <author>tc={00540037-0001-4BD7-8B00-00ED00CB008F}</author>
    <author>tc={00F200F9-0076-44DD-BFD3-0052007F00AC}</author>
    <author>tc={007300D2-007F-42DA-822A-004400E6000F}</author>
    <author>tc={00FD006A-003E-4A51-BA2C-00070050003E}</author>
    <author>tc={0041008C-000E-4D32-8276-001400BC00BD}</author>
    <author>tc={00C70042-00A4-4050-B843-00D200D100F4}</author>
    <author>tc={004D000D-0064-4659-AEE8-00D8004B0099}</author>
    <author>tc={00E90075-00C6-40E0-86FD-007900820025}</author>
    <author>tc={006900D3-0057-4844-9D65-00F000FE0021}</author>
    <author>tc={005B00A3-0087-4413-9A14-0012004D00D9}</author>
  </authors>
  <commentList>
    <comment ref="B19" authorId="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Собственник мощностей
</t>
        </r>
      </text>
    </comment>
    <comment ref="B21" authorId="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Собственние мощностей
</t>
        </r>
      </text>
    </comment>
    <comment ref="B25" authorId="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Собственние сырья
</t>
        </r>
      </text>
    </comment>
    <comment ref="B28" authorId="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изменена формула
Тюлягина Татьяна Николаевна:
Барт 308
Бердин 512
</t>
        </r>
      </text>
    </comment>
    <comment ref="B29" authorId="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Собственник сырья
</t>
        </r>
      </text>
    </comment>
    <comment ref="B30" authorId="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изменена формула
</t>
        </r>
      </text>
    </comment>
    <comment ref="B31" authorId="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новая строка
</t>
        </r>
      </text>
    </comment>
    <comment ref="B34" authorId="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Собственние сырья
</t>
        </r>
      </text>
    </comment>
    <comment ref="B35" authorId="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изменена формула
</t>
        </r>
      </text>
    </comment>
    <comment ref="B39" authorId="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стн получаемые при кранении СПГ в плавучем хранилище. Идущие на стн в качетсе отпарного газа
</t>
        </r>
      </text>
    </comment>
    <comment ref="B40" authorId="1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изменена формула 23/11
</t>
        </r>
      </text>
    </comment>
    <comment ref="B41" authorId="1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Собственник сырья
</t>
        </r>
      </text>
    </comment>
    <comment ref="B42" authorId="1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Собственник сырья
</t>
        </r>
      </text>
    </comment>
    <comment ref="B45" authorId="1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Собственник сырья
</t>
        </r>
      </text>
    </comment>
    <comment ref="B48" authorId="1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объем содержитобъемы  ДРОД т.к. транспортировку осуществляет ГДО в адрес ГПП
</t>
        </r>
      </text>
    </comment>
    <comment ref="B59" authorId="1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изменена формула
</t>
        </r>
      </text>
    </comment>
    <comment ref="B62" authorId="1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стн получаемые при хранении СПГ в плавучем хранилище. Идущие на стн в качетсе отпарного газа
</t>
        </r>
      </text>
    </comment>
    <comment ref="B78" authorId="1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Собственник сырья
</t>
        </r>
      </text>
    </comment>
    <comment ref="B79" authorId="1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Собственник сырья
</t>
        </r>
      </text>
    </comment>
    <comment ref="B84" authorId="1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07.11новая строка
</t>
        </r>
      </text>
    </comment>
    <comment ref="B103" authorId="2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новая строка
</t>
        </r>
      </text>
    </comment>
    <comment ref="B109" authorId="2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в сумму не идет, тк сидяь объемы в ГДЯ и ГДУ - новая строка - сумма на процеесинг (МУ+Новатэк)
</t>
        </r>
      </text>
    </comment>
    <comment ref="B110" authorId="2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считаем весь ГДЯ=(на УЗПКТ +на процесс Новатэк) , только без продажи на новатэк
</t>
        </r>
      </text>
    </comment>
    <comment ref="B112" authorId="2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считаем весь ГДУ =(на УЗПКТ +на процесс Новатэк) , только без продажи на новатэк
</t>
        </r>
      </text>
    </comment>
    <comment ref="B113" authorId="2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10.01.2023 изменены название и формула
ДРОД (Песцовое НГКМ(валанжин+ачим) , Уренг. Фаза 3, Ен-Ях. Бу-12, Ачим 3 уч.(НК , включая ШФЛУ)) 
</t>
        </r>
      </text>
    </comment>
    <comment ref="B114" authorId="2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Admin:
15.01.2026 Подлевских А.С.:
По указанию ТНТ.
Необходимо внести строчку в файл для факт
</t>
        </r>
      </text>
    </comment>
    <comment ref="B121" authorId="2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Ледяев Дмитрий Анатольевич:
Валовый нестаб конденсат является собственностью ГдНояб, его покупает ПАО и товарн стаб конд уже становится собств ПАО
</t>
        </r>
      </text>
    </comment>
    <comment ref="B123" authorId="2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Собственник сырья
</t>
        </r>
      </text>
    </comment>
    <comment ref="B131" authorId="2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ГПП покупает у ГДУ сырьье на переработку для получения получения продуктов на заополнение альт схемы пр пнр. В течение года будем отражать баланс, когда будут договоры заключены и Д314 сможет показать баланс.
</t>
        </r>
      </text>
    </comment>
    <comment ref="B181" authorId="2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07.02. новая строка
</t>
        </r>
      </text>
    </comment>
    <comment ref="B190" authorId="3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изменена формула
</t>
        </r>
      </text>
    </comment>
    <comment ref="B192" authorId="3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новая строка
</t>
        </r>
      </text>
    </comment>
    <comment ref="B194" authorId="3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Ледяев Дмитрий Анатольевич:
Добавлен раздел - в адрес Новатэк, ГПНЗ
</t>
        </r>
      </text>
    </comment>
    <comment ref="B206" authorId="3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изменена формула
</t>
        </r>
      </text>
    </comment>
    <comment ref="B207" authorId="3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07.11  изменена формула
</t>
        </r>
      </text>
    </comment>
    <comment ref="B209" authorId="3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20.10 новая строка
</t>
        </r>
      </text>
    </comment>
    <comment ref="B210" authorId="3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изменена формула
</t>
        </r>
      </text>
    </comment>
    <comment ref="B247" authorId="3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Собственник сырья
- для заполнения серных ям,
Есть протокол
</t>
        </r>
      </text>
    </comment>
    <comment ref="B262" authorId="3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Собственник сырья
</t>
        </r>
      </text>
    </comment>
    <comment ref="B266" authorId="39" shapeId="0">
      <text/>
    </comment>
    <comment ref="B269" authorId="4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УНГП, Сервиснефтегаз, 
</t>
        </r>
      </text>
    </comment>
    <comment ref="B275" authorId="41" shapeId="0">
      <text/>
    </comment>
    <comment ref="B278" authorId="4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УНГП, Сервиснефтегаз, 
</t>
        </r>
      </text>
    </comment>
    <comment ref="B289" authorId="4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ПНР -пусконаладочные работы
ТПХР - терминал по приему, хранению и регазификации газа, включая ПРГУ -танкер маршала Василевский (аренда "Газ флотом")
</t>
        </r>
      </text>
    </comment>
    <comment ref="B302" authorId="4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изменена формула
</t>
        </r>
      </text>
    </comment>
    <comment ref="B325" authorId="4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исправлено название
</t>
        </r>
      </text>
    </comment>
    <comment ref="B327" authorId="4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переименовать на "Газ горючий природный " согсавно договру стабилизации
</t>
        </r>
      </text>
    </comment>
    <comment ref="B334" authorId="4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переименовать на "Газ горючий природный " согсавно договру стабилизации ДС 2889
</t>
        </r>
      </text>
    </comment>
    <comment ref="B336" authorId="4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02.12 добавлена формула
2022.12.02  Усманова-Тараскин
Газ с УМТ реализуется от ПАО (агент ГПП) в адрес Газинформпласт на СТН
Демихов: 2021
газ деэтнизации будет продаваться через ГПП в адрес эксплуат. Орг. (сжигается).
</t>
        </r>
      </text>
    </comment>
    <comment ref="B340" authorId="4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изменена формула
</t>
        </r>
      </text>
    </comment>
    <comment ref="B348" authorId="5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07.11изменена формула
</t>
        </r>
      </text>
    </comment>
    <comment ref="B355" authorId="5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УНГП, Сервиснефтегаз, 
</t>
        </r>
      </text>
    </comment>
    <comment ref="B360" authorId="5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новые строки
</t>
        </r>
      </text>
    </comment>
    <comment ref="B363" authorId="5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10.01.2023 изменено название 
газ деэтанизации/природный газ (Песцовое НГКМ, Ен-Яхинск. НГКМ, Уренг. НГКМ, ачим. 3 уч.)
</t>
        </r>
      </text>
    </comment>
    <comment ref="B386" authorId="5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изменена формула
</t>
        </r>
      </text>
    </comment>
    <comment ref="B413" authorId="5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07.11 изменена формула
</t>
        </r>
      </text>
    </comment>
    <comment ref="B417" authorId="5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УНГП, Сервиснефтегаз, 
</t>
        </r>
      </text>
    </comment>
    <comment ref="B433" authorId="5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УНГП, Сервиснефтегаз, 
</t>
        </r>
      </text>
    </comment>
    <comment ref="B461" authorId="5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УНГП, Сервиснефтегаз, 
</t>
        </r>
      </text>
    </comment>
    <comment ref="B480" authorId="5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07.11 изменена формула
</t>
        </r>
      </text>
    </comment>
    <comment ref="B485" authorId="6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УНГП, Сервиснефтегаз, 
</t>
        </r>
      </text>
    </comment>
    <comment ref="B498" authorId="6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изменены формулы
</t>
        </r>
      </text>
    </comment>
    <comment ref="B505" authorId="6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Windows User
07.11 изменно название
</t>
        </r>
      </text>
    </comment>
    <comment ref="B510" authorId="6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новая строка
</t>
        </r>
      </text>
    </comment>
    <comment ref="B537" authorId="6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07.11 изменена формула
</t>
        </r>
      </text>
    </comment>
    <comment ref="B540" authorId="6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07.11новая строка
</t>
        </r>
      </text>
    </comment>
    <comment ref="B549" authorId="6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обсудить
</t>
        </r>
      </text>
    </comment>
    <comment ref="B551" authorId="6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15.02 изменена формула
</t>
        </r>
      </text>
    </comment>
    <comment ref="B567" authorId="6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07.11 изменена формула
</t>
        </r>
      </text>
    </comment>
    <comment ref="B572" authorId="6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07.11 изменена формула
</t>
        </r>
      </text>
    </comment>
    <comment ref="B574" authorId="7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изменена формула
</t>
        </r>
      </text>
    </comment>
    <comment ref="B575" authorId="7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изменено название 
стаб. газ. конденсат, нефть (Ен-Яхинское НГКМ, Песцовое НГКМ, Ачим отл. 3 уч., Уренгойское НГКМ фаза 2)
</t>
        </r>
      </text>
    </comment>
    <comment ref="B581" authorId="7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Тюлягина Татьяна Николаевна:
нефть заполяр становится газпромовской , как только появляется труба в транснефти- альтернат схема
</t>
        </r>
      </text>
    </comment>
    <comment ref="B584" authorId="7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изменена формула
</t>
        </r>
      </text>
    </comment>
    <comment ref="B587" authorId="7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новая строка
</t>
        </r>
      </text>
    </comment>
    <comment ref="B610" authorId="7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Тюлягина Татьяна Николаевна:
нефть заполяр становится газпромовской , как только появляется труба в транснефти- альтернат схема
</t>
        </r>
      </text>
    </comment>
    <comment ref="B624" authorId="7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07.11 изменена формула
</t>
        </r>
      </text>
    </comment>
    <comment ref="B627" authorId="7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10/03 изменена формула
</t>
        </r>
      </text>
    </comment>
    <comment ref="B634" authorId="7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обсудить
</t>
        </r>
      </text>
    </comment>
    <comment ref="B637" authorId="7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Подлевских Анастасия Сергеевна:
добавла СК на СТН, так как этот объем ПАО продает ГДИ
</t>
        </r>
      </text>
    </comment>
    <comment ref="B638" authorId="8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нефть покупка
</t>
        </r>
      </text>
    </comment>
    <comment ref="B642" authorId="8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Тюлягина Татьяна Николаевна:
нефть заполяр становится газпромовской , как только появляется труба в транснефти- альтернат схема
</t>
        </r>
      </text>
    </comment>
    <comment ref="B643" authorId="8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Тюлягина Татьяна Николаевна:
нефть заполяр становится газпромовской , как только появляется труба в транснефти- альтернат схема
</t>
        </r>
      </text>
    </comment>
    <comment ref="B653" authorId="8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изменена формула
</t>
        </r>
      </text>
    </comment>
    <comment ref="B654" authorId="8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изменено название 
стаб. газ. конденсат, нефть (Ен-Яхинское НГКМ, Песцовое НГКМ, Ачим отл. 3 уч., Уренгойское НГКМ фаза 2)
</t>
        </r>
      </text>
    </comment>
    <comment ref="B658" authorId="8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Тюлягина Татьяна Николаевна:
нефть заполяр становится газпромовской , как только появляется труба в транснефти- альтернат схема
</t>
        </r>
      </text>
    </comment>
    <comment ref="B660" authorId="8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Тюлягина Татьяна Николаевна:
нефть заполяр становится газпромовской , как только появляется труба в транснефти- альтернат схема
</t>
        </r>
      </text>
    </comment>
    <comment ref="B668" authorId="8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изменена формула
</t>
        </r>
      </text>
    </comment>
    <comment ref="B671" authorId="8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новая строка
</t>
        </r>
      </text>
    </comment>
    <comment ref="B708" authorId="8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изменено название
</t>
        </r>
      </text>
    </comment>
    <comment ref="B779" authorId="9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07.11 переименовать
</t>
        </r>
      </text>
    </comment>
    <comment ref="B869" authorId="9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07.11 изменена формула
</t>
        </r>
      </text>
    </comment>
    <comment ref="B875" authorId="9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07.11 изменено название
</t>
        </r>
      </text>
    </comment>
    <comment ref="B895" authorId="9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19/12 изменена формула
</t>
        </r>
      </text>
    </comment>
    <comment ref="B899" authorId="9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19/12новые стрки
</t>
        </r>
      </text>
    </comment>
    <comment ref="B901" authorId="9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Windows Us1 19/12 новая строка
</t>
        </r>
      </text>
    </comment>
    <comment ref="B907" authorId="9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19/12 формула
</t>
        </r>
      </text>
    </comment>
    <comment ref="B909" authorId="9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19.12 новые стрки
</t>
        </r>
      </text>
    </comment>
    <comment ref="B911" authorId="9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19/12 новые стрки
</t>
        </r>
      </text>
    </comment>
    <comment ref="B1001" authorId="9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Подлевских Анастасия Сергеевна:
02.12 заново поменять ссылку на новую форму
</t>
        </r>
      </text>
    </comment>
    <comment ref="B1008" authorId="10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Тарасевич Елена Сергеевна:
Добавлен показатель (НК из повторной переработки СОГ на НТА с сентября 2026 г.
</t>
        </r>
      </text>
    </comment>
    <comment ref="B1098" authorId="10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СК из сырья Томска
</t>
        </r>
      </text>
    </comment>
    <comment ref="B1101" authorId="10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фактически это конденсат из попутного газа ГПНефти, но назыают нефтью для избежания налог. рисков
</t>
        </r>
      </text>
    </comment>
    <comment ref="B1105" authorId="10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фактически это конденсат из попутного газа ГПНефти, но назыают нефтью для избежания налог риско
</t>
        </r>
      </text>
    </comment>
    <comment ref="B1115" authorId="10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Ледяев Дмитрий Анатольевич:
Изменено название (добавлено  (в т. ч.   И   
переработка газа)
</t>
        </r>
      </text>
    </comment>
    <comment ref="B1117" authorId="10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Ледяев Дмитрий Анатольевич:
новая строка
</t>
        </r>
      </text>
    </comment>
    <comment ref="B1146" authorId="10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03/02 Добавлена строка
</t>
        </r>
      </text>
    </comment>
    <comment ref="B1201" authorId="10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Подлевских Анастасия Сергеевна:
Объемы не актуальны.
Эти показатели из трехлетки 26-28 (2 этап). По информации Д353, нам обновленные показатели не пришлют
</t>
        </r>
      </text>
    </comment>
    <comment ref="B1298" authorId="10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Подлевских Анастасия Сергеевна:
топливо газообразное + кокс
</t>
        </r>
      </text>
    </comment>
    <comment ref="B1398" authorId="10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Подлевских Анастасия Сергеевна:
природный газ только на технологию
</t>
        </r>
      </text>
    </comment>
    <comment ref="B1410" authorId="11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Подлевских Анастасия Сергеевна:
на технологию + топливо
</t>
        </r>
      </text>
    </comment>
  </commentList>
</comments>
</file>

<file path=xl/comments2.xml><?xml version="1.0" encoding="utf-8"?>
<comments xmlns="http://schemas.openxmlformats.org/spreadsheetml/2006/main">
  <authors>
    <author>tc={00A800EE-009F-49FD-A234-0055008F001A}</author>
    <author>tc={009D0047-00F7-4973-B324-007D00B50066}</author>
    <author>tc={00EA0070-004F-4852-81C0-004C00ED00FE}</author>
    <author>tc={00AC005A-002B-4346-A99B-003D00A600B4}</author>
    <author>tc={0066008B-004F-4F8D-8180-00DF003E004E}</author>
    <author>tc={00FD0021-00E8-4949-BB91-009700240059}</author>
    <author>tc={0049007D-00B1-4DFB-ADA9-00BF009A00E1}</author>
    <author>tc={009C007E-005F-4FBD-A9FF-00340078006C}</author>
    <author>tc={0050006E-009A-4E4E-8410-007600A70049}</author>
    <author>tc={00C00045-00B1-4D5D-948B-00FE007400A7}</author>
    <author>tc={008C00CE-0038-4F20-9381-00840043001A}</author>
    <author>tc={00AB000A-000E-4B62-89E1-0090000300B0}</author>
    <author>tc={00C20054-00FD-481B-BFE7-008F008100B6}</author>
    <author>tc={00FB0021-0046-4A4B-9B1B-007800130075}</author>
    <author>tc={00760056-0074-4FC0-AB15-006900B10049}</author>
    <author>tc={005400D2-00CE-49E2-924C-007A00E500F5}</author>
    <author>tc={00660044-00B2-4AF1-9095-002300BF0021}</author>
    <author>tc={00BB00E4-0020-48ED-AC93-001400D10094}</author>
    <author>tc={005E005C-004C-432A-AA56-004800DC0095}</author>
    <author>tc={008A0083-00DF-450A-8D5D-0075004A00C9}</author>
  </authors>
  <commentList>
    <comment ref="B16" authorId="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изменено название
</t>
        </r>
      </text>
    </comment>
    <comment ref="B17" authorId="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изменено название
</t>
        </r>
      </text>
    </comment>
    <comment ref="B19" authorId="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изменено название
</t>
        </r>
      </text>
    </comment>
    <comment ref="B22" authorId="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Ледяев Дмитрий Анатольевич:
МТБЭ увеличивает октановое число бензинов, способствует более полному сгоранию топлива, предотвращает коррозию металла
</t>
        </r>
      </text>
    </comment>
    <comment ref="B27" authorId="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сбросные газы+потери серы+потери на газовой части (кроме У41 и КГН на У71) без учета потерь воды минус приход ED (деминерализованная вода) и воды МКФ на ЭЛОУ
</t>
        </r>
      </text>
    </comment>
    <comment ref="B28" authorId="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потери на производстве 3 + У71 (КГН) + У21 + У41
</t>
        </r>
      </text>
    </comment>
    <comment ref="B36" authorId="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Зеленихина Мария Владимировна:Газ ГДА проданный ГПП на СТН
</t>
        </r>
      </text>
    </comment>
    <comment ref="A42" authorId="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Ледяев Дмитрий Анатольевич:
Добавить гранулированная
</t>
        </r>
      </text>
    </comment>
    <comment ref="B45" authorId="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перенести
</t>
        </r>
      </text>
    </comment>
    <comment ref="B47" authorId="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от переработки ск и шфлу
</t>
        </r>
      </text>
    </comment>
    <comment ref="B53" authorId="1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для факта учесть изменение остатков ШФЛУ
</t>
        </r>
      </text>
    </comment>
    <comment ref="B54" authorId="1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шфлу валовая собственности ГДА для реализации ПАО  Газпром
</t>
        </r>
      </text>
    </comment>
    <comment ref="B56" authorId="1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с потерями на У500, У505
</t>
        </r>
      </text>
    </comment>
    <comment ref="B60" authorId="1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Разница междду валовым СК и СК на переработку
</t>
        </r>
      </text>
    </comment>
    <comment ref="B62" authorId="1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изменить название
Ешимов Эрик Серикбаевич:
для факта учесть изменение остатков КГС, включая полупродукты
</t>
        </r>
      </text>
    </comment>
    <comment ref="B63" authorId="1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название
</t>
        </r>
      </text>
    </comment>
    <comment ref="B64" authorId="1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с потерями на У515
</t>
        </r>
      </text>
    </comment>
    <comment ref="B74" authorId="1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газ , получаемый в процесс вторичных процессов при Гидроочистке и риформинга, изомеризации т тд, для потребления завода на 3 производстве
</t>
        </r>
      </text>
    </comment>
    <comment ref="B78" authorId="1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Убрать формулу
</t>
        </r>
      </text>
    </comment>
    <comment ref="B79" authorId="1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новые строки
</t>
        </r>
      </text>
    </comment>
  </commentList>
</comments>
</file>

<file path=xl/sharedStrings.xml><?xml version="1.0" encoding="utf-8"?>
<sst xmlns="http://schemas.openxmlformats.org/spreadsheetml/2006/main" count="4047" uniqueCount="1674">
  <si>
    <t>Показатели</t>
  </si>
  <si>
    <t>Внутренние настройки листа</t>
  </si>
  <si>
    <t>Ед. изм.</t>
  </si>
  <si>
    <t>Ключ статьи</t>
  </si>
  <si>
    <t>Ключ спец расчётов</t>
  </si>
  <si>
    <t>Ключ ввод данных</t>
  </si>
  <si>
    <t>Формула месяц</t>
  </si>
  <si>
    <t>Формула % Выхода</t>
  </si>
  <si>
    <t>Строка проверка</t>
  </si>
  <si>
    <t>Объемы реализации ЖУВ</t>
  </si>
  <si>
    <t>тыс.т</t>
  </si>
  <si>
    <t>в т.ч. на экспорт</t>
  </si>
  <si>
    <t>в т.ч. на внутренний рынок</t>
  </si>
  <si>
    <t>Поступление денежных средств</t>
  </si>
  <si>
    <t>млрд руб. с НДС</t>
  </si>
  <si>
    <t>Объем производства ООО "ГПП" для реализации 
ПАО "Газпром"</t>
  </si>
  <si>
    <t>Объем реализации продукции ООО "ГПП" с учетом остатков</t>
  </si>
  <si>
    <t xml:space="preserve">Раздел 1. Прогнозные показатели по переработке углеводородного сырья и производству продукции </t>
  </si>
  <si>
    <t>ПАО "Газпром" и основных дочерних обществ</t>
  </si>
  <si>
    <t>CЫРЬЕ</t>
  </si>
  <si>
    <t>1. Переработка газа на ГПЗ-всего</t>
  </si>
  <si>
    <t>1_1003335807+2_100332038+2_100332040+2_100332042+2_100332044+2_100332916+2_100332944+2_100335129+3_100330552+3_100330008+14_100335074+14_100335076</t>
  </si>
  <si>
    <t>млн куб.м.</t>
  </si>
  <si>
    <t>без СПГ Портовой</t>
  </si>
  <si>
    <t>Газпром переработка</t>
  </si>
  <si>
    <t>1_1003335807+2_100332038+2_100332040+2_100332042+2_100332044+2_100332916+2_100332944+2_100335129+3_100330552+3_100330008</t>
  </si>
  <si>
    <t>Астраханский ГПЗ</t>
  </si>
  <si>
    <t>1_1003335807</t>
  </si>
  <si>
    <t>Оренбургский ГХК</t>
  </si>
  <si>
    <t>2_100332038+2_100332040+2_100332042+2_100332044+2_100332916+2_100332944+2_100335129</t>
  </si>
  <si>
    <t>Сосногорский ГПЗ</t>
  </si>
  <si>
    <t>3_100330552+3_100330008</t>
  </si>
  <si>
    <t>Газпром переработка Благовещенск</t>
  </si>
  <si>
    <t>14_100335074+14_100335076</t>
  </si>
  <si>
    <t>Амурский ГПЗ</t>
  </si>
  <si>
    <t>Газпром СПГ Портовая</t>
  </si>
  <si>
    <t>КСПГ Портовая</t>
  </si>
  <si>
    <t>1.1. Газпром</t>
  </si>
  <si>
    <t>3_100330008+1_1003335807+14_100335074</t>
  </si>
  <si>
    <t>3_100330008+1_1003335807</t>
  </si>
  <si>
    <t>3_100330008</t>
  </si>
  <si>
    <t>Газпром добыча Краснодар</t>
  </si>
  <si>
    <t>14_100335074</t>
  </si>
  <si>
    <t>в т.ч. на ПНР</t>
  </si>
  <si>
    <t>в т.ч. СТН</t>
  </si>
  <si>
    <t>в т.ч. на переработку</t>
  </si>
  <si>
    <t>1.2. Дочерние общества</t>
  </si>
  <si>
    <t>2_100332038+2_100332040+2_100332042+2_100332044+2_100332916+2_100332944+2_100335129+3_100330552+14_100335076</t>
  </si>
  <si>
    <t>Газпром добыча Астрахань</t>
  </si>
  <si>
    <t>покупка у Газпром добыча Оренбург, всего</t>
  </si>
  <si>
    <t>в т.ч. Газпром добыча Оренбург</t>
  </si>
  <si>
    <t>2_100332038</t>
  </si>
  <si>
    <t>Газпром нефть</t>
  </si>
  <si>
    <t>2_100332040</t>
  </si>
  <si>
    <t>УНГП</t>
  </si>
  <si>
    <t>2_100332042</t>
  </si>
  <si>
    <t>Сервиснефтегаз</t>
  </si>
  <si>
    <t>2_100332044</t>
  </si>
  <si>
    <t>Карбон</t>
  </si>
  <si>
    <t>2_100332916</t>
  </si>
  <si>
    <t>Газпромнефть-Заполярье</t>
  </si>
  <si>
    <t>2_100332944</t>
  </si>
  <si>
    <t>Сладковско-Заречное</t>
  </si>
  <si>
    <t>2_100335129</t>
  </si>
  <si>
    <t>Газпром ГНП холдинг</t>
  </si>
  <si>
    <t>3_100330552</t>
  </si>
  <si>
    <t>Лукойл-Коми</t>
  </si>
  <si>
    <t>14_100335076</t>
  </si>
  <si>
    <t>КСПГ КС  Портовая</t>
  </si>
  <si>
    <t>в т.ч. СТН при переработке</t>
  </si>
  <si>
    <t>в т.ч. СТН при пусковых операциях</t>
  </si>
  <si>
    <t>2. Поставка газа на Амурский ГПЗ</t>
  </si>
  <si>
    <t>14_100332979-14_100335059-14_100335057-14_100335425+14_100335428+14_100335059</t>
  </si>
  <si>
    <t>2.1. Газпром</t>
  </si>
  <si>
    <t>14_100332979-14_100335059-14_100335057-14_100335425</t>
  </si>
  <si>
    <t>2.2. Дочерние общества</t>
  </si>
  <si>
    <t>14_100335428+14_100335059</t>
  </si>
  <si>
    <t>3. Переработка газа на Оренбургском гелиевом заводе</t>
  </si>
  <si>
    <t>2_100332054+2_100332056+2_100335131</t>
  </si>
  <si>
    <t>Оренбургский ГЗ</t>
  </si>
  <si>
    <t>3.1. Газпром</t>
  </si>
  <si>
    <t>3.2. Дочерние общества</t>
  </si>
  <si>
    <t>Газпром добыча Оренбург</t>
  </si>
  <si>
    <t>2_100332054</t>
  </si>
  <si>
    <t>2_100332056</t>
  </si>
  <si>
    <t>прочие поставщики (ГПНЗ, УНГП, и.т.д.)</t>
  </si>
  <si>
    <t>2_100335131</t>
  </si>
  <si>
    <t>4_100333682+4_100331828+4_100331835+4_100331804+4_100335033+10_100330861</t>
  </si>
  <si>
    <t>проверка УЗПКТ</t>
  </si>
  <si>
    <t>2_100332062+2_100335697+2_100332061+2_100332068+2_100332947+2_100332066+2_100332067+2_100332069</t>
  </si>
  <si>
    <t>проверка ОГПЗ</t>
  </si>
  <si>
    <t xml:space="preserve"> 4. Переработка нестабильного  газового конденсата и нефти</t>
  </si>
  <si>
    <t>1_100331985+2_100332062+2_100335697+2_100332061+3_100330017+4_100333682+4_100331828+4_100331835+4_100331804+4_100335033+7_100330595+12_100330735+0+13_100330000+10_100330715+10_100330861+10_100330718+11_100330015+9_100330671+2_100332068+2_100332947+2_100332066+2_100332067+2_100332069+3_100330196+4_100331838+4_100335093+4_100333678+9_100330672</t>
  </si>
  <si>
    <t>4.1. Газовый конденсат-всего</t>
  </si>
  <si>
    <t>1_100331985+2_100332062+2_100335697+2_100332061+3_100330017+4_100333682+4_100331828+4_100331835+4_100331804+4_100335033+7_100330595+12_100330735+0+13_100330000+10_100330715+10_100330861+10_100330718+11_100330015+9_100330671</t>
  </si>
  <si>
    <t xml:space="preserve">   Газпром переработка</t>
  </si>
  <si>
    <t>1_100331985+2_100332062+2_100335697+2_100332061+3_100330017+4_100333682+4_100331828+4_100331835+4_100331804+4_100335033</t>
  </si>
  <si>
    <t>1_100331985</t>
  </si>
  <si>
    <t>2_100332062+2_100335697+2_100332061</t>
  </si>
  <si>
    <t>3_100330017</t>
  </si>
  <si>
    <t xml:space="preserve">               Уренгойский ЗПКТ- Сургутский ЗСК и привлеченные мощности</t>
  </si>
  <si>
    <t>4_100333682+4_100331828+4_100331835+4_100331804+4_100335033</t>
  </si>
  <si>
    <t xml:space="preserve">   Газпром добыча Ямбург</t>
  </si>
  <si>
    <t>7_100330595</t>
  </si>
  <si>
    <t>Газпром добыча Иркутск</t>
  </si>
  <si>
    <t>12_100330735+0</t>
  </si>
  <si>
    <t>Газпром добыча шельф Южно-Сахалинск</t>
  </si>
  <si>
    <t>13_100330000</t>
  </si>
  <si>
    <t>тыс. т</t>
  </si>
  <si>
    <t>Газпром добыча Ноябрьск</t>
  </si>
  <si>
    <t>10_100330715+10_100330861+10_100330718</t>
  </si>
  <si>
    <t>Газпром добыча Надым</t>
  </si>
  <si>
    <t>11_100330015</t>
  </si>
  <si>
    <t>9_100330671</t>
  </si>
  <si>
    <t>4.1.1. Газпром</t>
  </si>
  <si>
    <t>2_100332061+3_100330017+4_100331828+4_100331835+4_100331804+4_100335033+1_100331985+12_100330735+0+13_100330000+10_100330715+10_100330861</t>
  </si>
  <si>
    <t>2_100332061+3_100330017+4_100331828+4_100331835+4_100331804+4_100335033+1_100331985</t>
  </si>
  <si>
    <t>2_100332061</t>
  </si>
  <si>
    <t xml:space="preserve">   Сосногорский ГПЗ </t>
  </si>
  <si>
    <t>Газпром добыча Краснодар (в составе НГКС)</t>
  </si>
  <si>
    <t>4_100331828+4_100331835+4_100331804+4_100335033</t>
  </si>
  <si>
    <t>в т.ч. доп. мощности</t>
  </si>
  <si>
    <t>4_100335357+4_100335358</t>
  </si>
  <si>
    <t xml:space="preserve">Газпром добыча Ямбург </t>
  </si>
  <si>
    <t>4_100331828</t>
  </si>
  <si>
    <t>Сибнефтегаз ( Береговое НГКМ)</t>
  </si>
  <si>
    <t>4_100331835</t>
  </si>
  <si>
    <t>Газпром добыча Уренгой</t>
  </si>
  <si>
    <t>4_100331804+4_100335033</t>
  </si>
  <si>
    <t>в т.ч. ДРОД</t>
  </si>
  <si>
    <t>4_100335470+4_100335508</t>
  </si>
  <si>
    <t>в т.ч. C5+ от подготовки газа деэтанизации</t>
  </si>
  <si>
    <t>4_100337101</t>
  </si>
  <si>
    <t>Ковыктинское ГКМ</t>
  </si>
  <si>
    <t>12_100330735</t>
  </si>
  <si>
    <t>Чиканское ГКМ</t>
  </si>
  <si>
    <t>10_100330715+10_100330861</t>
  </si>
  <si>
    <t>Чаяндинское НГКМ</t>
  </si>
  <si>
    <t>10_100330715</t>
  </si>
  <si>
    <t>Западно-Таркосалинское НГКМ на СЗСК</t>
  </si>
  <si>
    <t>10_100330861</t>
  </si>
  <si>
    <t>4.1.2. Дочерние общества</t>
  </si>
  <si>
    <t>2_100332062+2_100335697+4_100333682+0+7_100330595+10_100330718+11_100330015+9_100330671</t>
  </si>
  <si>
    <t>2_100332062+2_100335697+4_100333682</t>
  </si>
  <si>
    <t>2_100332062+2_100335697</t>
  </si>
  <si>
    <t>2_100332062</t>
  </si>
  <si>
    <t>2_100335697</t>
  </si>
  <si>
    <t>Уренгойский ЗПКТ</t>
  </si>
  <si>
    <t>4_100333682</t>
  </si>
  <si>
    <t xml:space="preserve">                Уренгойский ЗПКТ</t>
  </si>
  <si>
    <t>10_100330718</t>
  </si>
  <si>
    <t>конденсат (Камчат. ГПУ - Кшукское ГКМ, Нижне-Квакчикское ГКМ)</t>
  </si>
  <si>
    <t>в т.ч. Бованенковское НГКМ</t>
  </si>
  <si>
    <t>11_100330688</t>
  </si>
  <si>
    <t>4.2. Нефть-всего</t>
  </si>
  <si>
    <t>2_100332068+2_100332947+2_100332066+2_100332067+2_100332069+3_100330196+4_100331838+4_100335093+4_100333678+9_100330672</t>
  </si>
  <si>
    <t>2_100332068+2_100332947+2_100332066+2_100332067+2_100332069+3_100330196+4_100331838+4_100335093+4_100333678</t>
  </si>
  <si>
    <t>2_100332068+2_100332947+2_100332066+2_100332067+2_100332069</t>
  </si>
  <si>
    <t>3_100330196</t>
  </si>
  <si>
    <t xml:space="preserve">             Уренгойский ЗПКТ</t>
  </si>
  <si>
    <t>4_100335093+4_100333678</t>
  </si>
  <si>
    <t xml:space="preserve">                 Сургутский ЗСК</t>
  </si>
  <si>
    <t>4_100331838</t>
  </si>
  <si>
    <t>9_100330672</t>
  </si>
  <si>
    <t>4.2.1. Газпром</t>
  </si>
  <si>
    <t>2_100332066+2_100332067+3_100330196+4_100331838+4_100335093</t>
  </si>
  <si>
    <t>2_100332066+2_100332067</t>
  </si>
  <si>
    <t>2_100332066</t>
  </si>
  <si>
    <t>2_100332067</t>
  </si>
  <si>
    <t xml:space="preserve">    Сосногорский ГПЗ </t>
  </si>
  <si>
    <t>4_100335093</t>
  </si>
  <si>
    <t xml:space="preserve">Газпром добыча Уренгой </t>
  </si>
  <si>
    <t>4.2.2. Дочерние общества</t>
  </si>
  <si>
    <t>2_100332068+2_100332947+4_100333678+2_100332069+9_100330672</t>
  </si>
  <si>
    <t>2_100332068+2_100332947+4_100333678</t>
  </si>
  <si>
    <t>2_100332068+2_100332947</t>
  </si>
  <si>
    <t>2_100332068</t>
  </si>
  <si>
    <t>2_100332947</t>
  </si>
  <si>
    <t>4_100333678</t>
  </si>
  <si>
    <t>2_100332069</t>
  </si>
  <si>
    <t xml:space="preserve"> Оренбургский ГХК</t>
  </si>
  <si>
    <t>5. Поставка нефти-всего</t>
  </si>
  <si>
    <t>7_100330593+7_100330591+0+8_100330646+8_100335919+8_100330647+8_100335920+8_100335670+8_100335918+8_100336114+10_100330720+10_100330862+10_100336141</t>
  </si>
  <si>
    <t>7_100330593+7_100330591</t>
  </si>
  <si>
    <t>0+8_100330646+8_100335919+8_100330647+8_100335920+8_100335670+8_100335918+8_100336114</t>
  </si>
  <si>
    <t>10_100330720+10_100330862+10_100336141</t>
  </si>
  <si>
    <t>5.1. Газпром</t>
  </si>
  <si>
    <t>0+10_100330720</t>
  </si>
  <si>
    <t xml:space="preserve">                Уренгойское НГКМ</t>
  </si>
  <si>
    <t>10_100330720</t>
  </si>
  <si>
    <t>в т.ч. конденсат</t>
  </si>
  <si>
    <t>10_100335709</t>
  </si>
  <si>
    <t>5.2. Дочерние общества</t>
  </si>
  <si>
    <t>7_100330593+7_100330591+8_100330646+8_100335919+8_100330647+8_100335920+8_100335670+8_100335918+8_100336114+10_100330862+10_100336141</t>
  </si>
  <si>
    <t>Ямбургское НГКМ</t>
  </si>
  <si>
    <t>7_100330593</t>
  </si>
  <si>
    <t>Заполярное НГКМ</t>
  </si>
  <si>
    <t>7_100330591</t>
  </si>
  <si>
    <t>8_100330646+8_100335919+8_100330647+8_100335920+8_100335670+8_100335918+8_100336114</t>
  </si>
  <si>
    <t>8_100335670+8_100335918+8_100336114</t>
  </si>
  <si>
    <t>Ен-Яхинское НГКМ</t>
  </si>
  <si>
    <t>8_100330646+8_100335919</t>
  </si>
  <si>
    <t>Песцовое НГКМ</t>
  </si>
  <si>
    <t>8_100330647+8_100335920</t>
  </si>
  <si>
    <t>10_100330862+10_100336141</t>
  </si>
  <si>
    <t>Западно-Таркосалинское НГКМ</t>
  </si>
  <si>
    <t>10_100330862</t>
  </si>
  <si>
    <t xml:space="preserve">         Тас- Юряхское НГКМ </t>
  </si>
  <si>
    <t>10_100336141</t>
  </si>
  <si>
    <t>6. Поставка нестабильного газового конденсата-всего</t>
  </si>
  <si>
    <t>7_100333320+SUM(8_100335489-8_100335600-8_100335601:8_100335516+8_100335517)+11_100335593+11_100335658+10_100336327</t>
  </si>
  <si>
    <t>7_100333320</t>
  </si>
  <si>
    <t>SUM(8_100335489-8_100335600-8_100335601:8_100335516+8_100335517)</t>
  </si>
  <si>
    <t xml:space="preserve">Газпром добыча Надым </t>
  </si>
  <si>
    <t>11_100335593+11_100335658</t>
  </si>
  <si>
    <t>10_100336327</t>
  </si>
  <si>
    <t>6.1. Газпром</t>
  </si>
  <si>
    <t>6.2. Дочерние общества</t>
  </si>
  <si>
    <t>Уренгойское НГКМ ачим. 3 уч.(включая ГВ и конденсат)</t>
  </si>
  <si>
    <t>8_100335489-8_100335600-8_100335601</t>
  </si>
  <si>
    <t>Песцовое НГКМ (включая ГВ и конденсат)</t>
  </si>
  <si>
    <t>8_100335490+8_100335603-8_100335471-8_100335602</t>
  </si>
  <si>
    <t>Ен-Яхинское НГКМ (включая ГВ и конденсат)</t>
  </si>
  <si>
    <t>8_100335516+8_100335517</t>
  </si>
  <si>
    <t xml:space="preserve"> Бованенковское НГКМ (неоком-юра)</t>
  </si>
  <si>
    <t>11_100335593</t>
  </si>
  <si>
    <t>Харасавэйское ГКМ (неоком-юра)</t>
  </si>
  <si>
    <t>11_100335658</t>
  </si>
  <si>
    <t>7. Переработка газового конденсата (нефти)</t>
  </si>
  <si>
    <t xml:space="preserve">    первичная-всего</t>
  </si>
  <si>
    <t>0+1_100332016+4_100331931+4_100331932+7_100330629</t>
  </si>
  <si>
    <t>0+1_100332016+4_100331931+4_100331932</t>
  </si>
  <si>
    <t>0+1_100332016</t>
  </si>
  <si>
    <t xml:space="preserve">              Уренгойский ЗПКТ</t>
  </si>
  <si>
    <t>4_100331931</t>
  </si>
  <si>
    <t xml:space="preserve">                Сургутский ЗСК</t>
  </si>
  <si>
    <t>4_100331932</t>
  </si>
  <si>
    <t>7_100330629</t>
  </si>
  <si>
    <t>7.1. Газпром</t>
  </si>
  <si>
    <t>1_100332016+4_100331931+4_100331932</t>
  </si>
  <si>
    <t>1_100332016</t>
  </si>
  <si>
    <t>7.2. Дочерние общества</t>
  </si>
  <si>
    <t>0+7_100330629</t>
  </si>
  <si>
    <t>Справочно</t>
  </si>
  <si>
    <t xml:space="preserve">Переработка стабильного конденсата, всего </t>
  </si>
  <si>
    <t>4_100331934+4_100331935+0</t>
  </si>
  <si>
    <t>Газпром</t>
  </si>
  <si>
    <t>4_100331934+4_100331935</t>
  </si>
  <si>
    <t>4_100331934</t>
  </si>
  <si>
    <t>4_100331935</t>
  </si>
  <si>
    <t>Дочерние общества</t>
  </si>
  <si>
    <t>Переработка кислого газа Астраханский ГПЗ, всего</t>
  </si>
  <si>
    <t>1_100331980+1_100331981+0</t>
  </si>
  <si>
    <t>1_100331980+1_100331981</t>
  </si>
  <si>
    <t>в т.ч. от переработки с производства №3</t>
  </si>
  <si>
    <t>1_100331980</t>
  </si>
  <si>
    <t xml:space="preserve"> от переработки с производства №1, 5</t>
  </si>
  <si>
    <t>1_100331981</t>
  </si>
  <si>
    <t>в т. ч. покупка у Газпром добыча Астрахань</t>
  </si>
  <si>
    <t>кислый газ на собст. тех. нужды ГПП</t>
  </si>
  <si>
    <t>Выработка ШФЛУ (валовая), всего</t>
  </si>
  <si>
    <t>1_100332006+2_100332207+2_100332208+2_100335144+4_100331893+4_100331894</t>
  </si>
  <si>
    <t>1_100332006</t>
  </si>
  <si>
    <t>2_100332207+2_100332208+2_100335144</t>
  </si>
  <si>
    <t>4_100331893</t>
  </si>
  <si>
    <t>4_100331894</t>
  </si>
  <si>
    <t>4_100331893+4_100331894+1_100332006</t>
  </si>
  <si>
    <t xml:space="preserve">        в т.ч. стабильный конденсат</t>
  </si>
  <si>
    <t>1_100334997</t>
  </si>
  <si>
    <t>0+2_100332207+2_100332208+2_100335144</t>
  </si>
  <si>
    <t>2_100332207</t>
  </si>
  <si>
    <t>2_100332208</t>
  </si>
  <si>
    <t>2_100335144</t>
  </si>
  <si>
    <t>Переработка ШФЛУ, всего</t>
  </si>
  <si>
    <t>1_100332008+2_100332211+2_100332212+2_100335145+4_100331896+4_100331897</t>
  </si>
  <si>
    <t>1_100332008</t>
  </si>
  <si>
    <t>с уч. содержания комп. стабильного конденсата</t>
  </si>
  <si>
    <t>1_100332009</t>
  </si>
  <si>
    <t>2_100332211+2_100332212+2_100335145</t>
  </si>
  <si>
    <t>2_100332211</t>
  </si>
  <si>
    <t>2_100332212</t>
  </si>
  <si>
    <t>2_100335145</t>
  </si>
  <si>
    <t>4_100331896</t>
  </si>
  <si>
    <t>4_100331897</t>
  </si>
  <si>
    <t>проверка (Астрахань)</t>
  </si>
  <si>
    <t>1_100332006-1_100332008-1_100332005</t>
  </si>
  <si>
    <t>проверка (комп. стаб. конд)</t>
  </si>
  <si>
    <t>0-1_100332009-1_100332009</t>
  </si>
  <si>
    <t>проверка (Оренбург)</t>
  </si>
  <si>
    <t>2_100332207+2_100332208+2_100335144-2_100332211+2_100332212+2_100335145-2_100332207-2_100332211+2_100332208-2_100332212+2_100335143</t>
  </si>
  <si>
    <t>проверка (Уренгой)</t>
  </si>
  <si>
    <t>4_100331893-4_100331896-4_100331888</t>
  </si>
  <si>
    <t>Покупка СПГ для регазификации, всего</t>
  </si>
  <si>
    <t xml:space="preserve"> для ПНР Калиниградского ТПХР</t>
  </si>
  <si>
    <t>Переработка водометанольной смеси на</t>
  </si>
  <si>
    <t>Установке по утилизации подтоварной воды*</t>
  </si>
  <si>
    <t xml:space="preserve">ПРОДУКЦИЯ    </t>
  </si>
  <si>
    <t>1. Газ горючий природный сухой  отбензиненный  с перерабатывающих предприятий - всего</t>
  </si>
  <si>
    <t>2_100332111+2_100332113+2_100335135+2_100335692+1_100331993+3_100330564+3_100330574+4_100331871+4_100331859+4_100331857+4_100335366+4_100335368+0+8_100335493+14_100332359+14_100335312</t>
  </si>
  <si>
    <t>2_100332111+2_100332113+2_100335135+2_100335692+1_100331993+3_100330564+3_100330574+4_100331871+4_100331859+4_100331857+4_100335366+4_100335368+0</t>
  </si>
  <si>
    <t>1_100331993</t>
  </si>
  <si>
    <t>выход продукции</t>
  </si>
  <si>
    <t>1_100331993/1_1003335807*100</t>
  </si>
  <si>
    <t>2_100332111+2_100332113+2_100335135+2_100335692</t>
  </si>
  <si>
    <t>2_100332111+2_100332113+2_100335135+2_100335692/2_100332038+2_100332040+2_100332042+2_100332044+2_100332916+2_100332944+2_100335129*100</t>
  </si>
  <si>
    <t xml:space="preserve">  Сосногорский ГПЗ </t>
  </si>
  <si>
    <t>3_100330564+3_100330574</t>
  </si>
  <si>
    <t>3_100330564+3_100330574/3_100330552+3_100330008*100</t>
  </si>
  <si>
    <t xml:space="preserve">               Уренгойский ЗПКТ с учетом привлеченных мощностей</t>
  </si>
  <si>
    <t>4_100331871+4_100331859+4_100331857+4_100335366+4_100335368+0</t>
  </si>
  <si>
    <t>4_100331870+4_100331858+4_100331856+4_100335365+4_100335367+0</t>
  </si>
  <si>
    <t>плотность</t>
  </si>
  <si>
    <t>4_100331870+4_100331858+4_100331856+4_100335365+4_100335367+0/4_100331871+4_100331859+4_100331857+4_100335366+4_100335368+0</t>
  </si>
  <si>
    <t>4_100331871+4_100331859+4_100331857+4_100335366+4_100335368+0/4_100333682+4_100331828+4_100331835+4_100331804+4_100335033*100</t>
  </si>
  <si>
    <t>8_100335493</t>
  </si>
  <si>
    <t xml:space="preserve"> Газпром переработка Благовещенск</t>
  </si>
  <si>
    <t>14_100332359+14_100335312</t>
  </si>
  <si>
    <t xml:space="preserve"> Амурский ГПЗ</t>
  </si>
  <si>
    <t>14_100332359+14_100335312/14_100335074+14_100335076*100</t>
  </si>
  <si>
    <t>3_100330564+4_100331871+4_100331859+4_100331857+4_100335366+4_100335368+1_100331993+14_100332359</t>
  </si>
  <si>
    <t>3_100330564+4_100331871+4_100331859+4_100331857+4_100335366+4_100335368+1_100331993</t>
  </si>
  <si>
    <t>в т.ч. в  газотранспортную систему</t>
  </si>
  <si>
    <t>1_100331995</t>
  </si>
  <si>
    <t>газ на стн ГПП</t>
  </si>
  <si>
    <t>1_100331999</t>
  </si>
  <si>
    <t>газ на стн газодобывающих обществ</t>
  </si>
  <si>
    <t>1_100331997</t>
  </si>
  <si>
    <t xml:space="preserve">Сосногорский ГПЗ </t>
  </si>
  <si>
    <t>3_100330564</t>
  </si>
  <si>
    <t>в т. ч. собственная потребность ГПП</t>
  </si>
  <si>
    <t>3_100330566</t>
  </si>
  <si>
    <t>в газотранспортную систему</t>
  </si>
  <si>
    <t>3_100330570</t>
  </si>
  <si>
    <t>на Сосногорскую ТЭЦ</t>
  </si>
  <si>
    <t>3_100330568</t>
  </si>
  <si>
    <t xml:space="preserve">               Уренгойский ЗПКТ и привлеченные мощности</t>
  </si>
  <si>
    <t>4_100331871+4_100331859+4_100331857+4_100335366+4_100335368</t>
  </si>
  <si>
    <t>4_100331870+4_100331858+4_100331856+4_100335365+4_100335367</t>
  </si>
  <si>
    <t xml:space="preserve"> в т.ч. газ горючий природный</t>
  </si>
  <si>
    <t>4_100331871</t>
  </si>
  <si>
    <t>4_100331870</t>
  </si>
  <si>
    <t xml:space="preserve"> газ деэтанизации собств. потребность ГПП</t>
  </si>
  <si>
    <t>4_100331859</t>
  </si>
  <si>
    <t>4_100331858</t>
  </si>
  <si>
    <t>4_100331858/4_100331859</t>
  </si>
  <si>
    <t>газ деэтанизации в адрес ГДУ по договору поставки</t>
  </si>
  <si>
    <t>4_100331857</t>
  </si>
  <si>
    <t>4_100331856</t>
  </si>
  <si>
    <t xml:space="preserve"> газ горючий природный с привлечнных. мощностей Новатэк</t>
  </si>
  <si>
    <t>4_100335366</t>
  </si>
  <si>
    <t>4_100335365</t>
  </si>
  <si>
    <t xml:space="preserve"> газ деэтанизации с  привлечнных мощностей УДКМ</t>
  </si>
  <si>
    <t>4_100335368</t>
  </si>
  <si>
    <t>4_100335367</t>
  </si>
  <si>
    <t>14_100332359</t>
  </si>
  <si>
    <t>2_100332111+2_100332113+2_100335135+0+3_100330574+14_100335312+2_100335692</t>
  </si>
  <si>
    <t>0/1_1003335807*100</t>
  </si>
  <si>
    <t>2_100332111+2_100332113+2_100335135+0</t>
  </si>
  <si>
    <t>2_100332111+2_100332113+2_100335135</t>
  </si>
  <si>
    <t>в т.ч. на стн ГПП</t>
  </si>
  <si>
    <t>2_100335015+2_100335017</t>
  </si>
  <si>
    <t>2_100335015+2_100335017/2_100332038+2_100332040+2_100332042+2_100332044+2_100332916+2_100332944+2_100335129*100</t>
  </si>
  <si>
    <t>на стн газодобывающих обществ</t>
  </si>
  <si>
    <t>2_100335019</t>
  </si>
  <si>
    <t>2_100335019/2_100332038+2_100332040+2_100332042+2_100332044+2_100332916+2_100332944+2_100335129*100</t>
  </si>
  <si>
    <t>2_100332111</t>
  </si>
  <si>
    <t>2_100332113</t>
  </si>
  <si>
    <t>2_100335135</t>
  </si>
  <si>
    <t xml:space="preserve"> Уренгойский ЗПКТ</t>
  </si>
  <si>
    <t xml:space="preserve"> (газ деэтанизации)/природный газ</t>
  </si>
  <si>
    <t xml:space="preserve">Сервиснефтегаз </t>
  </si>
  <si>
    <t>2_100335692</t>
  </si>
  <si>
    <t xml:space="preserve">                в т.ч.Оренбургский ГХК на стн ГПП</t>
  </si>
  <si>
    <t xml:space="preserve">в т.ч. ДРОД </t>
  </si>
  <si>
    <t>3_100330574</t>
  </si>
  <si>
    <t>ЛУКОЙЛ-Коми</t>
  </si>
  <si>
    <t>14_100335312</t>
  </si>
  <si>
    <t>2. Транзит газа через Амурский ГПЗ</t>
  </si>
  <si>
    <t>14_100335159+14_100335425</t>
  </si>
  <si>
    <t>14_100335159</t>
  </si>
  <si>
    <t>14_100335425</t>
  </si>
  <si>
    <t>3. Сжиженный природный газ  (СПГ) - всего</t>
  </si>
  <si>
    <t>4. Сера техническая - всего</t>
  </si>
  <si>
    <t>2_100332189+2_100332190+2_100332192+2_100332194+2_100332195+1_100330068+1_100330069+1_100330071+1_100330070+1_100337112+0</t>
  </si>
  <si>
    <t>2_100332189+2_100332190+2_100332192+2_100332194+2_100332195</t>
  </si>
  <si>
    <t>2_100332189+2_100332190+2_100332192+2_100332194+2_100332195/2_100332038+2_100332040+2_100332042+2_100332044+2_100332916+2_100332944+2_100335129*100</t>
  </si>
  <si>
    <t>1_100330068+1_100330069+1_100330071+1_100330070+1_100337112+0</t>
  </si>
  <si>
    <t>1_100330068+1_100330069+1_100330071+1_100330070+1_100337112+0/1_1003335807*100</t>
  </si>
  <si>
    <t>4.1. Газпром</t>
  </si>
  <si>
    <t>2_100332189+2_100332190+1_100330068+1_100330069+1_100330071+1_100330070+1_100337112</t>
  </si>
  <si>
    <t>2_100332189+2_100332190</t>
  </si>
  <si>
    <t>2_100332189</t>
  </si>
  <si>
    <t>2_100332190</t>
  </si>
  <si>
    <t>1_100330068+1_100330069+1_100330071+1_100330070+1_100337112</t>
  </si>
  <si>
    <t>жидкая</t>
  </si>
  <si>
    <t>1_100330068</t>
  </si>
  <si>
    <t>комовая</t>
  </si>
  <si>
    <t>1_100330069</t>
  </si>
  <si>
    <t>гранулированная</t>
  </si>
  <si>
    <t>1_100330071+1_100330070+1_100337112</t>
  </si>
  <si>
    <t>в т.ч. марка М</t>
  </si>
  <si>
    <t>1_100330071</t>
  </si>
  <si>
    <t>в т.ч. микрофильтрованная вода</t>
  </si>
  <si>
    <t>марка С</t>
  </si>
  <si>
    <t>1_100330070</t>
  </si>
  <si>
    <t>марка СМ</t>
  </si>
  <si>
    <t>1_100337112</t>
  </si>
  <si>
    <t>4.2. Дочерние общества</t>
  </si>
  <si>
    <t>0+2_100332192+2_100332194+2_100332195</t>
  </si>
  <si>
    <t>2_100332192+2_100332194+2_100332195</t>
  </si>
  <si>
    <t>из нее гранулированная</t>
  </si>
  <si>
    <t>2_100332193</t>
  </si>
  <si>
    <t>в т. ч. Газпром добыча Оренбург</t>
  </si>
  <si>
    <t>2_100332192</t>
  </si>
  <si>
    <t>2_100332194</t>
  </si>
  <si>
    <t>2_100332195</t>
  </si>
  <si>
    <t>5. Широкая фракция легких</t>
  </si>
  <si>
    <t xml:space="preserve">   углеводоров товарная</t>
  </si>
  <si>
    <t>1_100332005+4_100331888+4_100331889+2_100332207-2_100332211+2_100332208-2_100332212+2_100335143</t>
  </si>
  <si>
    <t>1_100332005</t>
  </si>
  <si>
    <t>2_100332207-2_100332211+2_100332208-2_100332212+2_100335143</t>
  </si>
  <si>
    <t>4_100331888</t>
  </si>
  <si>
    <t xml:space="preserve">    Сургутский ЗСК</t>
  </si>
  <si>
    <t>4_100331889</t>
  </si>
  <si>
    <t>2_100332207-2_100332211</t>
  </si>
  <si>
    <t>2_100332208-2_100332212</t>
  </si>
  <si>
    <t>2_100335143</t>
  </si>
  <si>
    <t xml:space="preserve">6. Газы углеводородные сжиженные </t>
  </si>
  <si>
    <t>2_100332216+0+2_100332218+0+2_100335146+2_100332221+2_100332223+2_100332224+2_100332226+3_100332287+3_100332288+4_100331900+4_100331901+1_100332010+14_100332363+14_100332364+14_100332365+7_100330609+12_100330866</t>
  </si>
  <si>
    <t>2_100332216+0+2_100332218+0+2_100335146+2_100332221+2_100332223+2_100332224+2_100332226+3_100332287+3_100332288+4_100331900+4_100331901+1_100332010</t>
  </si>
  <si>
    <t xml:space="preserve">Астраханский ГПЗ </t>
  </si>
  <si>
    <t>1_100332010</t>
  </si>
  <si>
    <t>2_100332216+0+2_100332218+0+2_100335146+2_100332221+2_100332223+2_100332224+2_100332226</t>
  </si>
  <si>
    <t>ГПЗ</t>
  </si>
  <si>
    <t>2_100332217+2_100332219+2_100335147+2_100332220+2_100332226</t>
  </si>
  <si>
    <t>ГЗ</t>
  </si>
  <si>
    <t>2_100330955+2_100330956+2_100335148</t>
  </si>
  <si>
    <t xml:space="preserve">   Сосногорский ГПЗ</t>
  </si>
  <si>
    <t>3_100332287+3_100332288</t>
  </si>
  <si>
    <t>4_100331900</t>
  </si>
  <si>
    <t>4_100331901</t>
  </si>
  <si>
    <t>14_100332363+14_100332364+14_100332365</t>
  </si>
  <si>
    <t>7_100330609</t>
  </si>
  <si>
    <t>Газпром добыча Иркутск (ПБТ/ПБА)</t>
  </si>
  <si>
    <t>12_100330866</t>
  </si>
  <si>
    <t>1_100332010+2_100332216+0+2_100332218+0+2_100335146+3_100332287+4_100331900+4_100331901+12_100330866+14_100332363+14_100332364+14_100332365</t>
  </si>
  <si>
    <t>1_100332010+2_100332216+0+2_100332218+0+2_100335146+3_100332287+4_100331900+4_100331901</t>
  </si>
  <si>
    <t>Астраханский ГПЗ (ПБТ/ПБА)</t>
  </si>
  <si>
    <t xml:space="preserve"> Оренбургский ГХК (ПБТ/ПБА)</t>
  </si>
  <si>
    <t>2_100332216+0+2_100332218+0+2_100335146</t>
  </si>
  <si>
    <t>2_100332216+0</t>
  </si>
  <si>
    <t>в т.ч. ПБТ/ПБА</t>
  </si>
  <si>
    <t>2_100332216</t>
  </si>
  <si>
    <t>бутан</t>
  </si>
  <si>
    <t>2_100332218+0</t>
  </si>
  <si>
    <t>2_100332218</t>
  </si>
  <si>
    <t>2_100335146</t>
  </si>
  <si>
    <t xml:space="preserve">   Сосногорский ГПЗ (ПБТ/ПБА)</t>
  </si>
  <si>
    <t>3_100332287</t>
  </si>
  <si>
    <t xml:space="preserve">   в т. ч. фракция пропановая </t>
  </si>
  <si>
    <t>4_100332910</t>
  </si>
  <si>
    <t>ПБТ/ПБА</t>
  </si>
  <si>
    <t>4_100335420</t>
  </si>
  <si>
    <t xml:space="preserve">   в т.ч. ПБТ</t>
  </si>
  <si>
    <t>4_100332911</t>
  </si>
  <si>
    <t>пропан</t>
  </si>
  <si>
    <t>4_100332912</t>
  </si>
  <si>
    <t xml:space="preserve">              бутан</t>
  </si>
  <si>
    <t>4_100332913</t>
  </si>
  <si>
    <t xml:space="preserve">   в т.ч. пропан</t>
  </si>
  <si>
    <t>14_100332363</t>
  </si>
  <si>
    <t>14_100332364</t>
  </si>
  <si>
    <t>ПБТ</t>
  </si>
  <si>
    <t>14_100332365</t>
  </si>
  <si>
    <t>Газпром добыча Иркутск (ПБТ)</t>
  </si>
  <si>
    <t>в т.ч. Ковыктинское ГКМ</t>
  </si>
  <si>
    <t>2_100332221+2_100332223+2_100332224+7_100330609+2_100332226+3_100332288</t>
  </si>
  <si>
    <t>2_100332221+2_100332223+2_100332224</t>
  </si>
  <si>
    <t>2_100332221</t>
  </si>
  <si>
    <t xml:space="preserve"> в т.ч. собственная потребность ГПП</t>
  </si>
  <si>
    <t>2_100332222</t>
  </si>
  <si>
    <t xml:space="preserve"> собственная потребность ГДО</t>
  </si>
  <si>
    <t>2_100332223</t>
  </si>
  <si>
    <t>2_100332224</t>
  </si>
  <si>
    <t xml:space="preserve">              фракция пропан-бутановая</t>
  </si>
  <si>
    <t>2_100332226</t>
  </si>
  <si>
    <t>3_100332288</t>
  </si>
  <si>
    <t>7. Углеводородная фракция / ПГФ - всего</t>
  </si>
  <si>
    <t>2_100332234+2_100332235+2_100335150+4_100331904+14_100332366+14_100335088</t>
  </si>
  <si>
    <t>2_100332234+2_100332235+2_100335150+4_100331904</t>
  </si>
  <si>
    <t>2_100332234+2_100332235+2_100335150</t>
  </si>
  <si>
    <t xml:space="preserve">   Сургутский ЗСК</t>
  </si>
  <si>
    <t>4_100331904</t>
  </si>
  <si>
    <t>14_100332366+14_100335088</t>
  </si>
  <si>
    <t>2_100332234+2_100332235+2_100335150+4_100331904+14_100332366</t>
  </si>
  <si>
    <t>2_100332234</t>
  </si>
  <si>
    <t>2_100332235</t>
  </si>
  <si>
    <t>2_100335150</t>
  </si>
  <si>
    <t>Сургутский ЗСК</t>
  </si>
  <si>
    <t>14_100332366</t>
  </si>
  <si>
    <t>14_100335088</t>
  </si>
  <si>
    <t>проверка ШФЛУ (Оренбург)</t>
  </si>
  <si>
    <t>2_100332211+2_100332212+2_100335145-2_100330955+2_100330956+2_100335148-2_100332234+2_100332235+2_100335150</t>
  </si>
  <si>
    <t xml:space="preserve">8. Стабильный газовый конденсат </t>
  </si>
  <si>
    <t>и нефть-всего</t>
  </si>
  <si>
    <t>1_100332014+2_100332266+2_100332267+2_100335669+2_100332269+2_100332271+2_100332959+2_100332273+3_100330098+3_100330582+4_100331927+4_100331928+4_100335100+4_100331929+9_100330684+9_100330879+7_100330626+7_100330593+7_100330591+12_100335331+0+13_100330880+0+8_100333681+8_100335156+8_100335917+8_100335916+8_100335911+10_100335094+10_100335047+10_100330725+10_100330862+10_100336142+11_100330100+15_100335852+15_100335474+0+0</t>
  </si>
  <si>
    <t>1_100332014+2_100332266+2_100332267+2_100335669+2_100332269+2_100332271+2_100332959+2_100332273+3_100330098+3_100330582+4_100331927+4_100331928+4_100335100+4_100331929</t>
  </si>
  <si>
    <t>1_100332014</t>
  </si>
  <si>
    <t>2_100332266+2_100332267+2_100335669+2_100332269+2_100332271+2_100332959+2_100332273</t>
  </si>
  <si>
    <t>3_100330098+3_100330582</t>
  </si>
  <si>
    <t>4_100331927+4_100331928+4_100335100</t>
  </si>
  <si>
    <t>4_100331929</t>
  </si>
  <si>
    <t>0+8_100333681+8_100335156+8_100335917+8_100335916+8_100335911</t>
  </si>
  <si>
    <t>9_100330684+9_100330879</t>
  </si>
  <si>
    <t xml:space="preserve">     в т. ч. НГКС</t>
  </si>
  <si>
    <t>9_100330684</t>
  </si>
  <si>
    <t>7_100330626+7_100330593+7_100330591</t>
  </si>
  <si>
    <t>12_100335331+0</t>
  </si>
  <si>
    <t>13_100330880</t>
  </si>
  <si>
    <t>10_100335094+10_100335047+10_100330725+10_100330862+10_100336142</t>
  </si>
  <si>
    <t>11_100330100</t>
  </si>
  <si>
    <t>15_100335852+15_100335474</t>
  </si>
  <si>
    <t>Газпром трансгаз Санкт-Петербург*</t>
  </si>
  <si>
    <t>Газпром трансгаз Краснодар*</t>
  </si>
  <si>
    <t>8.1. Газпром</t>
  </si>
  <si>
    <t>2_100332266+2_100332267+2_100335669+3_100330098+4_100331927+4_100331928+4_100335100+4_100331929+1_100332014+0+12_100335331+0+13_100330880+10_100335094+10_100335047+15_100335852+15_100335474+0+0</t>
  </si>
  <si>
    <t>2_100332266+2_100332267+2_100335669+3_100330098+4_100331927+4_100331928+4_100335100+4_100331929+1_100332014</t>
  </si>
  <si>
    <t>2_100332266+2_100332267+2_100335669</t>
  </si>
  <si>
    <t>2_100332266</t>
  </si>
  <si>
    <t>2_100332267</t>
  </si>
  <si>
    <t>2_100335669</t>
  </si>
  <si>
    <t>3_100330098</t>
  </si>
  <si>
    <t>от переработки на УДК/УСК</t>
  </si>
  <si>
    <t>4_100331927</t>
  </si>
  <si>
    <t>от переработки на УСК-2</t>
  </si>
  <si>
    <t>4_100331928</t>
  </si>
  <si>
    <t>нефть с НПС</t>
  </si>
  <si>
    <t>4_100335100</t>
  </si>
  <si>
    <t>нефть</t>
  </si>
  <si>
    <t>12_100335331</t>
  </si>
  <si>
    <t>конденсат (Киринское ГКМ)</t>
  </si>
  <si>
    <t>10_100335094+10_100335047</t>
  </si>
  <si>
    <t>конденсат (Чаяндинское НГКМ)</t>
  </si>
  <si>
    <t>10_100335094</t>
  </si>
  <si>
    <t>нефть (Чаяндинское НГКМ)</t>
  </si>
  <si>
    <t>10_100335047</t>
  </si>
  <si>
    <t>в т.ч. собственные нужды</t>
  </si>
  <si>
    <t>10_100335048</t>
  </si>
  <si>
    <t>8.2. Дочерние общества</t>
  </si>
  <si>
    <t>2_100332269+2_100332271+2_100332959+9_100330684+9_100330879+7_100330626+7_100330593+7_100330591+2_100332273+8_100333681+8_100335156+8_100335917+8_100335916+8_100335911+10_100330725+10_100330862+10_100336142+11_100330100+3_100330582</t>
  </si>
  <si>
    <t>2_100332269+2_100332271+2_100332959</t>
  </si>
  <si>
    <t>2_100332269</t>
  </si>
  <si>
    <t>2_100332270</t>
  </si>
  <si>
    <t>2_100332271</t>
  </si>
  <si>
    <t>2_100332959</t>
  </si>
  <si>
    <t>8_100333681+8_100335156+8_100335917+8_100335916+8_100335911</t>
  </si>
  <si>
    <t xml:space="preserve">               нефть (Уренгойское НГКМ)</t>
  </si>
  <si>
    <t>8_100333681+8_100335156</t>
  </si>
  <si>
    <t xml:space="preserve">стаб. газ. конденсат, нефть ДРОД </t>
  </si>
  <si>
    <t>8_100335917+8_100335916+8_100335911</t>
  </si>
  <si>
    <t>стаб. газовый конденсат</t>
  </si>
  <si>
    <t>9_100330879</t>
  </si>
  <si>
    <t>стаб. газовый конденсат (Заполярное НГКМ, Ямбургское НГКМ)</t>
  </si>
  <si>
    <t>7_100330626</t>
  </si>
  <si>
    <t>нефть (Заполярное НГКМ, Ямбургское НГКМ)</t>
  </si>
  <si>
    <t>2_100332273</t>
  </si>
  <si>
    <t>10_100330725+10_100330862+10_100336142</t>
  </si>
  <si>
    <t>10_100330725</t>
  </si>
  <si>
    <t>нефть (Западно-Таркосалинское НГКМ)</t>
  </si>
  <si>
    <t>НГКС (Тас-Юряхское НГКМ)</t>
  </si>
  <si>
    <t>10_100336142</t>
  </si>
  <si>
    <t>в т.ч. Медвежье НКГМ</t>
  </si>
  <si>
    <t>11_100330702</t>
  </si>
  <si>
    <t>в т.ч. Юбилейное НГКМ</t>
  </si>
  <si>
    <t>11_100330703</t>
  </si>
  <si>
    <t>11_100330704</t>
  </si>
  <si>
    <t>в т.ч. Харасавейское ГКМ</t>
  </si>
  <si>
    <t>11_100333688</t>
  </si>
  <si>
    <t>3_100330582</t>
  </si>
  <si>
    <t>9. Стабильный газовый конденсат и нефть</t>
  </si>
  <si>
    <t xml:space="preserve">    товарные-всего</t>
  </si>
  <si>
    <t>1_100332012+0+2_100332255+2_100332271+2_100332267+2_100332959+2_100335669+2_100332273+3_100330098+3_100330582+4_100331921+4_100331924+4_100331922+4_100331925+9_100330683+9_100335068+7_100330590+7_100330592+7_100330601+7_100330593+7_100330591+12_100330867+12_100336113+12_100330737+13_100330880+0+8_100335917+8_100335916+8_100335911+8_100333681+10_100335045+10_100330725+10_100330862+10_100336142+11_100330100+15_100335852+15_100335474+0+0</t>
  </si>
  <si>
    <t>1_100332012+0+2_100332255+2_100332271+2_100332267+2_100332959+2_100335669+2_100332273+3_100330098+3_100330582+4_100331921+4_100331924+4_100331922+4_100331925</t>
  </si>
  <si>
    <t>1_100332012+0</t>
  </si>
  <si>
    <t>Проверка  вал = товар+перв перер.</t>
  </si>
  <si>
    <t>1_100332012+0+0+1_100332016-1_100332014</t>
  </si>
  <si>
    <t>2_100332255+2_100332271+2_100332267+2_100332959+2_100335669+2_100332273</t>
  </si>
  <si>
    <t>4_100331921+4_100331924</t>
  </si>
  <si>
    <t>4_100331922+4_100331925</t>
  </si>
  <si>
    <t>0+8_100335917+8_100335916+8_100335911+8_100333681</t>
  </si>
  <si>
    <t>9_100330683+9_100335068</t>
  </si>
  <si>
    <t>9_100330683</t>
  </si>
  <si>
    <t>9_100335068</t>
  </si>
  <si>
    <t>7_100330590+7_100330592+7_100330601+7_100330593+7_100330591</t>
  </si>
  <si>
    <t>7_100330590+7_100330592+7_100330601+7_100330593+7_100330591+7_100330629-7_100330626+7_100330593+7_100330591</t>
  </si>
  <si>
    <t>12_100330867+12_100336113+12_100330737</t>
  </si>
  <si>
    <t>10_100335045+10_100330725+10_100330862+10_100336142</t>
  </si>
  <si>
    <t>9.1. Газпром</t>
  </si>
  <si>
    <t>1_100332012+2_100332255+2_100332271+2_100332267+2_100332959+2_100335669+3_100330098+4_100331921+4_100331924+4_100331922+4_100331925+0+12_100330867+12_100336113+12_100330737+13_100330880+7_100330590+7_100330592+10_100335045+15_100335852+15_100335474+0+0</t>
  </si>
  <si>
    <t>1_100332012+2_100332255+2_100332271+2_100332267+2_100332959+2_100335669+3_100330098+4_100331921+4_100331924+4_100331922+4_100331925</t>
  </si>
  <si>
    <t>1_100332012</t>
  </si>
  <si>
    <t>отгрузка с учетом изменения остатков</t>
  </si>
  <si>
    <t>1_100332013</t>
  </si>
  <si>
    <t>2_100332255+2_100332271+2_100332267+2_100332959+2_100335669</t>
  </si>
  <si>
    <t>2_100332255</t>
  </si>
  <si>
    <t>2_100332271+2_100332267</t>
  </si>
  <si>
    <t>2_100332959+2_100335669</t>
  </si>
  <si>
    <t>от переработки на УДК</t>
  </si>
  <si>
    <t>4_100331921</t>
  </si>
  <si>
    <t>4_100331924</t>
  </si>
  <si>
    <t>СК</t>
  </si>
  <si>
    <t>12_100336107+12_100336110+12_100336164+12_100330737</t>
  </si>
  <si>
    <t>в т.ч. на стн Газпром добыча Иркутск</t>
  </si>
  <si>
    <t>12_100330737</t>
  </si>
  <si>
    <t>СК (нефть)</t>
  </si>
  <si>
    <t>12_100336112</t>
  </si>
  <si>
    <t>в т.ч. нефть покупка</t>
  </si>
  <si>
    <t>12_100336113</t>
  </si>
  <si>
    <t>Газпром добыча Ямбург</t>
  </si>
  <si>
    <t>7_100330590+7_100330592</t>
  </si>
  <si>
    <t>10_100335045</t>
  </si>
  <si>
    <t>конденсат, нефть (Чаяндинское НГКМ)</t>
  </si>
  <si>
    <t>9.2. Дочерние общества</t>
  </si>
  <si>
    <t>9_100330683+9_100335068+7_100330601+7_100330593+7_100330591+0+8_100335917+8_100335916+8_100335911+8_100333681+2_100332273+11_100330100+10_100330725+10_100330862+10_100336142+3_100330582</t>
  </si>
  <si>
    <t>8_100335917+8_100335916+8_100335911+8_100333681</t>
  </si>
  <si>
    <t>7_100330601+7_100330593+7_100330591</t>
  </si>
  <si>
    <t>7_100330601</t>
  </si>
  <si>
    <t>конденсат (Камчатское ГПУ -Кшукское ГКМ, Нижне-Квакчикское ГКМ)</t>
  </si>
  <si>
    <t>10. Бензин автомобильный-всего</t>
  </si>
  <si>
    <t>1_100332018+1_100332019+1_100335688+0+0+4_100331906+4_100331907</t>
  </si>
  <si>
    <t>1_100332018+1_100332019+1_100335688+0+0</t>
  </si>
  <si>
    <t>4_100331906+4_100331907</t>
  </si>
  <si>
    <t>10.1. Газпром</t>
  </si>
  <si>
    <t>1_100332018+1_100332019+1_100335688+4_100331906+4_100331907</t>
  </si>
  <si>
    <t>1_100332018+1_100332019+1_100335688</t>
  </si>
  <si>
    <t>ОЧ-80</t>
  </si>
  <si>
    <t>1_100335688</t>
  </si>
  <si>
    <t>ОЧ-92</t>
  </si>
  <si>
    <t>1_100332018</t>
  </si>
  <si>
    <t xml:space="preserve">   ОЧ-95</t>
  </si>
  <si>
    <t>1_100332019</t>
  </si>
  <si>
    <t xml:space="preserve"> ОЧ-92</t>
  </si>
  <si>
    <t>4_100331906</t>
  </si>
  <si>
    <t>4_100331907</t>
  </si>
  <si>
    <t>10.2. Дочерние общества</t>
  </si>
  <si>
    <t>0+0</t>
  </si>
  <si>
    <t>ОЧ-95</t>
  </si>
  <si>
    <t>11. Топливо для реактивных двигателей</t>
  </si>
  <si>
    <t xml:space="preserve"> марки ТС-1-всего</t>
  </si>
  <si>
    <t>4_100331909+4_100331910</t>
  </si>
  <si>
    <t xml:space="preserve">               Уренгойский ЗПКТ</t>
  </si>
  <si>
    <t>4_100331909</t>
  </si>
  <si>
    <t>4_100331910</t>
  </si>
  <si>
    <t>11.1. Газпром</t>
  </si>
  <si>
    <t>11.2. Дочерние общества</t>
  </si>
  <si>
    <t>12. Дизельное топливо-всего</t>
  </si>
  <si>
    <t>1_100332023+0+4_100331912+4_100331913+7_100330605</t>
  </si>
  <si>
    <t>1_100332023+0+4_100331912+4_100331913</t>
  </si>
  <si>
    <t>1_100332023+0</t>
  </si>
  <si>
    <t>4_100331912</t>
  </si>
  <si>
    <t>4_100331913</t>
  </si>
  <si>
    <t>7_100330605</t>
  </si>
  <si>
    <t>12.1. Газпром</t>
  </si>
  <si>
    <t>1_100332023+4_100331912+4_100331913</t>
  </si>
  <si>
    <t>1_100332023</t>
  </si>
  <si>
    <t>12.2. Дочерние общества</t>
  </si>
  <si>
    <t>0+7_100330605</t>
  </si>
  <si>
    <t>13. Мазут - всего</t>
  </si>
  <si>
    <t>1_100332024</t>
  </si>
  <si>
    <t>13.1. Газпром</t>
  </si>
  <si>
    <t>13.2. Дочерние общества</t>
  </si>
  <si>
    <t xml:space="preserve"> 14. Дистиллят газового конденсата легкий - всего  </t>
  </si>
  <si>
    <t>1_100332020+0+4_100331916+0+4_100331917</t>
  </si>
  <si>
    <t>1_100332020+0</t>
  </si>
  <si>
    <t>4_100331916+0</t>
  </si>
  <si>
    <t>4_100331917</t>
  </si>
  <si>
    <t>14.1. Газпром</t>
  </si>
  <si>
    <t>1_100332020+4_100331916+4_100331917</t>
  </si>
  <si>
    <t>1_100332020</t>
  </si>
  <si>
    <t>4_100331916</t>
  </si>
  <si>
    <t xml:space="preserve">               Сургутский ЗСК</t>
  </si>
  <si>
    <t>14.2. Дочерние общества</t>
  </si>
  <si>
    <t xml:space="preserve">   Газпром добыча Уренгой</t>
  </si>
  <si>
    <t>15. Дистиллят газового конденсата средний - всего</t>
  </si>
  <si>
    <t>1_100332021+0</t>
  </si>
  <si>
    <t>15.1. Газпром</t>
  </si>
  <si>
    <t>1_100332021</t>
  </si>
  <si>
    <t>15.2.  Дочерние общества</t>
  </si>
  <si>
    <t>16. Дистиллят газового конденсата тяжелый - всего</t>
  </si>
  <si>
    <t>1_100332022+0</t>
  </si>
  <si>
    <t>16.1. Газпром</t>
  </si>
  <si>
    <t>1_100332022</t>
  </si>
  <si>
    <t>16.2.  Дочерние общества</t>
  </si>
  <si>
    <t>17. Этановая фракция-всего</t>
  </si>
  <si>
    <t>2_100332242+2_100332243+2_100335151+14_100332362</t>
  </si>
  <si>
    <t>2_100332242+2_100332243+2_100335151</t>
  </si>
  <si>
    <t>14_100332362</t>
  </si>
  <si>
    <t>17.1. Газпром</t>
  </si>
  <si>
    <t>17.2. Дочерние общества</t>
  </si>
  <si>
    <t>2_100332242</t>
  </si>
  <si>
    <t>2_100332243</t>
  </si>
  <si>
    <t>2_100335151</t>
  </si>
  <si>
    <t>18. Гелий-всего</t>
  </si>
  <si>
    <t>2_100332248+2_100332250+14_100332361+14_100335082</t>
  </si>
  <si>
    <t>тыс. куб.м.</t>
  </si>
  <si>
    <t>14_100332360+2_100335422+2_100332251+14_100335083</t>
  </si>
  <si>
    <t>тонн</t>
  </si>
  <si>
    <t>2_100332248+2_100332250</t>
  </si>
  <si>
    <t>2_100335422+2_100332251</t>
  </si>
  <si>
    <t>14_100332361+14_100335082</t>
  </si>
  <si>
    <t xml:space="preserve"> Амурский ГПЗ </t>
  </si>
  <si>
    <t>14_100332360+14_100335083</t>
  </si>
  <si>
    <t>18.1. Газпром</t>
  </si>
  <si>
    <t>14_100332361</t>
  </si>
  <si>
    <t>жидкий</t>
  </si>
  <si>
    <t>14_100332360</t>
  </si>
  <si>
    <t>18.2. Дочерние общества</t>
  </si>
  <si>
    <t>2_100332248+2_100332250+14_100335082</t>
  </si>
  <si>
    <t>в т.ч. газообразный</t>
  </si>
  <si>
    <t>2_100332248</t>
  </si>
  <si>
    <t>2_100335422</t>
  </si>
  <si>
    <t>в т.ч. собственная потребность ГПП</t>
  </si>
  <si>
    <t>2_100332249</t>
  </si>
  <si>
    <t>2_100332250</t>
  </si>
  <si>
    <t>2_100332251</t>
  </si>
  <si>
    <t>14_100335082</t>
  </si>
  <si>
    <t>14_100335083</t>
  </si>
  <si>
    <t>19. Одорант-всего</t>
  </si>
  <si>
    <t>2_100332239</t>
  </si>
  <si>
    <t>19.1 Газпром</t>
  </si>
  <si>
    <t>19.2. Дочерние общества</t>
  </si>
  <si>
    <t>20. Техуглерод-всего</t>
  </si>
  <si>
    <t>3_100330580+3_100330581</t>
  </si>
  <si>
    <t>20.1. Газпром</t>
  </si>
  <si>
    <t xml:space="preserve">   в т.ч. турбулентный (П-701)</t>
  </si>
  <si>
    <t>3_100330580</t>
  </si>
  <si>
    <t xml:space="preserve">   термический (Т-900)</t>
  </si>
  <si>
    <t>3_100330581</t>
  </si>
  <si>
    <t>20.2. Дочерние общества</t>
  </si>
  <si>
    <t>21. Газ стабилизации на собств. нужды-всего</t>
  </si>
  <si>
    <t>1_100332026</t>
  </si>
  <si>
    <t>1_100332025</t>
  </si>
  <si>
    <t>21.1. Газпром</t>
  </si>
  <si>
    <t>21.2.  Дочерние общества</t>
  </si>
  <si>
    <t>22. Топливный газ-всего</t>
  </si>
  <si>
    <t>2_100332171+2_100332173+2_100332177+2_100332179+2_100335141+14_100332368+14_100335465</t>
  </si>
  <si>
    <t>2_100332170+2_100332172+2_100332176+2_100332178+2_100335140+14_100332367+14_100335464</t>
  </si>
  <si>
    <t>2_100332171+2_100332173+2_100332177+2_100332179+2_100335141</t>
  </si>
  <si>
    <t>2_100332170+2_100332172+2_100332176+2_100332178+2_100335140</t>
  </si>
  <si>
    <t>14_100332368+14_100335465</t>
  </si>
  <si>
    <t>14_100332367+14_100335464</t>
  </si>
  <si>
    <t>22.1. Газпром</t>
  </si>
  <si>
    <t>2_100332171+2_100332173+14_100332368</t>
  </si>
  <si>
    <t>2_100332170+2_100332172+14_100332367</t>
  </si>
  <si>
    <t>2_100332171+2_100332173</t>
  </si>
  <si>
    <t>2_100332170+2_100332172</t>
  </si>
  <si>
    <t>2_100332171</t>
  </si>
  <si>
    <t>2_100332170</t>
  </si>
  <si>
    <t>2_100332173</t>
  </si>
  <si>
    <t>2_100332172</t>
  </si>
  <si>
    <t>14_100332368</t>
  </si>
  <si>
    <t>14_100332367</t>
  </si>
  <si>
    <t>22.2 Дочерние общества</t>
  </si>
  <si>
    <t>2_100332177+2_100332179+2_100335141+14_100335465</t>
  </si>
  <si>
    <t>2_100332176+2_100332178+2_100335140+14_100335464</t>
  </si>
  <si>
    <t>2_100332177+2_100332179+2_100335141</t>
  </si>
  <si>
    <t>2_100332176+2_100332178+2_100335140</t>
  </si>
  <si>
    <t>2_100332177</t>
  </si>
  <si>
    <t>2_100332176</t>
  </si>
  <si>
    <t>2_100332179</t>
  </si>
  <si>
    <t>2_100332178</t>
  </si>
  <si>
    <t>2_100335141</t>
  </si>
  <si>
    <t>2_100335140</t>
  </si>
  <si>
    <t>14_100335465</t>
  </si>
  <si>
    <t>14_100335464</t>
  </si>
  <si>
    <t>23. Газ сбросной технологическийн на собств. нужды-всего</t>
  </si>
  <si>
    <t>4_100331879</t>
  </si>
  <si>
    <t>4_100331878</t>
  </si>
  <si>
    <t xml:space="preserve"> Сургутский ЗСК</t>
  </si>
  <si>
    <t>23.1. Газпром</t>
  </si>
  <si>
    <t>23.2. Дочерние общества</t>
  </si>
  <si>
    <t>24. Газ деэтанизации и стабилизации-всего</t>
  </si>
  <si>
    <t>7_100330612+10_100330726+0+12_100330680+13_100330680+0</t>
  </si>
  <si>
    <t>7_100330611+10_100330727+0+12_100330679+13_100335781+0</t>
  </si>
  <si>
    <t>7_100330612</t>
  </si>
  <si>
    <t>7_100330611</t>
  </si>
  <si>
    <t>10_100330726+0</t>
  </si>
  <si>
    <t>10_100330727+0</t>
  </si>
  <si>
    <t>12_100330680</t>
  </si>
  <si>
    <t>12_100330679</t>
  </si>
  <si>
    <t>13_100330680</t>
  </si>
  <si>
    <t>13_100335781</t>
  </si>
  <si>
    <t>24.1. Газпром</t>
  </si>
  <si>
    <t>10_100330726+12_100330680+13_100330680</t>
  </si>
  <si>
    <t>10_100330727+12_100330679+13_100335781</t>
  </si>
  <si>
    <t>10_100330726</t>
  </si>
  <si>
    <t>10_100330727</t>
  </si>
  <si>
    <t>24.2. Дочерние общества</t>
  </si>
  <si>
    <t>7_100330612+0+0</t>
  </si>
  <si>
    <t>7_100330611+0+0</t>
  </si>
  <si>
    <t>Газпром добыча Ноябрьск (ДРОД )</t>
  </si>
  <si>
    <t>Газпром добыча Уренгой (ДРОД )</t>
  </si>
  <si>
    <t>25. Метанол - всего</t>
  </si>
  <si>
    <t>4_100335444/1000+0+4_100335445/1000+3_100335432/1000</t>
  </si>
  <si>
    <t>4_100335444/1000+0</t>
  </si>
  <si>
    <t>4_100335445/1000</t>
  </si>
  <si>
    <t>3_100335432/1000</t>
  </si>
  <si>
    <t>25.1. Газпром</t>
  </si>
  <si>
    <t>4_100335444/1000+4_100335445/1000+3_100335432/1000</t>
  </si>
  <si>
    <t>4_100335444/1000</t>
  </si>
  <si>
    <t>25.2. Дочерние общества</t>
  </si>
  <si>
    <t>Газпро добыча Уренгой</t>
  </si>
  <si>
    <t>26. Вода подтоварная - всего</t>
  </si>
  <si>
    <t>26.1. Газпром</t>
  </si>
  <si>
    <t>26.2. Дочерние общества</t>
  </si>
  <si>
    <t>Справочно:</t>
  </si>
  <si>
    <t>Нефть</t>
  </si>
  <si>
    <t>Поставка от добычи Газпром нефть (Царичанское НМ)</t>
  </si>
  <si>
    <t>6_100332312</t>
  </si>
  <si>
    <t>(транспортировка, собственность Газпром нефтехим Салават )</t>
  </si>
  <si>
    <t>Метанол с УУПВ*</t>
  </si>
  <si>
    <t xml:space="preserve"> * данные показатели принимаются по факту и используются при формировании договоров</t>
  </si>
  <si>
    <t xml:space="preserve">Раздел 2. Прогнозные показатели по переработке углеводородного сырья и </t>
  </si>
  <si>
    <t>производству продукции других дочерних обществ</t>
  </si>
  <si>
    <t xml:space="preserve">ООО "Газпром СПГ Портовая" </t>
  </si>
  <si>
    <t>1. Переработка газа</t>
  </si>
  <si>
    <t>млн куб. м</t>
  </si>
  <si>
    <t>1. СПГ</t>
  </si>
  <si>
    <t>1. Стабильный газовый конденсат товарный</t>
  </si>
  <si>
    <t>15_100330867-15_100335852</t>
  </si>
  <si>
    <t xml:space="preserve">ООО "Сахалинская Энергия" </t>
  </si>
  <si>
    <t>2. Переработка нестабильного  газового конденсата и нефти</t>
  </si>
  <si>
    <t>2.1. Газовый конденсат-всего</t>
  </si>
  <si>
    <t>2.2. Нефть-всего</t>
  </si>
  <si>
    <t>1. Стабильный газовый конденсат и нефть - товарные</t>
  </si>
  <si>
    <t>Сахалинская Энергия '!K23+'Сахалинская Энергия '!K24</t>
  </si>
  <si>
    <t>1.1 Стабильный газовый конденсат всего</t>
  </si>
  <si>
    <t>Сахалинская Энергия '!K23+'Сахалинская Энергия '!K24-153.5</t>
  </si>
  <si>
    <t>в т.ч. СК от выработки СПГ</t>
  </si>
  <si>
    <t>Сахалинская Энергия '!K23</t>
  </si>
  <si>
    <t>1.2 Нефть</t>
  </si>
  <si>
    <t>ГРУППА ВОСТОКГАЗПРОМ</t>
  </si>
  <si>
    <t xml:space="preserve">ПЕРЕРАБОТКА СЫРЬЯ </t>
  </si>
  <si>
    <t>16_100336330</t>
  </si>
  <si>
    <t>тыс.т.</t>
  </si>
  <si>
    <t>Переработка УВС от добычи АО "Газпром добыча Томск" всего:</t>
  </si>
  <si>
    <t>16_100336331</t>
  </si>
  <si>
    <t>Попутный нефтяной газ</t>
  </si>
  <si>
    <t>16_100332340</t>
  </si>
  <si>
    <t>16_100330742</t>
  </si>
  <si>
    <t>млн куб.м</t>
  </si>
  <si>
    <t>Нестабильный газовый конденсат</t>
  </si>
  <si>
    <t>16_100330865</t>
  </si>
  <si>
    <t>в т.ч. нестабильный газовый конденсат из СОГ</t>
  </si>
  <si>
    <t>16_100337098</t>
  </si>
  <si>
    <t>16_100336332</t>
  </si>
  <si>
    <t>в т.ч. нефть из ПНГ</t>
  </si>
  <si>
    <t>16_100336333</t>
  </si>
  <si>
    <t>Справочно: СОГ на доппереработку с Казанского НГКМ на Мыльджинское НГКМ</t>
  </si>
  <si>
    <t>16_100336369</t>
  </si>
  <si>
    <t>16_100336370</t>
  </si>
  <si>
    <t>Покупка сырья  ПАО "Газпром нефть"</t>
  </si>
  <si>
    <t>16_100332993</t>
  </si>
  <si>
    <t>16_100332994</t>
  </si>
  <si>
    <t>16_100336365</t>
  </si>
  <si>
    <t>16_100336366</t>
  </si>
  <si>
    <t>Прием сырья на процессинг от ПАО "Газпром нефть"</t>
  </si>
  <si>
    <t>16_100332341</t>
  </si>
  <si>
    <t>16_100330743</t>
  </si>
  <si>
    <t>16_100336367</t>
  </si>
  <si>
    <t>16_100336368</t>
  </si>
  <si>
    <t>Технологические нужды</t>
  </si>
  <si>
    <t>16_100336334</t>
  </si>
  <si>
    <t>Потери при хранении в РВС</t>
  </si>
  <si>
    <t>16_100336335</t>
  </si>
  <si>
    <t>СТН газа</t>
  </si>
  <si>
    <t>16_100336336</t>
  </si>
  <si>
    <t>16_100336337</t>
  </si>
  <si>
    <t xml:space="preserve">ПРОДУКЦИЯ </t>
  </si>
  <si>
    <t>16_100330049</t>
  </si>
  <si>
    <t>Стабильный конденсат и нефть, всего:</t>
  </si>
  <si>
    <t>16_100330745</t>
  </si>
  <si>
    <t>нефть  АО "Газпром добыча Томск"</t>
  </si>
  <si>
    <t>16_100336338</t>
  </si>
  <si>
    <t>стабильный конденсат АО "Газпром добыча Томск"</t>
  </si>
  <si>
    <t>16_100330746</t>
  </si>
  <si>
    <t>в т.ч. из сырья ПАО "Газпром нефть" (покупка газа)</t>
  </si>
  <si>
    <t>16_100332995</t>
  </si>
  <si>
    <t>в т.ч. из сырья ПАО "Газпром нефть" (переработка газа)</t>
  </si>
  <si>
    <t>16_100332899</t>
  </si>
  <si>
    <t>Стабильный конденсат и нефть, товарные
 (собст. АО "Газпром добыча Томск")</t>
  </si>
  <si>
    <t>16_100330747</t>
  </si>
  <si>
    <t>16_100336339</t>
  </si>
  <si>
    <t>16_100336340</t>
  </si>
  <si>
    <t>16_100332996</t>
  </si>
  <si>
    <t>16_100332900</t>
  </si>
  <si>
    <t xml:space="preserve">ШФЛУ валовая </t>
  </si>
  <si>
    <t>16_100332901</t>
  </si>
  <si>
    <t>16_100336342</t>
  </si>
  <si>
    <t xml:space="preserve">   в т.ч. из НГК</t>
  </si>
  <si>
    <t>16_100336343</t>
  </si>
  <si>
    <t>16_100336344</t>
  </si>
  <si>
    <t xml:space="preserve">   в т.ч. из ПНГ</t>
  </si>
  <si>
    <t>16_100336345</t>
  </si>
  <si>
    <t>16_100336346</t>
  </si>
  <si>
    <t>в т.ч из сырья ПАО "Газпром нефть" (покупка газа)</t>
  </si>
  <si>
    <t>16_100332997</t>
  </si>
  <si>
    <t>16_100336348</t>
  </si>
  <si>
    <t>16_100332902</t>
  </si>
  <si>
    <t>16_100336347</t>
  </si>
  <si>
    <t>ШФЛУ, товарная в газопровод 
(собст. АО "Газпром добыча Томск")</t>
  </si>
  <si>
    <t>16_100332904</t>
  </si>
  <si>
    <t>16_100332905</t>
  </si>
  <si>
    <t>16_100336349</t>
  </si>
  <si>
    <t>16_100336350</t>
  </si>
  <si>
    <t>16_100336351</t>
  </si>
  <si>
    <t>16_100336352</t>
  </si>
  <si>
    <t>16_100332999</t>
  </si>
  <si>
    <t>16_100333000</t>
  </si>
  <si>
    <t>16_100332934</t>
  </si>
  <si>
    <t>16_100332935</t>
  </si>
  <si>
    <t>Расход ШФЛУ на СТН (собст. АО "Газпром добыча Томск")</t>
  </si>
  <si>
    <t>16_100336353</t>
  </si>
  <si>
    <t>Газы углеводородные сжиженные (СПБТ) 
(собст. АО "Газпром добыча Томск")</t>
  </si>
  <si>
    <t>16_100330748</t>
  </si>
  <si>
    <t>в т.ч. из НГК</t>
  </si>
  <si>
    <t>16_100336354</t>
  </si>
  <si>
    <t>в т.ч. из ПНГ</t>
  </si>
  <si>
    <t>16_100336355</t>
  </si>
  <si>
    <t>16_100332998</t>
  </si>
  <si>
    <t>16_100332903</t>
  </si>
  <si>
    <t>Газ деэтанизации (в газопровод)</t>
  </si>
  <si>
    <t>16_100330749</t>
  </si>
  <si>
    <t>16_100330750</t>
  </si>
  <si>
    <t>собственность АО "Газпром добыча Томск"</t>
  </si>
  <si>
    <t>16_100336371</t>
  </si>
  <si>
    <t>16_100336372</t>
  </si>
  <si>
    <t>16_100336356</t>
  </si>
  <si>
    <t>16_100336357</t>
  </si>
  <si>
    <t>16_100336358</t>
  </si>
  <si>
    <t>16_100336359</t>
  </si>
  <si>
    <t>16_100333001</t>
  </si>
  <si>
    <t>16_100333002</t>
  </si>
  <si>
    <t>собственность ПАО "Газпром нефть"</t>
  </si>
  <si>
    <t>16_100336373</t>
  </si>
  <si>
    <t>16_100336374</t>
  </si>
  <si>
    <t>16_100332936</t>
  </si>
  <si>
    <t>16_100332937</t>
  </si>
  <si>
    <t>Газ горючий природный сухой отбензиненный, всего:</t>
  </si>
  <si>
    <t>16_100332342</t>
  </si>
  <si>
    <t>16_100330751</t>
  </si>
  <si>
    <t>16_100336375</t>
  </si>
  <si>
    <t>16_100336376</t>
  </si>
  <si>
    <t>16_100336360</t>
  </si>
  <si>
    <t>16_100336361</t>
  </si>
  <si>
    <t>16_100333003</t>
  </si>
  <si>
    <t>16_100333004</t>
  </si>
  <si>
    <t>16_100336377</t>
  </si>
  <si>
    <t>16_100336378</t>
  </si>
  <si>
    <t>16_100332418</t>
  </si>
  <si>
    <t>16_100330752</t>
  </si>
  <si>
    <t>1. Переработка попутного нефтяного газа-всего</t>
  </si>
  <si>
    <t>16_100330742+16_100330743+16_100332994</t>
  </si>
  <si>
    <t>от собственной добычи, 
собственность АО "Газпром добыча Томск"</t>
  </si>
  <si>
    <t>переработка газа ПАО "Газпром нефть"</t>
  </si>
  <si>
    <t>покупка у ПАО "Газпром нефть"</t>
  </si>
  <si>
    <t>2. Переработка нестабильного газового конденсата, собственность АО "Газпром добыча Томск"</t>
  </si>
  <si>
    <t>1. Стабильный газовый конденсат и нефть,  
собственность АО "Газпром добыча Томск"</t>
  </si>
  <si>
    <t>валовый</t>
  </si>
  <si>
    <t>в т.ч.:  стабильный газовый конденсат из сырья АО "Газпром добыча Томск"</t>
  </si>
  <si>
    <t>16_100330745-16_100330746</t>
  </si>
  <si>
    <t>в  т.ч. из сырья АО "Газпром добыча Томск"</t>
  </si>
  <si>
    <t>из сырья ПАО "Газпром нефть" переработка</t>
  </si>
  <si>
    <t>из сырья ПАО "Газпром нефть" покупка</t>
  </si>
  <si>
    <t>товарный</t>
  </si>
  <si>
    <t>в т.ч. из сырья АО "Газпром добыча Томск"</t>
  </si>
  <si>
    <t>16_100330747-16_100332900-16_100332996</t>
  </si>
  <si>
    <t>2. ШФЛУ валовая, 
собственность АО "Газпром добыча Томск"</t>
  </si>
  <si>
    <t>в т.ч. ШФЛУ из сырья АО "Газпром добыча Томск"</t>
  </si>
  <si>
    <t>16_100332901-16_100332902-16_100332997</t>
  </si>
  <si>
    <t>ШФЛУ из сырья ПАО "Газпром нефть" переработка</t>
  </si>
  <si>
    <t>ШФЛУ из сырья ПАО "Газпром нефть" покупка</t>
  </si>
  <si>
    <t>3. ШФЛУ в газопровод, 
собственность АО "Газпром добыча Томск"</t>
  </si>
  <si>
    <t>16_100332904-16_100332999-16_100332934</t>
  </si>
  <si>
    <t xml:space="preserve">  тыс. т.</t>
  </si>
  <si>
    <t>16_100332905-16_100333000-16_100332935</t>
  </si>
  <si>
    <t>4. Газы углеводородные сжиженные (СПБТ),  
собственность АО "Газпром добыча Томск"</t>
  </si>
  <si>
    <t>в т.ч. СПБТ из сырья АО "Газпром добыча Томск"</t>
  </si>
  <si>
    <t>16_100330748-16_100332903-16_100332998</t>
  </si>
  <si>
    <t>СПБТ из сырья ПАО "Газпром нефть" переработка</t>
  </si>
  <si>
    <t>СПБТ из сырья  ПАО "Газпром нефть" покупка</t>
  </si>
  <si>
    <t>5. Газ деэтанизации в газопровод, 
собственность АО "Газпром добыча Томск"</t>
  </si>
  <si>
    <t>в т.ч. МЭФ из сырья АО "Газпром добыча Томск"</t>
  </si>
  <si>
    <t>16_100330750-16_100332937-16_100333002</t>
  </si>
  <si>
    <t>МЭФ  из сырья  ПАО "Газпром нефть" переработка</t>
  </si>
  <si>
    <t>МЭФ из сырья   ПАО "Газпром нефть" покупка</t>
  </si>
  <si>
    <t>6. Газ горючий природный сухой отбензиненный, всего</t>
  </si>
  <si>
    <t>в т.ч. газ из сырья АО "Газпром добыча Томск", собственность 
АО "Газпром добыча Томск"</t>
  </si>
  <si>
    <t>16_100330751-16_100330752-16_100333004</t>
  </si>
  <si>
    <t>газ из сырья  ПАО "Газпром нефть" переработка, собственность ПАО "Газпром нефть"</t>
  </si>
  <si>
    <t>газ из сырья ПАО "Газпром нефть" покупка,  собственность АО "Газпром добыча Томск"</t>
  </si>
  <si>
    <t>ООО "Газпром метанол"</t>
  </si>
  <si>
    <t>Переработка природного газа 
(собственность ООО "Газпром метанол")</t>
  </si>
  <si>
    <t>16_100330740</t>
  </si>
  <si>
    <t>Метанол (собственность ООО "Газпром метанол")</t>
  </si>
  <si>
    <t>16_100330753</t>
  </si>
  <si>
    <t>Группа Газпром нефть</t>
  </si>
  <si>
    <t>Переработка сырья:</t>
  </si>
  <si>
    <t>Омский НПЗ</t>
  </si>
  <si>
    <t>18_100330758</t>
  </si>
  <si>
    <t>Московский НПЗ</t>
  </si>
  <si>
    <t>18_100330759</t>
  </si>
  <si>
    <t>Славнефть-ЯНОС</t>
  </si>
  <si>
    <t>18_100330760</t>
  </si>
  <si>
    <t>Переработка газа:</t>
  </si>
  <si>
    <t>Южно-Приобский ГПЗ</t>
  </si>
  <si>
    <t>18_100335374</t>
  </si>
  <si>
    <t>18_100330761</t>
  </si>
  <si>
    <t>18_100330762</t>
  </si>
  <si>
    <t>18_100330763</t>
  </si>
  <si>
    <t>Сухой газ:</t>
  </si>
  <si>
    <t>18_100335379</t>
  </si>
  <si>
    <t>Широкая фракция легких углеводородов:</t>
  </si>
  <si>
    <t>18_100335381</t>
  </si>
  <si>
    <t>Бензин автомобильный:</t>
  </si>
  <si>
    <t>18_100330764</t>
  </si>
  <si>
    <t>18_100330765</t>
  </si>
  <si>
    <t>18_100330766</t>
  </si>
  <si>
    <t>Бензин технологический:</t>
  </si>
  <si>
    <t>18_100330768</t>
  </si>
  <si>
    <t>18_100330769</t>
  </si>
  <si>
    <t>18_100330770</t>
  </si>
  <si>
    <t>Дизельное топливо:</t>
  </si>
  <si>
    <t>18_100330771</t>
  </si>
  <si>
    <t>18_100330772</t>
  </si>
  <si>
    <t>18_100330773</t>
  </si>
  <si>
    <t>Мазут топочный:</t>
  </si>
  <si>
    <t>18_100330775</t>
  </si>
  <si>
    <t>18_100330776</t>
  </si>
  <si>
    <t>18_100330777</t>
  </si>
  <si>
    <t>Авиакеросин:</t>
  </si>
  <si>
    <t>18_100330779</t>
  </si>
  <si>
    <t>18_100330780</t>
  </si>
  <si>
    <t>18_100330781</t>
  </si>
  <si>
    <t>Судовое топливо:</t>
  </si>
  <si>
    <t>18_100335388</t>
  </si>
  <si>
    <t>18_100335389</t>
  </si>
  <si>
    <t>18_100335390</t>
  </si>
  <si>
    <t>Масла:</t>
  </si>
  <si>
    <t>18_100335392</t>
  </si>
  <si>
    <t>18_100330783</t>
  </si>
  <si>
    <t>Газы углеводородные сжиженные:</t>
  </si>
  <si>
    <t>18_100330784</t>
  </si>
  <si>
    <t>18_100330785</t>
  </si>
  <si>
    <t>18_100330786</t>
  </si>
  <si>
    <t>Битумы:</t>
  </si>
  <si>
    <t>18_100335397</t>
  </si>
  <si>
    <t>18_100335398</t>
  </si>
  <si>
    <t>18_100335399</t>
  </si>
  <si>
    <t>Сера:</t>
  </si>
  <si>
    <t>18_100335402</t>
  </si>
  <si>
    <t>18_100335403</t>
  </si>
  <si>
    <t>18_100335404</t>
  </si>
  <si>
    <t>Прочие нефтепродукты:</t>
  </si>
  <si>
    <t>18_100330788</t>
  </si>
  <si>
    <t>18_100330789</t>
  </si>
  <si>
    <t>18_100330790</t>
  </si>
  <si>
    <t>Группа Газпром нефтехим Салават</t>
  </si>
  <si>
    <t>НЕФТЕПЕРЕРАБАТЫВАЮЩИЙ ЗАВОД (НПЗ)</t>
  </si>
  <si>
    <t>1. ПОСТАВКА (ПОКУПКА) СЫРЬЯ  
ООО "ГАЗПРОМ НЕФТЕХИМ САЛАВАТ":</t>
  </si>
  <si>
    <t>17_100335977</t>
  </si>
  <si>
    <t>1.1 Конденсат газовый стабильный</t>
  </si>
  <si>
    <t>17_100335978</t>
  </si>
  <si>
    <t>ПАО "Газпром":</t>
  </si>
  <si>
    <t>17_100335979</t>
  </si>
  <si>
    <t>17_100335980</t>
  </si>
  <si>
    <t>17_100335981</t>
  </si>
  <si>
    <t>17_100335982</t>
  </si>
  <si>
    <t>ООО "Газпром добыча Иркутск"</t>
  </si>
  <si>
    <t>17_100335983</t>
  </si>
  <si>
    <t xml:space="preserve">ПАО "НОВАТЭК" </t>
  </si>
  <si>
    <t>17_100335984</t>
  </si>
  <si>
    <t>Прочие поставщики</t>
  </si>
  <si>
    <t>17_100335985</t>
  </si>
  <si>
    <t>17_100335986</t>
  </si>
  <si>
    <t>ПАО "Газпром" (Оренбургский ГПЗ)</t>
  </si>
  <si>
    <t>17_100335987</t>
  </si>
  <si>
    <t xml:space="preserve"> Оренбургский ГПЗ</t>
  </si>
  <si>
    <t>17_100335988</t>
  </si>
  <si>
    <t>ООО "Сервиснефтегаз" (Оренбургский ГПЗ)</t>
  </si>
  <si>
    <t>17_100335989</t>
  </si>
  <si>
    <t>ТОО "КазРосГаз" (Оренбургский ГПЗ)</t>
  </si>
  <si>
    <t>17_100335990</t>
  </si>
  <si>
    <t>ООО "ГПН-Трейд Оренбург" (Оренбургский ГПЗ)</t>
  </si>
  <si>
    <t>17_100336105</t>
  </si>
  <si>
    <t>ООО "Газпром нефть Оренбург" Царичанская нефть</t>
  </si>
  <si>
    <t>17_100335991</t>
  </si>
  <si>
    <t>ПАО "Газпром нефть и пр. Западно-Сибирская нефть</t>
  </si>
  <si>
    <t>17_100335992</t>
  </si>
  <si>
    <t>17_100335993</t>
  </si>
  <si>
    <t>1.3 Мазут</t>
  </si>
  <si>
    <t>17_100335994</t>
  </si>
  <si>
    <t xml:space="preserve">        ПАО "Газпром" (Астраханский ГПЗ)</t>
  </si>
  <si>
    <t>17_100335995</t>
  </si>
  <si>
    <t>17_100335996</t>
  </si>
  <si>
    <t>1.4  Прочее углеводородное сырье (вакуумный газойль)</t>
  </si>
  <si>
    <t>17_100335997</t>
  </si>
  <si>
    <t>17_100330802</t>
  </si>
  <si>
    <t>Конденсат газовый стабильный</t>
  </si>
  <si>
    <t>17_100330804</t>
  </si>
  <si>
    <t>17_100335998</t>
  </si>
  <si>
    <t xml:space="preserve"> Астраханский ГПЗ</t>
  </si>
  <si>
    <t>17_100335999</t>
  </si>
  <si>
    <t>17_100336000</t>
  </si>
  <si>
    <t xml:space="preserve"> Сосногорский ГПЗ</t>
  </si>
  <si>
    <t>17_100336001</t>
  </si>
  <si>
    <t xml:space="preserve"> ООО "Газпром добыча Иркутск"</t>
  </si>
  <si>
    <t>17_100336002</t>
  </si>
  <si>
    <t>17_100336003</t>
  </si>
  <si>
    <t>17_100336004</t>
  </si>
  <si>
    <t>17_100330803</t>
  </si>
  <si>
    <t>17_100336005</t>
  </si>
  <si>
    <t>17_100336006</t>
  </si>
  <si>
    <t>17_100336007</t>
  </si>
  <si>
    <t>17_100336008</t>
  </si>
  <si>
    <t>17_100336106</t>
  </si>
  <si>
    <t>17_100336009</t>
  </si>
  <si>
    <t>17_100336010</t>
  </si>
  <si>
    <t>17_100336011</t>
  </si>
  <si>
    <t>Мазут</t>
  </si>
  <si>
    <t>17_100330807</t>
  </si>
  <si>
    <t>ПАО "Газпром" (Астраханский ГПЗ)</t>
  </si>
  <si>
    <t>17_100336012</t>
  </si>
  <si>
    <t>17_100336013</t>
  </si>
  <si>
    <t>Прочее углеводородное сырье (вакуумный газойль)</t>
  </si>
  <si>
    <t>17_100336014</t>
  </si>
  <si>
    <t xml:space="preserve">Продукция (сырье) с завода "Мономер" </t>
  </si>
  <si>
    <t>17_100336015</t>
  </si>
  <si>
    <t>Присадки (добавки)</t>
  </si>
  <si>
    <t>17_100336016</t>
  </si>
  <si>
    <t xml:space="preserve"> в т.ч. МТБЭ</t>
  </si>
  <si>
    <t>17_100330805</t>
  </si>
  <si>
    <t>Прочее сырье (ХОВ, природный газ)</t>
  </si>
  <si>
    <t>17_100336017</t>
  </si>
  <si>
    <t>Продукция (сырье) со склада</t>
  </si>
  <si>
    <t>17_100336018</t>
  </si>
  <si>
    <t>Бензин автомобильный (товарный)</t>
  </si>
  <si>
    <t>17_100330107</t>
  </si>
  <si>
    <t>Бензин с ОЧ 92 (К5)</t>
  </si>
  <si>
    <t>17_100331906</t>
  </si>
  <si>
    <t>Бензин с ОЧ 95 (К5)</t>
  </si>
  <si>
    <t>17_100331907</t>
  </si>
  <si>
    <t>Бензин на завод "Мономер"</t>
  </si>
  <si>
    <t>17_100336019</t>
  </si>
  <si>
    <t>Дистиллят газового конденсата легкий (товарный)</t>
  </si>
  <si>
    <t>17_100330815</t>
  </si>
  <si>
    <t>ДГКл марки А</t>
  </si>
  <si>
    <t>17_100336020</t>
  </si>
  <si>
    <t>ДГКл марки Б</t>
  </si>
  <si>
    <t>17_100336021</t>
  </si>
  <si>
    <t xml:space="preserve">Бензин технический (товарный) </t>
  </si>
  <si>
    <t>17_100335765</t>
  </si>
  <si>
    <t>ШФЛУ</t>
  </si>
  <si>
    <t>17_100330817</t>
  </si>
  <si>
    <t>в т.ч. товарная</t>
  </si>
  <si>
    <t>17_100336022</t>
  </si>
  <si>
    <t>На завод "Мономер"</t>
  </si>
  <si>
    <t>17_100336023</t>
  </si>
  <si>
    <t>Фракция изопентановая (товарная)</t>
  </si>
  <si>
    <t>17_100330944</t>
  </si>
  <si>
    <t>Дизельное топливо (товарное)</t>
  </si>
  <si>
    <t>17_100330123</t>
  </si>
  <si>
    <t>ДТ летнее</t>
  </si>
  <si>
    <t>17_100330812</t>
  </si>
  <si>
    <t>ДТ зимнее</t>
  </si>
  <si>
    <t>17_100330813</t>
  </si>
  <si>
    <t>ДТ арктическое</t>
  </si>
  <si>
    <t>17_100330814</t>
  </si>
  <si>
    <t>Газойль (товарный)</t>
  </si>
  <si>
    <t>17_100335767</t>
  </si>
  <si>
    <t>17_100337107</t>
  </si>
  <si>
    <t>17_100337108</t>
  </si>
  <si>
    <t>Топливо нефтяное АВТ</t>
  </si>
  <si>
    <t>17_100330819</t>
  </si>
  <si>
    <t>в т.ч. товарный</t>
  </si>
  <si>
    <t>17_100336024</t>
  </si>
  <si>
    <t>17_100336025</t>
  </si>
  <si>
    <t>Мазут топочный (товарный)</t>
  </si>
  <si>
    <t>17_100330822</t>
  </si>
  <si>
    <t>Сырье для битума/гудрон (товарный)</t>
  </si>
  <si>
    <t>17_100330820</t>
  </si>
  <si>
    <t>Нефтебитум дорожный (товарный)</t>
  </si>
  <si>
    <t>17_100330821</t>
  </si>
  <si>
    <t>Толуол</t>
  </si>
  <si>
    <t>17_100335766</t>
  </si>
  <si>
    <t>17_100336026</t>
  </si>
  <si>
    <t>17_100336027</t>
  </si>
  <si>
    <t>На ООО "Акрил-Салават"</t>
  </si>
  <si>
    <t>17_100336028</t>
  </si>
  <si>
    <t>Бензол</t>
  </si>
  <si>
    <t>17_100336029</t>
  </si>
  <si>
    <t>17_100336030</t>
  </si>
  <si>
    <t>Сольвент</t>
  </si>
  <si>
    <t>17_100336031</t>
  </si>
  <si>
    <t>17_100336032</t>
  </si>
  <si>
    <t>Фракция пропан-пропиленовая ККФ</t>
  </si>
  <si>
    <t>17_100335102</t>
  </si>
  <si>
    <t>17_100336033</t>
  </si>
  <si>
    <t>На завод "Мономер" (производство бутиловых спиртов)</t>
  </si>
  <si>
    <t>17_100336034</t>
  </si>
  <si>
    <t>На завод "Мономер" (производство ЭП-355)</t>
  </si>
  <si>
    <t>17_100336035</t>
  </si>
  <si>
    <t>Фракция бутан-бутиленовая ККФ</t>
  </si>
  <si>
    <t>17_100335103</t>
  </si>
  <si>
    <t>17_100336036</t>
  </si>
  <si>
    <t xml:space="preserve">На завод "Мономер" </t>
  </si>
  <si>
    <t>17_100336037</t>
  </si>
  <si>
    <t>Сероводород технический всего</t>
  </si>
  <si>
    <t>17_100336038</t>
  </si>
  <si>
    <t>в т.ч. сера (товарная)</t>
  </si>
  <si>
    <t>17_100330809</t>
  </si>
  <si>
    <t>Керосин гидроочищенный</t>
  </si>
  <si>
    <t>17_100336039</t>
  </si>
  <si>
    <t>17_100336040</t>
  </si>
  <si>
    <t>Топливо на собственные нужды</t>
  </si>
  <si>
    <t>17_100336041</t>
  </si>
  <si>
    <t>4 Продукция (сырье) переданная на склад</t>
  </si>
  <si>
    <t>17_100336042</t>
  </si>
  <si>
    <t>Потери</t>
  </si>
  <si>
    <t>17_100336043</t>
  </si>
  <si>
    <t>Материальный баланс  ПАО "Газпром"</t>
  </si>
  <si>
    <t>17_100336044</t>
  </si>
  <si>
    <t>ЗАВОД "МОНОМЕР"</t>
  </si>
  <si>
    <t>17_100336045</t>
  </si>
  <si>
    <t>1.1 Бензин</t>
  </si>
  <si>
    <t>17_100336046</t>
  </si>
  <si>
    <t>НПЗ ООО "Газпром нефтехим Салават"</t>
  </si>
  <si>
    <t>17_100336047</t>
  </si>
  <si>
    <t>1.2 ШФЛУ</t>
  </si>
  <si>
    <t>17_100330826</t>
  </si>
  <si>
    <t xml:space="preserve">        ПАО "Газпром":</t>
  </si>
  <si>
    <t>17_100336048</t>
  </si>
  <si>
    <t>17_100336049</t>
  </si>
  <si>
    <t>Оренбургский ГПЗ</t>
  </si>
  <si>
    <t>17_100336050</t>
  </si>
  <si>
    <t>17_100336051</t>
  </si>
  <si>
    <t>1.3 Газы углеводородные сжиженные</t>
  </si>
  <si>
    <t>17_100336052</t>
  </si>
  <si>
    <t>17_100336053</t>
  </si>
  <si>
    <t>1.4 Фракция этановая</t>
  </si>
  <si>
    <t>17_100330827</t>
  </si>
  <si>
    <t>17_100336054</t>
  </si>
  <si>
    <t>17_100336055</t>
  </si>
  <si>
    <t xml:space="preserve">1.5 Продукция (сырье) с НПЗ ООО "Газпром нефтехим Салават" </t>
  </si>
  <si>
    <t>17_100336056</t>
  </si>
  <si>
    <t>1.6 Пропилен</t>
  </si>
  <si>
    <t>17_100336057</t>
  </si>
  <si>
    <t>Пропилен покупной</t>
  </si>
  <si>
    <t>17_100336058</t>
  </si>
  <si>
    <t xml:space="preserve">        Завод "Мономер" ООО "Газпром нефтехим Салават"</t>
  </si>
  <si>
    <t>17_100336059</t>
  </si>
  <si>
    <t xml:space="preserve">        НПЗ ООО "Газпром нефтехим Салават" (ККФ)</t>
  </si>
  <si>
    <t>17_100336060</t>
  </si>
  <si>
    <t>1.7 Ортоксилол</t>
  </si>
  <si>
    <t>17_100336061</t>
  </si>
  <si>
    <t>17_100330823</t>
  </si>
  <si>
    <t>Бензин</t>
  </si>
  <si>
    <t>17_100330824</t>
  </si>
  <si>
    <t>17_100336062</t>
  </si>
  <si>
    <t>17_100330825</t>
  </si>
  <si>
    <t>ПАО "Газпром"</t>
  </si>
  <si>
    <t>17_100336063</t>
  </si>
  <si>
    <t>17_100336064</t>
  </si>
  <si>
    <t>17_100336065</t>
  </si>
  <si>
    <t xml:space="preserve">        НПЗ ООО "Газпром нефтехим Салават"</t>
  </si>
  <si>
    <t>17_100336066</t>
  </si>
  <si>
    <t>Газы углеводородные сжиженные</t>
  </si>
  <si>
    <t>17_100336067</t>
  </si>
  <si>
    <t>17_100336068</t>
  </si>
  <si>
    <t>Фракция этановая</t>
  </si>
  <si>
    <t>17_100336069</t>
  </si>
  <si>
    <t>17_100336070</t>
  </si>
  <si>
    <t>17_100336071</t>
  </si>
  <si>
    <t>Продукция (сырье) с НПЗ 
ООО "Газпром нефтехим Салават"</t>
  </si>
  <si>
    <t>17_100336072</t>
  </si>
  <si>
    <t>Пропилен</t>
  </si>
  <si>
    <t>17_100336073</t>
  </si>
  <si>
    <t>17_100336074</t>
  </si>
  <si>
    <t>17_100336075</t>
  </si>
  <si>
    <t>17_100336076</t>
  </si>
  <si>
    <t>Ортоксилол</t>
  </si>
  <si>
    <t>17_100336077</t>
  </si>
  <si>
    <t xml:space="preserve">Природный газ </t>
  </si>
  <si>
    <t>17_100335597</t>
  </si>
  <si>
    <t>млн.м3</t>
  </si>
  <si>
    <t xml:space="preserve">Этилен </t>
  </si>
  <si>
    <t>17_100330831</t>
  </si>
  <si>
    <t>17_100330832</t>
  </si>
  <si>
    <t xml:space="preserve">Пропилен </t>
  </si>
  <si>
    <t>17_100330833</t>
  </si>
  <si>
    <t>17_100332346</t>
  </si>
  <si>
    <t>17_100336079</t>
  </si>
  <si>
    <t xml:space="preserve">Бутилен-бутадиеновая фракция </t>
  </si>
  <si>
    <t>17_100330835</t>
  </si>
  <si>
    <t>17_100335105</t>
  </si>
  <si>
    <t xml:space="preserve">Тяжелая смола </t>
  </si>
  <si>
    <t>17_100330836</t>
  </si>
  <si>
    <t>17_100335106</t>
  </si>
  <si>
    <t xml:space="preserve">Пироконденсат  </t>
  </si>
  <si>
    <t>17_100332907</t>
  </si>
  <si>
    <t>17_100335107</t>
  </si>
  <si>
    <t xml:space="preserve">Бензол </t>
  </si>
  <si>
    <t>17_100335108</t>
  </si>
  <si>
    <t>17_100335109</t>
  </si>
  <si>
    <t xml:space="preserve">Кубовый Остаток Ректификации Бензола </t>
  </si>
  <si>
    <t>17_100336080</t>
  </si>
  <si>
    <t>17_100336081</t>
  </si>
  <si>
    <t xml:space="preserve">Стирол </t>
  </si>
  <si>
    <t>17_100330837</t>
  </si>
  <si>
    <t>17_100330838</t>
  </si>
  <si>
    <t xml:space="preserve">Кубовый Остаток Ректификации Стирола </t>
  </si>
  <si>
    <t>17_100336082</t>
  </si>
  <si>
    <t>17_100336083</t>
  </si>
  <si>
    <t xml:space="preserve">Этилбензол </t>
  </si>
  <si>
    <t>17_100336084</t>
  </si>
  <si>
    <t>17_100336085</t>
  </si>
  <si>
    <t xml:space="preserve">Полиэтилен высокого давления </t>
  </si>
  <si>
    <t>17_100330840</t>
  </si>
  <si>
    <t>17_100335112</t>
  </si>
  <si>
    <t xml:space="preserve">Полиэтилен низкого давления </t>
  </si>
  <si>
    <t>17_100330841</t>
  </si>
  <si>
    <t>17_100335113</t>
  </si>
  <si>
    <t xml:space="preserve">Полистирол (ПСМ) </t>
  </si>
  <si>
    <t>17_100330839</t>
  </si>
  <si>
    <t>17_100335111</t>
  </si>
  <si>
    <t xml:space="preserve">Нормальный  бутанол </t>
  </si>
  <si>
    <t>17_100330842</t>
  </si>
  <si>
    <t>17_100330843</t>
  </si>
  <si>
    <t>17_100336086</t>
  </si>
  <si>
    <t>На Дмитриевский хим.завод (производство бутилацетата)</t>
  </si>
  <si>
    <t>17_100336087</t>
  </si>
  <si>
    <t xml:space="preserve">Изобутанол </t>
  </si>
  <si>
    <t>17_100330844</t>
  </si>
  <si>
    <t>17_100330845</t>
  </si>
  <si>
    <t>На НПЗ</t>
  </si>
  <si>
    <t>17_100336088</t>
  </si>
  <si>
    <t xml:space="preserve">Кубовый остаток бутиловых спиртов (КОБС) 
</t>
  </si>
  <si>
    <t>17_100336089</t>
  </si>
  <si>
    <t>17_100336090</t>
  </si>
  <si>
    <t>17_100336091</t>
  </si>
  <si>
    <t xml:space="preserve">Фталевый ангидрид </t>
  </si>
  <si>
    <t>17_100336092</t>
  </si>
  <si>
    <t>17_100336093</t>
  </si>
  <si>
    <t>Эфирная головка</t>
  </si>
  <si>
    <t>17_100336094</t>
  </si>
  <si>
    <t>17_100336095</t>
  </si>
  <si>
    <t>17_100336096</t>
  </si>
  <si>
    <t xml:space="preserve">Пластификаторы </t>
  </si>
  <si>
    <t>17_100330846</t>
  </si>
  <si>
    <t>17_100336097</t>
  </si>
  <si>
    <t xml:space="preserve">Дваэтилгексанол </t>
  </si>
  <si>
    <t>17_100336098</t>
  </si>
  <si>
    <t>17_100336099</t>
  </si>
  <si>
    <t xml:space="preserve">Кубовый остаток от дваэтилгексанола (КОРДЭГ) 
</t>
  </si>
  <si>
    <t>17_100336100</t>
  </si>
  <si>
    <t>17_100336101</t>
  </si>
  <si>
    <t>ГАЗОХИМИЧЕСКИЙ ЗАВОД (ГХЗ)</t>
  </si>
  <si>
    <t>Природный газ</t>
  </si>
  <si>
    <t>17_100330794</t>
  </si>
  <si>
    <t xml:space="preserve">Аммиак </t>
  </si>
  <si>
    <t>17_100330798</t>
  </si>
  <si>
    <t>17_100330799</t>
  </si>
  <si>
    <t xml:space="preserve">Карбамид </t>
  </si>
  <si>
    <t>17_100330796</t>
  </si>
  <si>
    <t>17_100336102</t>
  </si>
  <si>
    <t xml:space="preserve">Аммиачная вода </t>
  </si>
  <si>
    <t>17_100330800</t>
  </si>
  <si>
    <t>17_100336103</t>
  </si>
  <si>
    <t>ООО "АКРИЛ-САЛАВАТ"</t>
  </si>
  <si>
    <t>17_100332347</t>
  </si>
  <si>
    <t>Пропилен с завода "Мономер" 
ООО "Газпром нефтехим Салават"</t>
  </si>
  <si>
    <t>17_100332348</t>
  </si>
  <si>
    <t>Бутанол с завода "Мономер" 
ООО "Газпром нефтехим Салават"</t>
  </si>
  <si>
    <t>17_100332349</t>
  </si>
  <si>
    <t>Бутилакрилат (товарный)</t>
  </si>
  <si>
    <t>17_100332352</t>
  </si>
  <si>
    <t>Ледяная акриловая кислота (товарный)</t>
  </si>
  <si>
    <t>17_100332353</t>
  </si>
  <si>
    <t>Раздел 3. Прогноз  переработки давальческого углеводородного сырья</t>
  </si>
  <si>
    <t>ассоциированных обществ  и совместных предприятий на предприятиях Группы Газпром</t>
  </si>
  <si>
    <t>1. Переработка газа на Оренбургском ГПЗ</t>
  </si>
  <si>
    <t>2_100332046</t>
  </si>
  <si>
    <t xml:space="preserve">   ТОО "КазРосГаз"(газ КГКМ)</t>
  </si>
  <si>
    <t>в т.ч. на У-01 АО "ЮУПК"</t>
  </si>
  <si>
    <t>2_100332048</t>
  </si>
  <si>
    <t>2. Переработка газа на Оренбургском гелиевом заводе:</t>
  </si>
  <si>
    <t>2_100332058</t>
  </si>
  <si>
    <t>1. Сера техническая</t>
  </si>
  <si>
    <t>Оренбургский ГХК:</t>
  </si>
  <si>
    <t>2_100332198</t>
  </si>
  <si>
    <t xml:space="preserve">   ТОО "КазРосГаз"(из газа КГКМ)</t>
  </si>
  <si>
    <t>2. Стабильный газовый конденсат и нефть товарные</t>
  </si>
  <si>
    <t>2_100332259</t>
  </si>
  <si>
    <t xml:space="preserve">3. Газы углеводородные сжиженные  </t>
  </si>
  <si>
    <t>2_100332227</t>
  </si>
  <si>
    <t>4. ШФЛУ</t>
  </si>
  <si>
    <t>2_100336104</t>
  </si>
  <si>
    <t>5. Этановая фракция</t>
  </si>
  <si>
    <t>2_100332244</t>
  </si>
  <si>
    <t xml:space="preserve">6. Топливный газ </t>
  </si>
  <si>
    <t>2_100332185</t>
  </si>
  <si>
    <t xml:space="preserve">7. Пентан-гексановая фракция </t>
  </si>
  <si>
    <t>2_100332236</t>
  </si>
  <si>
    <t xml:space="preserve">8. Сухой отбензиненный газ </t>
  </si>
  <si>
    <t>2_100332119</t>
  </si>
  <si>
    <t>Начальник Департамента 816</t>
  </si>
  <si>
    <t>Удельный вес
КПД</t>
  </si>
  <si>
    <t>Плановое значение</t>
  </si>
  <si>
    <t>Границы планового значения</t>
  </si>
  <si>
    <t>Фактическое значение</t>
  </si>
  <si>
    <t>Выполнение КПД, в %</t>
  </si>
  <si>
    <t>Причины отклонений фактических значений КПД от плановых значений</t>
  </si>
  <si>
    <t>Центр ответственности за расчёт КПД ДО</t>
  </si>
  <si>
    <t>формула</t>
  </si>
  <si>
    <t>описание</t>
  </si>
  <si>
    <t>пороговое</t>
  </si>
  <si>
    <t>максимальное</t>
  </si>
  <si>
    <t>26.</t>
  </si>
  <si>
    <t>ООО "Газпром переработка"</t>
  </si>
  <si>
    <t>Контролируемые затраты</t>
  </si>
  <si>
    <t>Департамент 816</t>
  </si>
  <si>
    <t>Объём переработки газа</t>
  </si>
  <si>
    <t>1_100335807+2_100332038+2_100332040+3_100330008</t>
  </si>
  <si>
    <t>Объём переработки нестабильного газового конденсата и нефти</t>
  </si>
  <si>
    <t>1_100331985+2_100332061+3_100330017+4_100331828+4_100335040+4_100331835+2_100332066+2_100332067+3_100330196+4_100335093+4_100333678+4_100331838+10_100330861</t>
  </si>
  <si>
    <t>1_100331978+1_100335798</t>
  </si>
  <si>
    <t>1_100335800</t>
  </si>
  <si>
    <t>1_100335802</t>
  </si>
  <si>
    <t>1_100335802+1_100335804</t>
  </si>
  <si>
    <t>1_100335806+1_100331985+1_100331986</t>
  </si>
  <si>
    <t>№ п/п</t>
  </si>
  <si>
    <t>ОКАЗАНИЕ УСЛУГ ПО СЕПАРАЦИИ  СЫРЬЯ 
ООО "Газпром добыча Астрахань"</t>
  </si>
  <si>
    <t>100331977</t>
  </si>
  <si>
    <t>100331978+100335798</t>
  </si>
  <si>
    <t>ОКРУГЛ({100331977:-1}/{100331977:-1}*$100;$6)</t>
  </si>
  <si>
    <t>Да</t>
  </si>
  <si>
    <t>1.1</t>
  </si>
  <si>
    <t>СЕПАРАЦИЯ ПРИРОДНОГО ГАЗА, 
собственность ООО "Газпром добыча Астрахань"</t>
  </si>
  <si>
    <t>100331978</t>
  </si>
  <si>
    <t>100331979</t>
  </si>
  <si>
    <t>ОКРУГЛ({100331977:-1}/{100331979:-1}*$100;$6)</t>
  </si>
  <si>
    <t>*+59</t>
  </si>
  <si>
    <t>1.2</t>
  </si>
  <si>
    <t>СЕПАРАЦИЯ КОНДЕНСАТА ГАЗОВОГО НЕСТАБИЛЬНОГО,  
собственность ООО "Газпром добыча Астрахань"</t>
  </si>
  <si>
    <t>100335798</t>
  </si>
  <si>
    <t>ПОТЕРИ СЫРЬЯ ПРИ ПЕРЕРАБОТКЕ (УСЛОВНЫЕ), собственность ООО "Газпром добыча Астрахань":</t>
  </si>
  <si>
    <t>100335799</t>
  </si>
  <si>
    <t>Природного газа и нестабильного конденсата</t>
  </si>
  <si>
    <t>100335800</t>
  </si>
  <si>
    <t>{100331977:0}-{100331979:0}</t>
  </si>
  <si>
    <t>1.3</t>
  </si>
  <si>
    <t>ПРОИЗВОДСТВО ПРОДУКЦИИ, собственность 
ООО "Газпром добыча Астрахань"  ВСЕГО:</t>
  </si>
  <si>
    <t>100335801</t>
  </si>
  <si>
    <t>{100331977:0}+{100331979:0}+$10000</t>
  </si>
  <si>
    <t>1.3.1</t>
  </si>
  <si>
    <t>Газ сырой отсепарированный</t>
  </si>
  <si>
    <t>100335802</t>
  </si>
  <si>
    <t>100335803</t>
  </si>
  <si>
    <t>1.3.2</t>
  </si>
  <si>
    <t>Конденсат газовый нестабильный</t>
  </si>
  <si>
    <t>100335804</t>
  </si>
  <si>
    <t>2</t>
  </si>
  <si>
    <t xml:space="preserve">ПЕРЕРАБОТКА УГЛЕВОДОРОДНОГО СЫРЬЯ, собственность ПАО "Газпром" </t>
  </si>
  <si>
    <t>100335805</t>
  </si>
  <si>
    <t>2.1</t>
  </si>
  <si>
    <t>ПЕРЕРАБОТКА ГАЗА СЫРОГО ОТСЕПАРИРОВАННОГО 
(покупка у ООО "Газпром добыча Астрахань" )</t>
  </si>
  <si>
    <t>100335806</t>
  </si>
  <si>
    <t>1003335807</t>
  </si>
  <si>
    <t>2.2</t>
  </si>
  <si>
    <t>ПЕРЕРАБОТКА КОНДЕНСАТА ГАЗОВОГО НЕСТАБИЛЬНОГО 
(покупка у ООО "Газпром добыча Астрахань" )</t>
  </si>
  <si>
    <t>100331985</t>
  </si>
  <si>
    <t>2.3</t>
  </si>
  <si>
    <t>ПРИСАДКИ (ДОБАВКИ), ВСЕГО:</t>
  </si>
  <si>
    <t>100331986</t>
  </si>
  <si>
    <t>2.3.1</t>
  </si>
  <si>
    <t>Присадки (добавки) для нефтепродуктов, 
собственность ПАО "Газпром"</t>
  </si>
  <si>
    <t>100331987</t>
  </si>
  <si>
    <t>СУММ(1_100335805+1_100335804)</t>
  </si>
  <si>
    <t>2.3.1.1.</t>
  </si>
  <si>
    <t>в т.ч. МТБЭ (добавка в бензин)</t>
  </si>
  <si>
    <t>100334996</t>
  </si>
  <si>
    <t>2.3.2</t>
  </si>
  <si>
    <t>Компонент для производства серы, 
собственность ПАО "Газпром"</t>
  </si>
  <si>
    <t>100331988</t>
  </si>
  <si>
    <t>2.3.3</t>
  </si>
  <si>
    <t>Компонент производства при выработке кислого газа</t>
  </si>
  <si>
    <t>100332914</t>
  </si>
  <si>
    <t>ПОТЕРИ СЫРЬЯ ПРИ ПЕРЕРАБОТКЕ (УСЛОВНЫЕ), ВСЕГО:</t>
  </si>
  <si>
    <t>100331989</t>
  </si>
  <si>
    <t>3.1</t>
  </si>
  <si>
    <t>100331990</t>
  </si>
  <si>
    <t>3.2</t>
  </si>
  <si>
    <t>Конденсат газовый нестабильный - 100331991</t>
  </si>
  <si>
    <t>ПРОИЗВОДСТВО ПРОДУКЦИИ, 
собственность ПАО "Газпром", ВСЕГО:</t>
  </si>
  <si>
    <t>100331853</t>
  </si>
  <si>
    <t>4.1</t>
  </si>
  <si>
    <t>ГАЗ ПРИРОДНЫЙ СУХОЙ ОТБЕНЗИНЕННЫЙ, ВСЕГО:</t>
  </si>
  <si>
    <t>100331992</t>
  </si>
  <si>
    <t>100331993</t>
  </si>
  <si>
    <t>4.1.1</t>
  </si>
  <si>
    <t>Газ горючий природный, в ГТС</t>
  </si>
  <si>
    <t>100331994</t>
  </si>
  <si>
    <t>100331995</t>
  </si>
  <si>
    <t>4.1.2</t>
  </si>
  <si>
    <t>Газ на СТН ООО «Газпром добыча Астрахань», 
собственность ПАО "Газпром"</t>
  </si>
  <si>
    <t>100331996</t>
  </si>
  <si>
    <t>100331997</t>
  </si>
  <si>
    <t>4.1.3</t>
  </si>
  <si>
    <t xml:space="preserve">Газ на СТН Газпром переработка, 
собственность ПАО "Газпром" </t>
  </si>
  <si>
    <t>100331998</t>
  </si>
  <si>
    <t>100331999</t>
  </si>
  <si>
    <t>4.2</t>
  </si>
  <si>
    <t>СЕРА, ВСЕГО:</t>
  </si>
  <si>
    <t>100332000</t>
  </si>
  <si>
    <t>4.2.1</t>
  </si>
  <si>
    <t>Сера, :</t>
  </si>
  <si>
    <t>100332001</t>
  </si>
  <si>
    <t>4.2.1.1</t>
  </si>
  <si>
    <t>100330068</t>
  </si>
  <si>
    <t>4.2.1.2</t>
  </si>
  <si>
    <t>100330069</t>
  </si>
  <si>
    <t>4.2.1.3</t>
  </si>
  <si>
    <t>100330070</t>
  </si>
  <si>
    <t>4.2.1.4</t>
  </si>
  <si>
    <t>марка М</t>
  </si>
  <si>
    <t>100330071</t>
  </si>
  <si>
    <t>4.2.1.5</t>
  </si>
  <si>
    <t>100337112</t>
  </si>
  <si>
    <t>Кислый газ, всего:</t>
  </si>
  <si>
    <t>100330010</t>
  </si>
  <si>
    <t>Кислый газ с производства № 3</t>
  </si>
  <si>
    <t>100331980</t>
  </si>
  <si>
    <t xml:space="preserve">Кислый газ с производства № 1,5 </t>
  </si>
  <si>
    <t>100331981</t>
  </si>
  <si>
    <t>4.3</t>
  </si>
  <si>
    <t>ШФЛУ товарная, всего:</t>
  </si>
  <si>
    <t>100330073</t>
  </si>
  <si>
    <t>4.3.1</t>
  </si>
  <si>
    <t>ШФЛУ товарная</t>
  </si>
  <si>
    <t>100332003</t>
  </si>
  <si>
    <t>в т.ч. аналог стабильного конденсата</t>
  </si>
  <si>
    <t>100332004</t>
  </si>
  <si>
    <t>ШФЛУ товарная с учетом изменения остатков</t>
  </si>
  <si>
    <t>100332005</t>
  </si>
  <si>
    <t>ШФЛУ валовая</t>
  </si>
  <si>
    <t>100332006</t>
  </si>
  <si>
    <t>100334997</t>
  </si>
  <si>
    <t>ШФЛУ - переработка</t>
  </si>
  <si>
    <t>100332008</t>
  </si>
  <si>
    <t>100332009</t>
  </si>
  <si>
    <t>4.4</t>
  </si>
  <si>
    <t>ГАЗЫ УГЛЕВОДОРОДНЫЕ СЖИЖЕННЫЕ</t>
  </si>
  <si>
    <t>100332010</t>
  </si>
  <si>
    <t>4.5</t>
  </si>
  <si>
    <t>СТАБИЛЬНЫЙ КОНДЕНСАТ ТОВАРНЫЙ, ВСЕГО:</t>
  </si>
  <si>
    <t>100332011</t>
  </si>
  <si>
    <t>4.5.1</t>
  </si>
  <si>
    <t>СК товарный</t>
  </si>
  <si>
    <t>100332012</t>
  </si>
  <si>
    <t>СК товарный с учетом изменения остатков (отгрузка)</t>
  </si>
  <si>
    <t>100332013</t>
  </si>
  <si>
    <t>СК валовый</t>
  </si>
  <si>
    <t>100332014</t>
  </si>
  <si>
    <t>СК - переработка</t>
  </si>
  <si>
    <t>100332016</t>
  </si>
  <si>
    <t>4.6</t>
  </si>
  <si>
    <t>АВТОМОБИЛЬНЫЙ БЕНЗИН, ВСЕГО:</t>
  </si>
  <si>
    <t>100332017</t>
  </si>
  <si>
    <t>100335688</t>
  </si>
  <si>
    <t>4.6.1</t>
  </si>
  <si>
    <t>100332018</t>
  </si>
  <si>
    <t>4.6.2</t>
  </si>
  <si>
    <t>100332019</t>
  </si>
  <si>
    <t>4.7</t>
  </si>
  <si>
    <t>ДГКЛ</t>
  </si>
  <si>
    <t>100332020</t>
  </si>
  <si>
    <t>4.8</t>
  </si>
  <si>
    <t>ДГКС</t>
  </si>
  <si>
    <t>100332021</t>
  </si>
  <si>
    <t>4.9</t>
  </si>
  <si>
    <t>ДГКТ</t>
  </si>
  <si>
    <t>100332022</t>
  </si>
  <si>
    <t>4.10</t>
  </si>
  <si>
    <t>ДИЗЕЛЬНОЕ ТОПЛИВО</t>
  </si>
  <si>
    <t>100332023</t>
  </si>
  <si>
    <t>4.11</t>
  </si>
  <si>
    <t>МАЗУТ</t>
  </si>
  <si>
    <t>100332024</t>
  </si>
  <si>
    <t>4.12</t>
  </si>
  <si>
    <t>ГАЗ СТАБИЛИЗАЦИИ НА СОБСТВЕННЫЕ НУЖДЫ</t>
  </si>
  <si>
    <t>100332025</t>
  </si>
  <si>
    <t>100332026</t>
  </si>
  <si>
    <t>5</t>
  </si>
  <si>
    <t>Продукция, принятая в производство со склада (в примечании должнв быть ссылка на акт )</t>
  </si>
  <si>
    <t>100332942</t>
  </si>
  <si>
    <t>Продукция, переданная с производства на склад (в примечании должнв быть ссылка на акт )</t>
  </si>
  <si>
    <t>100335430</t>
  </si>
  <si>
    <t>6</t>
  </si>
  <si>
    <t>Материальный баланс переработки УВС</t>
  </si>
  <si>
    <t>Материальный баланс ООО "Газпром добыча Астрахань"</t>
  </si>
  <si>
    <t>100335808</t>
  </si>
  <si>
    <t>100335809</t>
  </si>
  <si>
    <t>T</t>
  </si>
  <si>
    <t>1_100332024+1_100332025</t>
  </si>
  <si>
    <t>V</t>
  </si>
  <si>
    <t>100331977+2_100335130</t>
  </si>
  <si>
    <t>S1</t>
  </si>
  <si>
    <t>ОКРУГЛ({100335808:2}/{100335809:2}*{100335809:0};$1)</t>
  </si>
  <si>
    <t>S2</t>
  </si>
  <si>
    <t>{C6:-2}-{C8:-2}</t>
  </si>
  <si>
    <t>10331977</t>
  </si>
  <si>
    <t>100332027</t>
  </si>
  <si>
    <t>100332028</t>
  </si>
  <si>
    <t>100332029</t>
  </si>
  <si>
    <t>100332030</t>
  </si>
  <si>
    <t>100332031</t>
  </si>
  <si>
    <t>100332033</t>
  </si>
  <si>
    <t>100332034</t>
  </si>
  <si>
    <t>100335008</t>
  </si>
  <si>
    <t>100335023</t>
  </si>
  <si>
    <t>100335130</t>
  </si>
  <si>
    <t>100332166</t>
  </si>
  <si>
    <t>СУММ(2_100335008:2_100335130)/1000</t>
  </si>
  <si>
    <t>V1</t>
  </si>
  <si>
    <t>100332166+1_100331977</t>
  </si>
  <si>
    <t>Имя</t>
  </si>
  <si>
    <t>Стиль</t>
  </si>
  <si>
    <t>VAR_KEY</t>
  </si>
  <si>
    <t>NAME</t>
  </si>
  <si>
    <t>FONT_SIMPLE</t>
  </si>
  <si>
    <t>YQM_0</t>
  </si>
  <si>
    <t>Год, Квартал, Месяц, +/-, % вып.</t>
  </si>
  <si>
    <t>FONT_FORMULA</t>
  </si>
  <si>
    <t>YQM_1</t>
  </si>
  <si>
    <t>Год, Квартал, Месяц, % вып.</t>
  </si>
  <si>
    <t>FONT_TITLE_LVL0</t>
  </si>
  <si>
    <t>Текст пример 1234567890,1234567891</t>
  </si>
  <si>
    <t>YQM_2</t>
  </si>
  <si>
    <t>Год, Квартал, Месяц, +/-</t>
  </si>
  <si>
    <t>FONT_TITLE_LVL1</t>
  </si>
  <si>
    <t>YQM</t>
  </si>
  <si>
    <t>Год, Квартал, Месяц</t>
  </si>
  <si>
    <t>RULES_GREEN_RED_DASH</t>
  </si>
  <si>
    <t>YM</t>
  </si>
  <si>
    <t>Год, Месяц</t>
  </si>
  <si>
    <t>FULL_BORDER</t>
  </si>
  <si>
    <t>QM</t>
  </si>
  <si>
    <t>Квартал, Месяц</t>
  </si>
  <si>
    <t>FORMAT_PERCENTAGE</t>
  </si>
  <si>
    <t>Y</t>
  </si>
  <si>
    <t>Год</t>
  </si>
  <si>
    <t>FONT_TITLE_LVL1_GROUP1</t>
  </si>
  <si>
    <t>Q</t>
  </si>
  <si>
    <t>Квартал</t>
  </si>
  <si>
    <t>FONT_TITLE_LVL2_GROUP1</t>
  </si>
  <si>
    <t>M</t>
  </si>
  <si>
    <t>Месяц</t>
  </si>
  <si>
    <t>FONT_CHECKER1</t>
  </si>
  <si>
    <t>+/-, % вып.</t>
  </si>
  <si>
    <t>RULE_DASH_FOR_ZERO</t>
  </si>
  <si>
    <t>1</t>
  </si>
  <si>
    <t>% вып.</t>
  </si>
  <si>
    <t>+/-</t>
  </si>
  <si>
    <t>CELL_INPUT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</si>
</sst>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00000"/>
  </numFmts>
  <fonts count="48" x14ac:knownFonts="1"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i/>
      <sz val="14"/>
      <name val="Times New Roman"/>
      <family val="1"/>
      <charset val="204"/>
    </font>
    <font>
      <i/>
      <sz val="14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i/>
      <sz val="14"/>
      <color indexed="2"/>
      <name val="Times New Roman"/>
      <family val="1"/>
      <charset val="204"/>
    </font>
    <font>
      <sz val="10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b/>
      <sz val="14"/>
      <color rgb="FF0000FF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indexed="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indexed="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i/>
      <sz val="12"/>
      <color indexed="2"/>
      <name val="Times New Roman"/>
      <family val="1"/>
      <charset val="204"/>
    </font>
    <font>
      <i/>
      <sz val="12"/>
      <color indexed="4"/>
      <name val="Times New Roman"/>
      <family val="1"/>
      <charset val="204"/>
    </font>
    <font>
      <b/>
      <sz val="12"/>
      <color indexed="4"/>
      <name val="Times New Roman"/>
      <family val="1"/>
      <charset val="204"/>
    </font>
    <font>
      <i/>
      <sz val="12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trike/>
      <sz val="12"/>
      <color theme="1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u/>
      <sz val="12"/>
      <color theme="1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  <font>
      <i/>
      <sz val="11"/>
      <name val="Times New Roman"/>
      <family val="1"/>
      <charset val="204"/>
    </font>
    <font>
      <b/>
      <u/>
      <sz val="12"/>
      <name val="Times New Roman"/>
      <family val="1"/>
      <charset val="204"/>
    </font>
    <font>
      <u/>
      <sz val="12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trike/>
      <sz val="12"/>
      <name val="Times New Roman"/>
      <family val="1"/>
      <charset val="204"/>
    </font>
    <font>
      <b/>
      <strike/>
      <sz val="12"/>
      <color theme="1"/>
      <name val="Times New Roman"/>
      <family val="1"/>
      <charset val="204"/>
    </font>
    <font>
      <strike/>
      <sz val="12"/>
      <name val="Times New Roman"/>
      <family val="1"/>
      <charset val="204"/>
    </font>
    <font>
      <b/>
      <strike/>
      <u/>
      <sz val="12"/>
      <color theme="1"/>
      <name val="Times New Roman"/>
      <family val="1"/>
      <charset val="204"/>
    </font>
    <font>
      <b/>
      <sz val="12"/>
      <color theme="4" tint="-0.249977111117893"/>
      <name val="Times New Roman"/>
      <family val="1"/>
      <charset val="204"/>
    </font>
    <font>
      <sz val="14"/>
      <color indexed="4"/>
      <name val="Times New Roman"/>
      <family val="1"/>
      <charset val="204"/>
    </font>
    <font>
      <b/>
      <sz val="14"/>
      <color indexed="4"/>
      <name val="Times New Roman"/>
      <family val="1"/>
      <charset val="204"/>
    </font>
    <font>
      <sz val="20"/>
      <color indexed="2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2"/>
        <bgColor indexed="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16">
    <xf numFmtId="0" fontId="0" fillId="0" borderId="0" xfId="0"/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 indent="1"/>
    </xf>
    <xf numFmtId="0" fontId="3" fillId="0" borderId="6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 indent="1"/>
    </xf>
    <xf numFmtId="0" fontId="5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 indent="4"/>
    </xf>
    <xf numFmtId="49" fontId="4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wrapText="1" indent="1"/>
    </xf>
    <xf numFmtId="0" fontId="2" fillId="0" borderId="6" xfId="0" applyFont="1" applyBorder="1" applyAlignment="1">
      <alignment horizontal="left" vertical="center" wrapText="1" indent="2"/>
    </xf>
    <xf numFmtId="0" fontId="2" fillId="0" borderId="0" xfId="0" applyFont="1" applyAlignment="1">
      <alignment horizontal="left" wrapText="1" indent="4"/>
    </xf>
    <xf numFmtId="0" fontId="2" fillId="0" borderId="0" xfId="0" applyFont="1" applyAlignment="1">
      <alignment horizontal="left" vertical="center" wrapText="1" indent="2"/>
    </xf>
    <xf numFmtId="0" fontId="7" fillId="0" borderId="6" xfId="0" applyFont="1" applyBorder="1" applyAlignment="1">
      <alignment horizontal="left" vertical="center" wrapText="1" indent="1"/>
    </xf>
    <xf numFmtId="49" fontId="6" fillId="0" borderId="5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 indent="2"/>
    </xf>
    <xf numFmtId="0" fontId="6" fillId="0" borderId="6" xfId="0" applyFont="1" applyBorder="1" applyAlignment="1">
      <alignment horizontal="left" wrapText="1" indent="2"/>
    </xf>
    <xf numFmtId="0" fontId="2" fillId="0" borderId="6" xfId="0" applyFont="1" applyBorder="1" applyAlignment="1">
      <alignment horizontal="left" wrapText="1" indent="2"/>
    </xf>
    <xf numFmtId="0" fontId="2" fillId="0" borderId="6" xfId="0" applyFont="1" applyBorder="1" applyAlignment="1">
      <alignment horizontal="left" wrapText="1" indent="4"/>
    </xf>
    <xf numFmtId="0" fontId="8" fillId="0" borderId="6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wrapText="1" indent="1"/>
    </xf>
    <xf numFmtId="0" fontId="1" fillId="0" borderId="6" xfId="0" applyFont="1" applyBorder="1" applyAlignment="1">
      <alignment horizontal="left" wrapText="1" indent="4"/>
    </xf>
    <xf numFmtId="49" fontId="6" fillId="0" borderId="6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left" wrapText="1" indent="1"/>
    </xf>
    <xf numFmtId="0" fontId="6" fillId="0" borderId="5" xfId="0" applyFont="1" applyBorder="1" applyAlignment="1">
      <alignment horizontal="left" wrapText="1" indent="2"/>
    </xf>
    <xf numFmtId="49" fontId="9" fillId="0" borderId="6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left" wrapText="1" indent="4"/>
    </xf>
    <xf numFmtId="0" fontId="8" fillId="0" borderId="6" xfId="0" applyFont="1" applyBorder="1" applyAlignment="1">
      <alignment horizontal="left" wrapText="1" indent="4"/>
    </xf>
    <xf numFmtId="49" fontId="1" fillId="2" borderId="5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left" wrapText="1" indent="2"/>
    </xf>
    <xf numFmtId="49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left" wrapText="1" indent="2"/>
    </xf>
    <xf numFmtId="0" fontId="7" fillId="0" borderId="5" xfId="0" applyFont="1" applyBorder="1" applyAlignment="1">
      <alignment horizontal="left" wrapText="1" indent="1"/>
    </xf>
    <xf numFmtId="0" fontId="6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 wrapText="1" inden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 indent="6"/>
    </xf>
    <xf numFmtId="0" fontId="20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164" fontId="17" fillId="0" borderId="0" xfId="0" applyNumberFormat="1" applyFont="1"/>
    <xf numFmtId="164" fontId="15" fillId="0" borderId="0" xfId="0" applyNumberFormat="1" applyFont="1" applyAlignment="1">
      <alignment horizontal="center" vertical="center"/>
    </xf>
    <xf numFmtId="164" fontId="14" fillId="0" borderId="0" xfId="0" applyNumberFormat="1" applyFont="1"/>
    <xf numFmtId="0" fontId="17" fillId="0" borderId="0" xfId="0" applyFont="1" applyAlignment="1">
      <alignment horizontal="left" vertical="top"/>
    </xf>
    <xf numFmtId="164" fontId="17" fillId="0" borderId="7" xfId="0" applyNumberFormat="1" applyFont="1" applyBorder="1" applyAlignment="1">
      <alignment horizontal="left"/>
    </xf>
    <xf numFmtId="164" fontId="23" fillId="0" borderId="7" xfId="0" applyNumberFormat="1" applyFont="1" applyBorder="1" applyAlignment="1">
      <alignment horizontal="left"/>
    </xf>
    <xf numFmtId="164" fontId="24" fillId="0" borderId="7" xfId="0" applyNumberFormat="1" applyFont="1" applyBorder="1" applyAlignment="1">
      <alignment horizontal="center" vertical="center"/>
    </xf>
    <xf numFmtId="164" fontId="20" fillId="0" borderId="7" xfId="0" applyNumberFormat="1" applyFont="1" applyBorder="1" applyAlignment="1">
      <alignment horizontal="center" vertical="center"/>
    </xf>
    <xf numFmtId="164" fontId="26" fillId="0" borderId="7" xfId="0" applyNumberFormat="1" applyFont="1" applyBorder="1" applyAlignment="1">
      <alignment horizontal="center" vertical="center"/>
    </xf>
    <xf numFmtId="164" fontId="19" fillId="3" borderId="7" xfId="0" applyNumberFormat="1" applyFont="1" applyFill="1" applyBorder="1" applyAlignment="1">
      <alignment horizontal="center" vertical="center"/>
    </xf>
    <xf numFmtId="164" fontId="20" fillId="3" borderId="7" xfId="0" applyNumberFormat="1" applyFont="1" applyFill="1" applyBorder="1" applyAlignment="1">
      <alignment horizontal="center" vertical="center"/>
    </xf>
    <xf numFmtId="164" fontId="26" fillId="3" borderId="7" xfId="0" applyNumberFormat="1" applyFont="1" applyFill="1" applyBorder="1" applyAlignment="1">
      <alignment horizontal="center" vertical="center"/>
    </xf>
    <xf numFmtId="164" fontId="25" fillId="3" borderId="7" xfId="0" applyNumberFormat="1" applyFont="1" applyFill="1" applyBorder="1" applyAlignment="1">
      <alignment horizontal="right"/>
    </xf>
    <xf numFmtId="164" fontId="20" fillId="0" borderId="7" xfId="0" applyNumberFormat="1" applyFont="1" applyBorder="1" applyAlignment="1">
      <alignment horizontal="right"/>
    </xf>
    <xf numFmtId="164" fontId="17" fillId="3" borderId="7" xfId="0" applyNumberFormat="1" applyFont="1" applyFill="1" applyBorder="1" applyAlignment="1">
      <alignment horizontal="right"/>
    </xf>
    <xf numFmtId="164" fontId="14" fillId="3" borderId="7" xfId="0" applyNumberFormat="1" applyFont="1" applyFill="1" applyBorder="1" applyAlignment="1">
      <alignment horizontal="right"/>
    </xf>
    <xf numFmtId="164" fontId="16" fillId="0" borderId="7" xfId="0" applyNumberFormat="1" applyFont="1" applyBorder="1"/>
    <xf numFmtId="164" fontId="18" fillId="0" borderId="7" xfId="0" applyNumberFormat="1" applyFont="1" applyBorder="1" applyAlignment="1">
      <alignment horizontal="right" vertical="center"/>
    </xf>
    <xf numFmtId="164" fontId="18" fillId="0" borderId="7" xfId="0" applyNumberFormat="1" applyFont="1" applyBorder="1"/>
    <xf numFmtId="164" fontId="17" fillId="0" borderId="7" xfId="0" applyNumberFormat="1" applyFont="1" applyBorder="1" applyAlignment="1">
      <alignment vertical="center" wrapText="1"/>
    </xf>
    <xf numFmtId="0" fontId="19" fillId="0" borderId="7" xfId="0" applyFont="1" applyBorder="1" applyAlignment="1">
      <alignment horizontal="right"/>
    </xf>
    <xf numFmtId="164" fontId="17" fillId="0" borderId="7" xfId="0" applyNumberFormat="1" applyFont="1" applyBorder="1" applyAlignment="1">
      <alignment horizontal="left" indent="4"/>
    </xf>
    <xf numFmtId="164" fontId="25" fillId="0" borderId="7" xfId="0" applyNumberFormat="1" applyFont="1" applyBorder="1" applyAlignment="1">
      <alignment horizontal="right" vertical="top"/>
    </xf>
    <xf numFmtId="164" fontId="25" fillId="4" borderId="7" xfId="0" applyNumberFormat="1" applyFont="1" applyFill="1" applyBorder="1" applyAlignment="1">
      <alignment horizontal="right"/>
    </xf>
    <xf numFmtId="164" fontId="14" fillId="0" borderId="7" xfId="0" applyNumberFormat="1" applyFont="1" applyBorder="1" applyAlignment="1">
      <alignment horizontal="right"/>
    </xf>
    <xf numFmtId="164" fontId="25" fillId="0" borderId="7" xfId="0" applyNumberFormat="1" applyFont="1" applyBorder="1" applyAlignment="1">
      <alignment horizontal="right"/>
    </xf>
    <xf numFmtId="164" fontId="28" fillId="0" borderId="7" xfId="0" applyNumberFormat="1" applyFont="1" applyBorder="1" applyAlignment="1">
      <alignment horizontal="right"/>
    </xf>
    <xf numFmtId="164" fontId="29" fillId="0" borderId="7" xfId="0" applyNumberFormat="1" applyFont="1" applyBorder="1" applyAlignment="1">
      <alignment horizontal="right"/>
    </xf>
    <xf numFmtId="164" fontId="17" fillId="0" borderId="7" xfId="0" applyNumberFormat="1" applyFont="1" applyBorder="1"/>
    <xf numFmtId="164" fontId="19" fillId="0" borderId="7" xfId="0" applyNumberFormat="1" applyFont="1" applyBorder="1" applyAlignment="1">
      <alignment horizontal="center" vertical="center"/>
    </xf>
    <xf numFmtId="164" fontId="17" fillId="0" borderId="7" xfId="0" applyNumberFormat="1" applyFont="1" applyBorder="1" applyAlignment="1">
      <alignment horizontal="right"/>
    </xf>
    <xf numFmtId="164" fontId="17" fillId="0" borderId="7" xfId="0" applyNumberFormat="1" applyFont="1" applyBorder="1" applyAlignment="1">
      <alignment horizontal="left" indent="2"/>
    </xf>
    <xf numFmtId="164" fontId="26" fillId="0" borderId="7" xfId="0" applyNumberFormat="1" applyFont="1" applyBorder="1" applyAlignment="1">
      <alignment horizontal="right"/>
    </xf>
    <xf numFmtId="164" fontId="19" fillId="0" borderId="7" xfId="0" applyNumberFormat="1" applyFont="1" applyBorder="1" applyAlignment="1">
      <alignment horizontal="right"/>
    </xf>
    <xf numFmtId="164" fontId="19" fillId="0" borderId="7" xfId="0" applyNumberFormat="1" applyFont="1" applyBorder="1" applyAlignment="1">
      <alignment wrapText="1"/>
    </xf>
    <xf numFmtId="164" fontId="19" fillId="0" borderId="7" xfId="0" applyNumberFormat="1" applyFont="1" applyBorder="1" applyAlignment="1">
      <alignment horizontal="left" indent="2"/>
    </xf>
    <xf numFmtId="164" fontId="14" fillId="0" borderId="7" xfId="0" applyNumberFormat="1" applyFont="1" applyBorder="1"/>
    <xf numFmtId="0" fontId="17" fillId="0" borderId="7" xfId="0" applyFont="1" applyBorder="1"/>
    <xf numFmtId="0" fontId="17" fillId="0" borderId="7" xfId="0" applyFont="1" applyBorder="1" applyAlignment="1">
      <alignment horizontal="right"/>
    </xf>
    <xf numFmtId="0" fontId="17" fillId="0" borderId="7" xfId="0" applyFont="1" applyBorder="1" applyAlignment="1">
      <alignment horizontal="left" indent="2"/>
    </xf>
    <xf numFmtId="0" fontId="22" fillId="3" borderId="7" xfId="0" applyFont="1" applyFill="1" applyBorder="1" applyAlignment="1">
      <alignment horizontal="right"/>
    </xf>
    <xf numFmtId="0" fontId="19" fillId="3" borderId="7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right"/>
    </xf>
    <xf numFmtId="0" fontId="17" fillId="3" borderId="7" xfId="0" applyFont="1" applyFill="1" applyBorder="1" applyAlignment="1">
      <alignment horizontal="right"/>
    </xf>
    <xf numFmtId="0" fontId="22" fillId="0" borderId="7" xfId="0" applyFont="1" applyBorder="1" applyAlignment="1">
      <alignment horizontal="right"/>
    </xf>
    <xf numFmtId="0" fontId="16" fillId="0" borderId="7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5" fillId="0" borderId="7" xfId="0" applyFont="1" applyBorder="1"/>
    <xf numFmtId="0" fontId="22" fillId="0" borderId="7" xfId="0" applyFont="1" applyBorder="1"/>
    <xf numFmtId="0" fontId="18" fillId="0" borderId="7" xfId="0" applyFont="1" applyBorder="1" applyAlignment="1">
      <alignment horizontal="center" vertical="center"/>
    </xf>
    <xf numFmtId="0" fontId="20" fillId="0" borderId="7" xfId="0" applyFont="1" applyBorder="1" applyAlignment="1">
      <alignment horizontal="right"/>
    </xf>
    <xf numFmtId="0" fontId="26" fillId="0" borderId="7" xfId="0" applyFont="1" applyBorder="1" applyAlignment="1">
      <alignment horizontal="right"/>
    </xf>
    <xf numFmtId="0" fontId="14" fillId="3" borderId="7" xfId="0" applyFont="1" applyFill="1" applyBorder="1" applyAlignment="1">
      <alignment horizontal="right" vertical="center"/>
    </xf>
    <xf numFmtId="0" fontId="17" fillId="3" borderId="7" xfId="0" applyFont="1" applyFill="1" applyBorder="1" applyAlignment="1">
      <alignment horizontal="left" indent="2"/>
    </xf>
    <xf numFmtId="0" fontId="25" fillId="2" borderId="7" xfId="0" applyFont="1" applyFill="1" applyBorder="1" applyAlignment="1">
      <alignment horizontal="right"/>
    </xf>
    <xf numFmtId="0" fontId="25" fillId="0" borderId="7" xfId="0" applyFont="1" applyBorder="1" applyAlignment="1">
      <alignment horizontal="right"/>
    </xf>
    <xf numFmtId="0" fontId="19" fillId="0" borderId="7" xfId="0" applyFont="1" applyBorder="1" applyAlignment="1">
      <alignment horizontal="center"/>
    </xf>
    <xf numFmtId="0" fontId="25" fillId="0" borderId="7" xfId="0" applyFont="1" applyBorder="1" applyAlignment="1">
      <alignment horizontal="right" vertical="top"/>
    </xf>
    <xf numFmtId="0" fontId="25" fillId="0" borderId="7" xfId="0" applyFont="1" applyBorder="1" applyAlignment="1">
      <alignment horizontal="right" wrapText="1"/>
    </xf>
    <xf numFmtId="0" fontId="32" fillId="0" borderId="7" xfId="0" applyFont="1" applyBorder="1" applyAlignment="1">
      <alignment horizontal="right"/>
    </xf>
    <xf numFmtId="0" fontId="32" fillId="0" borderId="7" xfId="0" applyFont="1" applyBorder="1"/>
    <xf numFmtId="0" fontId="16" fillId="0" borderId="7" xfId="0" applyFont="1" applyBorder="1" applyAlignment="1">
      <alignment horizontal="right"/>
    </xf>
    <xf numFmtId="0" fontId="28" fillId="0" borderId="7" xfId="0" applyFont="1" applyBorder="1" applyAlignment="1">
      <alignment horizontal="right"/>
    </xf>
    <xf numFmtId="0" fontId="33" fillId="0" borderId="7" xfId="0" applyFont="1" applyBorder="1"/>
    <xf numFmtId="0" fontId="31" fillId="0" borderId="7" xfId="0" applyFont="1" applyBorder="1" applyAlignment="1">
      <alignment horizontal="center" vertical="center"/>
    </xf>
    <xf numFmtId="0" fontId="34" fillId="0" borderId="7" xfId="0" applyFont="1" applyBorder="1" applyAlignment="1">
      <alignment horizontal="right"/>
    </xf>
    <xf numFmtId="0" fontId="21" fillId="0" borderId="7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right"/>
    </xf>
    <xf numFmtId="0" fontId="25" fillId="0" borderId="7" xfId="0" applyFont="1" applyBorder="1" applyAlignment="1">
      <alignment horizontal="right" vertical="center"/>
    </xf>
    <xf numFmtId="0" fontId="29" fillId="0" borderId="7" xfId="0" applyFont="1" applyBorder="1" applyAlignment="1">
      <alignment horizontal="right"/>
    </xf>
    <xf numFmtId="0" fontId="17" fillId="3" borderId="7" xfId="0" applyFont="1" applyFill="1" applyBorder="1"/>
    <xf numFmtId="0" fontId="25" fillId="3" borderId="7" xfId="0" applyFont="1" applyFill="1" applyBorder="1"/>
    <xf numFmtId="0" fontId="14" fillId="3" borderId="7" xfId="0" applyFont="1" applyFill="1" applyBorder="1"/>
    <xf numFmtId="0" fontId="25" fillId="3" borderId="7" xfId="0" applyFont="1" applyFill="1" applyBorder="1" applyAlignment="1">
      <alignment horizontal="right"/>
    </xf>
    <xf numFmtId="0" fontId="32" fillId="0" borderId="7" xfId="0" applyFont="1" applyBorder="1" applyAlignment="1">
      <alignment horizontal="left"/>
    </xf>
    <xf numFmtId="0" fontId="10" fillId="0" borderId="7" xfId="0" applyFont="1" applyBorder="1" applyAlignment="1">
      <alignment horizontal="left" vertical="top" wrapText="1"/>
    </xf>
    <xf numFmtId="0" fontId="35" fillId="0" borderId="7" xfId="0" applyFont="1" applyBorder="1" applyAlignment="1">
      <alignment horizontal="center" vertical="center" wrapText="1"/>
    </xf>
    <xf numFmtId="0" fontId="35" fillId="3" borderId="7" xfId="0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/>
    </xf>
    <xf numFmtId="0" fontId="19" fillId="0" borderId="7" xfId="0" applyFont="1" applyBorder="1"/>
    <xf numFmtId="0" fontId="36" fillId="3" borderId="7" xfId="0" applyFont="1" applyFill="1" applyBorder="1"/>
    <xf numFmtId="0" fontId="37" fillId="3" borderId="7" xfId="0" applyFont="1" applyFill="1" applyBorder="1" applyAlignment="1">
      <alignment horizontal="center" vertical="center"/>
    </xf>
    <xf numFmtId="0" fontId="27" fillId="3" borderId="7" xfId="0" applyFont="1" applyFill="1" applyBorder="1"/>
    <xf numFmtId="0" fontId="38" fillId="3" borderId="7" xfId="0" applyFont="1" applyFill="1" applyBorder="1" applyAlignment="1">
      <alignment horizontal="right"/>
    </xf>
    <xf numFmtId="0" fontId="39" fillId="3" borderId="7" xfId="0" applyFont="1" applyFill="1" applyBorder="1" applyAlignment="1">
      <alignment horizontal="center" vertical="center"/>
    </xf>
    <xf numFmtId="0" fontId="37" fillId="3" borderId="7" xfId="0" applyFont="1" applyFill="1" applyBorder="1"/>
    <xf numFmtId="164" fontId="36" fillId="3" borderId="7" xfId="0" applyNumberFormat="1" applyFont="1" applyFill="1" applyBorder="1" applyAlignment="1">
      <alignment vertical="center" wrapText="1"/>
    </xf>
    <xf numFmtId="164" fontId="36" fillId="3" borderId="7" xfId="0" applyNumberFormat="1" applyFont="1" applyFill="1" applyBorder="1" applyAlignment="1">
      <alignment horizontal="left" indent="2"/>
    </xf>
    <xf numFmtId="0" fontId="38" fillId="3" borderId="7" xfId="0" applyFont="1" applyFill="1" applyBorder="1"/>
    <xf numFmtId="0" fontId="27" fillId="3" borderId="7" xfId="0" applyFont="1" applyFill="1" applyBorder="1" applyAlignment="1">
      <alignment horizontal="left" indent="6"/>
    </xf>
    <xf numFmtId="0" fontId="20" fillId="0" borderId="7" xfId="0" applyFont="1" applyBorder="1"/>
    <xf numFmtId="0" fontId="19" fillId="0" borderId="7" xfId="0" applyFont="1" applyBorder="1" applyAlignment="1">
      <alignment horizontal="left" wrapText="1" indent="2"/>
    </xf>
    <xf numFmtId="0" fontId="26" fillId="0" borderId="7" xfId="0" applyFont="1" applyBorder="1" applyAlignment="1">
      <alignment horizontal="left" vertical="center" wrapText="1" indent="6"/>
    </xf>
    <xf numFmtId="164" fontId="17" fillId="0" borderId="7" xfId="0" applyNumberFormat="1" applyFont="1" applyBorder="1" applyAlignment="1">
      <alignment horizontal="center" vertical="center"/>
    </xf>
    <xf numFmtId="0" fontId="19" fillId="0" borderId="7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wrapText="1" indent="2"/>
    </xf>
    <xf numFmtId="0" fontId="14" fillId="0" borderId="7" xfId="0" applyFont="1" applyBorder="1" applyAlignment="1">
      <alignment horizontal="left" vertical="center" wrapText="1" indent="4"/>
    </xf>
    <xf numFmtId="0" fontId="20" fillId="0" borderId="7" xfId="0" applyFont="1" applyBorder="1" applyAlignment="1">
      <alignment horizontal="left" wrapText="1" indent="5"/>
    </xf>
    <xf numFmtId="0" fontId="15" fillId="0" borderId="7" xfId="0" applyFont="1" applyBorder="1"/>
    <xf numFmtId="0" fontId="35" fillId="0" borderId="7" xfId="0" applyFont="1" applyBorder="1" applyAlignment="1">
      <alignment horizontal="center" vertical="center"/>
    </xf>
    <xf numFmtId="0" fontId="36" fillId="3" borderId="7" xfId="0" applyFont="1" applyFill="1" applyBorder="1" applyAlignment="1">
      <alignment horizontal="left" vertical="center" wrapText="1" indent="1"/>
    </xf>
    <xf numFmtId="164" fontId="37" fillId="3" borderId="7" xfId="0" applyNumberFormat="1" applyFont="1" applyFill="1" applyBorder="1" applyAlignment="1">
      <alignment horizontal="center" vertical="center"/>
    </xf>
    <xf numFmtId="0" fontId="38" fillId="3" borderId="7" xfId="0" applyFont="1" applyFill="1" applyBorder="1" applyAlignment="1">
      <alignment horizontal="left" vertical="center" wrapText="1" indent="2"/>
    </xf>
    <xf numFmtId="0" fontId="36" fillId="3" borderId="7" xfId="0" applyFont="1" applyFill="1" applyBorder="1" applyAlignment="1">
      <alignment horizontal="left" vertical="center" wrapText="1" indent="2"/>
    </xf>
    <xf numFmtId="0" fontId="38" fillId="3" borderId="7" xfId="0" applyFont="1" applyFill="1" applyBorder="1" applyAlignment="1">
      <alignment horizontal="left" vertical="center" wrapText="1" indent="3"/>
    </xf>
    <xf numFmtId="0" fontId="38" fillId="3" borderId="7" xfId="0" applyFont="1" applyFill="1" applyBorder="1" applyAlignment="1">
      <alignment horizontal="left" vertical="center" wrapText="1" indent="6"/>
    </xf>
    <xf numFmtId="0" fontId="38" fillId="3" borderId="7" xfId="0" applyFont="1" applyFill="1" applyBorder="1" applyAlignment="1">
      <alignment horizontal="left" vertical="center" wrapText="1" indent="4"/>
    </xf>
    <xf numFmtId="0" fontId="37" fillId="3" borderId="7" xfId="0" applyFont="1" applyFill="1" applyBorder="1" applyAlignment="1">
      <alignment horizontal="center" vertical="center" wrapText="1"/>
    </xf>
    <xf numFmtId="0" fontId="38" fillId="0" borderId="7" xfId="0" applyFont="1" applyBorder="1" applyAlignment="1">
      <alignment horizontal="left" vertical="center" wrapText="1" indent="3"/>
    </xf>
    <xf numFmtId="164" fontId="37" fillId="0" borderId="7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vertical="center" wrapText="1"/>
    </xf>
    <xf numFmtId="0" fontId="19" fillId="0" borderId="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left" indent="1"/>
    </xf>
    <xf numFmtId="0" fontId="14" fillId="0" borderId="7" xfId="0" applyFont="1" applyBorder="1" applyAlignment="1">
      <alignment horizontal="left" vertical="center" wrapText="1" indent="1"/>
    </xf>
    <xf numFmtId="0" fontId="14" fillId="0" borderId="7" xfId="0" applyFont="1" applyBorder="1" applyAlignment="1">
      <alignment horizontal="left" vertical="center" indent="2"/>
    </xf>
    <xf numFmtId="0" fontId="19" fillId="0" borderId="7" xfId="0" applyFont="1" applyBorder="1" applyAlignment="1">
      <alignment horizontal="left"/>
    </xf>
    <xf numFmtId="0" fontId="19" fillId="0" borderId="7" xfId="0" applyFont="1" applyBorder="1" applyAlignment="1">
      <alignment horizontal="left" indent="1"/>
    </xf>
    <xf numFmtId="0" fontId="3" fillId="0" borderId="7" xfId="0" applyFont="1" applyBorder="1"/>
    <xf numFmtId="0" fontId="19" fillId="0" borderId="7" xfId="0" applyFont="1" applyBorder="1" applyAlignment="1">
      <alignment horizontal="center" vertical="center"/>
    </xf>
    <xf numFmtId="0" fontId="17" fillId="0" borderId="7" xfId="0" applyFont="1" applyBorder="1" applyAlignment="1">
      <alignment horizontal="left" vertical="center"/>
    </xf>
    <xf numFmtId="0" fontId="19" fillId="0" borderId="7" xfId="0" applyFont="1" applyBorder="1" applyAlignment="1">
      <alignment vertical="center"/>
    </xf>
    <xf numFmtId="0" fontId="40" fillId="0" borderId="7" xfId="0" applyFont="1" applyBorder="1" applyAlignment="1">
      <alignment horizontal="left" vertical="center"/>
    </xf>
    <xf numFmtId="0" fontId="19" fillId="0" borderId="7" xfId="0" applyFont="1" applyBorder="1" applyAlignment="1">
      <alignment horizontal="left" vertical="center" indent="1"/>
    </xf>
    <xf numFmtId="0" fontId="19" fillId="0" borderId="7" xfId="0" applyFont="1" applyBorder="1" applyAlignment="1">
      <alignment horizontal="left" vertical="center" indent="2"/>
    </xf>
    <xf numFmtId="0" fontId="20" fillId="0" borderId="7" xfId="0" applyFont="1" applyBorder="1" applyAlignment="1">
      <alignment horizontal="left" vertical="center" indent="4"/>
    </xf>
    <xf numFmtId="0" fontId="20" fillId="0" borderId="7" xfId="0" applyFont="1" applyBorder="1" applyAlignment="1">
      <alignment horizontal="left" vertical="center" indent="2"/>
    </xf>
    <xf numFmtId="0" fontId="20" fillId="0" borderId="7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 indent="1"/>
    </xf>
    <xf numFmtId="0" fontId="20" fillId="0" borderId="7" xfId="0" applyFont="1" applyBorder="1" applyAlignment="1">
      <alignment horizontal="left" vertical="center" indent="3"/>
    </xf>
    <xf numFmtId="0" fontId="17" fillId="0" borderId="7" xfId="0" applyFont="1" applyBorder="1" applyAlignment="1">
      <alignment horizontal="left" vertical="center" wrapText="1" indent="1"/>
    </xf>
    <xf numFmtId="0" fontId="14" fillId="0" borderId="7" xfId="0" applyFont="1" applyBorder="1" applyAlignment="1">
      <alignment horizontal="left" vertical="center" indent="6"/>
    </xf>
    <xf numFmtId="0" fontId="19" fillId="0" borderId="7" xfId="0" applyFont="1" applyBorder="1" applyAlignment="1">
      <alignment horizontal="left" vertical="center" wrapText="1" indent="1"/>
    </xf>
    <xf numFmtId="0" fontId="20" fillId="0" borderId="7" xfId="0" applyFont="1" applyBorder="1" applyAlignment="1">
      <alignment horizontal="left" vertical="center" wrapText="1" indent="6"/>
    </xf>
    <xf numFmtId="0" fontId="17" fillId="0" borderId="7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left" wrapText="1" indent="1"/>
    </xf>
    <xf numFmtId="0" fontId="19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9" fillId="0" borderId="7" xfId="0" applyFont="1" applyBorder="1" applyAlignment="1">
      <alignment vertical="center" wrapText="1"/>
    </xf>
    <xf numFmtId="0" fontId="20" fillId="0" borderId="7" xfId="0" applyFont="1" applyBorder="1" applyAlignment="1">
      <alignment vertical="center"/>
    </xf>
    <xf numFmtId="0" fontId="19" fillId="0" borderId="7" xfId="0" applyFont="1" applyBorder="1" applyAlignment="1">
      <alignment horizontal="left" vertical="center" indent="3"/>
    </xf>
    <xf numFmtId="0" fontId="20" fillId="0" borderId="7" xfId="0" applyFont="1" applyBorder="1" applyAlignment="1">
      <alignment horizontal="left" vertical="center" indent="5"/>
    </xf>
    <xf numFmtId="0" fontId="19" fillId="0" borderId="7" xfId="0" applyFont="1" applyBorder="1" applyAlignment="1">
      <alignment horizontal="left" vertical="center" wrapText="1" indent="3"/>
    </xf>
    <xf numFmtId="2" fontId="41" fillId="0" borderId="7" xfId="0" applyNumberFormat="1" applyFont="1" applyBorder="1" applyAlignment="1">
      <alignment horizontal="right" vertical="center"/>
    </xf>
    <xf numFmtId="2" fontId="42" fillId="0" borderId="7" xfId="0" applyNumberFormat="1" applyFont="1" applyBorder="1" applyAlignment="1">
      <alignment horizontal="right" vertical="center"/>
    </xf>
    <xf numFmtId="0" fontId="20" fillId="0" borderId="7" xfId="0" applyFont="1" applyBorder="1" applyAlignment="1">
      <alignment horizontal="left" vertical="center" wrapText="1" indent="7"/>
    </xf>
    <xf numFmtId="0" fontId="19" fillId="0" borderId="7" xfId="0" applyFont="1" applyBorder="1" applyAlignment="1">
      <alignment horizontal="left" indent="3"/>
    </xf>
    <xf numFmtId="0" fontId="17" fillId="0" borderId="7" xfId="0" applyFont="1" applyBorder="1" applyAlignment="1">
      <alignment horizontal="left" vertical="center" wrapText="1" indent="3"/>
    </xf>
    <xf numFmtId="0" fontId="43" fillId="0" borderId="7" xfId="0" applyFont="1" applyBorder="1"/>
    <xf numFmtId="0" fontId="17" fillId="0" borderId="7" xfId="0" applyFont="1" applyBorder="1" applyAlignment="1">
      <alignment wrapText="1"/>
    </xf>
    <xf numFmtId="0" fontId="14" fillId="0" borderId="7" xfId="0" applyFont="1" applyBorder="1"/>
    <xf numFmtId="0" fontId="7" fillId="0" borderId="0" xfId="0" applyFont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4" fontId="4" fillId="0" borderId="0" xfId="0" applyNumberFormat="1" applyFont="1" applyAlignment="1">
      <alignment horizontal="right"/>
    </xf>
    <xf numFmtId="4" fontId="12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165" fontId="7" fillId="0" borderId="0" xfId="0" applyNumberFormat="1" applyFont="1" applyAlignment="1">
      <alignment horizontal="right" vertical="center" wrapText="1"/>
    </xf>
    <xf numFmtId="0" fontId="0" fillId="0" borderId="7" xfId="0" applyBorder="1"/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0" fontId="0" fillId="0" borderId="10" xfId="0" applyBorder="1"/>
    <xf numFmtId="0" fontId="2" fillId="0" borderId="8" xfId="0" applyFont="1" applyBorder="1" applyAlignment="1">
      <alignment horizontal="left" vertical="center"/>
    </xf>
    <xf numFmtId="0" fontId="0" fillId="0" borderId="8" xfId="0" applyBorder="1" applyAlignment="1">
      <alignment horizontal="left"/>
    </xf>
    <xf numFmtId="0" fontId="4" fillId="0" borderId="3" xfId="0" applyFont="1" applyBorder="1" applyAlignment="1">
      <alignment horizontal="left" vertical="center" wrapText="1" indent="1"/>
    </xf>
    <xf numFmtId="0" fontId="5" fillId="0" borderId="5" xfId="0" applyFont="1" applyBorder="1" applyAlignment="1">
      <alignment horizontal="left" vertical="center" wrapText="1" indent="1"/>
    </xf>
    <xf numFmtId="0" fontId="6" fillId="0" borderId="5" xfId="0" applyFont="1" applyBorder="1" applyAlignment="1">
      <alignment horizontal="left" vertical="center" wrapText="1" indent="4"/>
    </xf>
    <xf numFmtId="0" fontId="3" fillId="0" borderId="5" xfId="0" applyFont="1" applyBorder="1" applyAlignment="1">
      <alignment horizontal="left" wrapText="1" indent="1"/>
    </xf>
    <xf numFmtId="0" fontId="2" fillId="0" borderId="5" xfId="0" applyFont="1" applyBorder="1" applyAlignment="1">
      <alignment horizontal="left" vertical="center" wrapText="1" indent="2"/>
    </xf>
    <xf numFmtId="0" fontId="2" fillId="0" borderId="5" xfId="0" applyFont="1" applyBorder="1" applyAlignment="1">
      <alignment horizontal="left" wrapText="1" indent="4"/>
    </xf>
    <xf numFmtId="0" fontId="7" fillId="0" borderId="5" xfId="0" applyFont="1" applyBorder="1" applyAlignment="1">
      <alignment horizontal="left" vertical="center" wrapText="1" indent="1"/>
    </xf>
    <xf numFmtId="0" fontId="6" fillId="0" borderId="5" xfId="0" applyFont="1" applyBorder="1" applyAlignment="1">
      <alignment horizontal="left" vertical="center" wrapText="1" indent="2"/>
    </xf>
    <xf numFmtId="0" fontId="2" fillId="0" borderId="5" xfId="0" applyFont="1" applyBorder="1" applyAlignment="1">
      <alignment horizontal="left" wrapText="1" indent="2"/>
    </xf>
    <xf numFmtId="0" fontId="8" fillId="0" borderId="5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left" wrapText="1" indent="1"/>
    </xf>
    <xf numFmtId="0" fontId="1" fillId="0" borderId="5" xfId="0" applyFont="1" applyBorder="1" applyAlignment="1">
      <alignment horizontal="left" wrapText="1" indent="4"/>
    </xf>
    <xf numFmtId="0" fontId="6" fillId="2" borderId="5" xfId="0" applyFont="1" applyFill="1" applyBorder="1" applyAlignment="1">
      <alignment horizontal="left" wrapText="1" indent="2"/>
    </xf>
    <xf numFmtId="0" fontId="1" fillId="0" borderId="5" xfId="0" applyFont="1" applyBorder="1" applyAlignment="1">
      <alignment horizontal="left" wrapText="1" indent="2"/>
    </xf>
    <xf numFmtId="0" fontId="13" fillId="7" borderId="7" xfId="0" applyFont="1" applyFill="1" applyBorder="1" applyAlignment="1">
      <alignment horizontal="left" vertical="center" wrapText="1" indent="1"/>
    </xf>
    <xf numFmtId="0" fontId="13" fillId="7" borderId="7" xfId="0" applyFont="1" applyFill="1" applyBorder="1" applyAlignment="1">
      <alignment horizontal="left" vertical="center" wrapText="1"/>
    </xf>
    <xf numFmtId="0" fontId="13" fillId="7" borderId="7" xfId="0" quotePrefix="1" applyFont="1" applyFill="1" applyBorder="1" applyAlignment="1">
      <alignment horizontal="left" vertical="center" wrapText="1"/>
    </xf>
    <xf numFmtId="0" fontId="13" fillId="6" borderId="7" xfId="0" applyFont="1" applyFill="1" applyBorder="1" applyAlignment="1">
      <alignment horizontal="left" vertical="center" wrapText="1"/>
    </xf>
    <xf numFmtId="0" fontId="13" fillId="5" borderId="7" xfId="0" applyFont="1" applyFill="1" applyBorder="1" applyAlignment="1">
      <alignment horizontal="left" vertical="center" wrapText="1"/>
    </xf>
    <xf numFmtId="0" fontId="13" fillId="7" borderId="7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13" fillId="6" borderId="2" xfId="0" applyFont="1" applyFill="1" applyBorder="1" applyAlignment="1">
      <alignment horizontal="left" vertical="center" wrapText="1"/>
    </xf>
    <xf numFmtId="0" fontId="13" fillId="5" borderId="2" xfId="0" applyFont="1" applyFill="1" applyBorder="1" applyAlignment="1">
      <alignment horizontal="left" vertical="center" wrapText="1"/>
    </xf>
    <xf numFmtId="0" fontId="13" fillId="7" borderId="2" xfId="0" applyFont="1" applyFill="1" applyBorder="1" applyAlignment="1">
      <alignment horizontal="left" wrapText="1"/>
    </xf>
    <xf numFmtId="49" fontId="0" fillId="0" borderId="0" xfId="0" applyNumberFormat="1"/>
    <xf numFmtId="0" fontId="13" fillId="0" borderId="7" xfId="0" applyFont="1" applyBorder="1" applyAlignment="1">
      <alignment horizontal="left" vertical="center" wrapText="1" indent="1"/>
    </xf>
    <xf numFmtId="0" fontId="13" fillId="0" borderId="7" xfId="0" applyFont="1" applyBorder="1" applyAlignment="1">
      <alignment horizontal="left" wrapText="1"/>
    </xf>
    <xf numFmtId="0" fontId="45" fillId="0" borderId="2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47" fillId="0" borderId="0" xfId="0" applyFont="1"/>
    <xf numFmtId="0" fontId="47" fillId="0" borderId="0" xfId="0" applyFont="1" applyAlignment="1">
      <alignment horizontal="left" vertical="center" wrapText="1"/>
    </xf>
    <xf numFmtId="9" fontId="0" fillId="0" borderId="0" xfId="0" applyNumberFormat="1"/>
    <xf numFmtId="2" fontId="0" fillId="0" borderId="0" xfId="0" applyNumberFormat="1"/>
    <xf numFmtId="2" fontId="0" fillId="5" borderId="0" xfId="0" applyNumberFormat="1" applyFill="1"/>
    <xf numFmtId="10" fontId="0" fillId="0" borderId="0" xfId="0" applyNumberFormat="1"/>
    <xf numFmtId="0" fontId="19" fillId="0" borderId="7" xfId="0" applyFont="1" applyBorder="1" applyAlignment="1">
      <alignment horizontal="left" vertical="center" wrapText="1" indent="2"/>
    </xf>
    <xf numFmtId="0" fontId="20" fillId="0" borderId="7" xfId="0" applyFont="1" applyBorder="1" applyAlignment="1">
      <alignment horizontal="left" vertical="center" wrapText="1" indent="4"/>
    </xf>
    <xf numFmtId="0" fontId="0" fillId="0" borderId="2" xfId="0" applyBorder="1"/>
    <xf numFmtId="0" fontId="14" fillId="0" borderId="7" xfId="0" applyFont="1" applyBorder="1" applyAlignment="1">
      <alignment horizontal="left" vertical="center" wrapText="1" indent="6"/>
    </xf>
    <xf numFmtId="0" fontId="20" fillId="0" borderId="7" xfId="0" applyFont="1" applyBorder="1" applyAlignment="1">
      <alignment horizontal="left" vertical="center" wrapText="1" indent="3"/>
    </xf>
    <xf numFmtId="0" fontId="0" fillId="0" borderId="5" xfId="0" applyBorder="1"/>
    <xf numFmtId="0" fontId="17" fillId="0" borderId="7" xfId="0" applyFont="1" applyBorder="1" applyAlignment="1">
      <alignment horizontal="center" vertical="center"/>
    </xf>
    <xf numFmtId="0" fontId="0" fillId="0" borderId="12" xfId="0" applyBorder="1"/>
    <xf numFmtId="0" fontId="17" fillId="0" borderId="7" xfId="0" applyFont="1" applyBorder="1" applyAlignment="1">
      <alignment horizontal="left" vertical="center" wrapText="1" indent="2"/>
    </xf>
    <xf numFmtId="0" fontId="0" fillId="0" borderId="0" xfId="0"/>
    <xf numFmtId="0" fontId="0" fillId="0" borderId="11" xfId="0" applyBorder="1"/>
    <xf numFmtId="0" fontId="3" fillId="0" borderId="5" xfId="0" applyFont="1" applyBorder="1" applyAlignment="1">
      <alignment horizontal="left" vertical="center" wrapText="1" indent="1"/>
    </xf>
    <xf numFmtId="49" fontId="3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 indent="4"/>
    </xf>
    <xf numFmtId="49" fontId="1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 indent="1"/>
    </xf>
    <xf numFmtId="49" fontId="2" fillId="0" borderId="5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/>
    </xf>
    <xf numFmtId="0" fontId="0" fillId="0" borderId="5" xfId="0" applyBorder="1"/>
    <xf numFmtId="0" fontId="0" fillId="0" borderId="2" xfId="0" applyBorder="1"/>
    <xf numFmtId="0" fontId="20" fillId="0" borderId="7" xfId="0" applyFont="1" applyBorder="1" applyAlignment="1">
      <alignment horizontal="left" vertical="center" wrapText="1" indent="3"/>
    </xf>
    <xf numFmtId="0" fontId="0" fillId="0" borderId="14" xfId="0" applyBorder="1"/>
    <xf numFmtId="0" fontId="27" fillId="3" borderId="7" xfId="0" applyFont="1" applyFill="1" applyBorder="1" applyAlignment="1">
      <alignment horizontal="left" vertical="center" wrapText="1" indent="3"/>
    </xf>
    <xf numFmtId="0" fontId="4" fillId="0" borderId="1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 indent="7"/>
    </xf>
    <xf numFmtId="0" fontId="19" fillId="0" borderId="7" xfId="0" applyFont="1" applyBorder="1" applyAlignment="1">
      <alignment horizontal="left" vertical="center" wrapText="1" indent="2"/>
    </xf>
    <xf numFmtId="0" fontId="17" fillId="0" borderId="7" xfId="0" applyFont="1" applyBorder="1" applyAlignment="1">
      <alignment horizontal="center" vertical="center"/>
    </xf>
    <xf numFmtId="0" fontId="0" fillId="0" borderId="12" xfId="0" applyBorder="1"/>
    <xf numFmtId="0" fontId="17" fillId="0" borderId="7" xfId="0" applyFont="1" applyBorder="1" applyAlignment="1">
      <alignment horizontal="left" vertical="center" wrapText="1" indent="2"/>
    </xf>
    <xf numFmtId="0" fontId="20" fillId="0" borderId="7" xfId="0" applyFont="1" applyBorder="1" applyAlignment="1">
      <alignment horizontal="left" vertical="center" wrapText="1" indent="4"/>
    </xf>
    <xf numFmtId="0" fontId="14" fillId="0" borderId="7" xfId="0" applyFont="1" applyBorder="1" applyAlignment="1">
      <alignment horizontal="left" vertical="center" wrapText="1" indent="5"/>
    </xf>
    <xf numFmtId="0" fontId="4" fillId="0" borderId="15" xfId="0" applyFont="1" applyBorder="1" applyAlignment="1">
      <alignment horizontal="left" vertical="center" wrapText="1"/>
    </xf>
    <xf numFmtId="0" fontId="0" fillId="0" borderId="16" xfId="0" applyBorder="1"/>
    <xf numFmtId="0" fontId="26" fillId="0" borderId="7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center" vertical="center" wrapText="1"/>
    </xf>
    <xf numFmtId="0" fontId="0" fillId="0" borderId="13" xfId="0" applyBorder="1"/>
    <xf numFmtId="0" fontId="0" fillId="0" borderId="9" xfId="0" applyBorder="1"/>
    <xf numFmtId="0" fontId="17" fillId="0" borderId="7" xfId="0" applyFont="1" applyBorder="1" applyAlignment="1">
      <alignment horizontal="left" vertical="center" indent="3"/>
    </xf>
    <xf numFmtId="0" fontId="14" fillId="0" borderId="7" xfId="0" applyFont="1" applyBorder="1" applyAlignment="1">
      <alignment horizontal="left" vertical="center" wrapText="1" indent="6"/>
    </xf>
    <xf numFmtId="0" fontId="37" fillId="3" borderId="7" xfId="0" applyFont="1" applyFill="1" applyBorder="1" applyAlignment="1">
      <alignment horizontal="left" vertical="center" wrapText="1" indent="1"/>
    </xf>
    <xf numFmtId="0" fontId="20" fillId="0" borderId="7" xfId="0" applyFont="1" applyBorder="1" applyAlignment="1">
      <alignment horizontal="left" vertical="center" wrapText="1" indent="5"/>
    </xf>
    <xf numFmtId="0" fontId="46" fillId="0" borderId="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/>
    <xf numFmtId="0" fontId="19" fillId="0" borderId="1" xfId="0" applyFont="1" applyBorder="1" applyAlignment="1">
      <alignment horizontal="center" vertical="center" wrapText="1"/>
    </xf>
    <xf numFmtId="0" fontId="46" fillId="0" borderId="17" xfId="0" applyFont="1" applyBorder="1" applyAlignment="1">
      <alignment horizontal="center" vertical="center" wrapText="1"/>
    </xf>
    <xf numFmtId="0" fontId="0" fillId="0" borderId="18" xfId="0" applyBorder="1"/>
    <xf numFmtId="0" fontId="0" fillId="0" borderId="19" xfId="0" applyBorder="1"/>
    <xf numFmtId="0" fontId="0" fillId="0" borderId="11" xfId="0" applyBorder="1"/>
    <xf numFmtId="49" fontId="1" fillId="0" borderId="5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 indent="1"/>
    </xf>
    <xf numFmtId="0" fontId="1" fillId="0" borderId="5" xfId="0" applyFont="1" applyBorder="1" applyAlignment="1">
      <alignment horizontal="left" vertical="center" wrapText="1" indent="2"/>
    </xf>
    <xf numFmtId="49" fontId="2" fillId="0" borderId="5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4"/>
    </xf>
    <xf numFmtId="0" fontId="1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 indent="1"/>
    </xf>
    <xf numFmtId="0" fontId="0" fillId="0" borderId="6" xfId="0" applyBorder="1"/>
    <xf numFmtId="0" fontId="1" fillId="0" borderId="6" xfId="0" applyFont="1" applyBorder="1" applyAlignment="1">
      <alignment horizontal="left" vertical="center" wrapText="1" indent="2"/>
    </xf>
    <xf numFmtId="4" fontId="4" fillId="8" borderId="0" xfId="0" applyNumberFormat="1" applyFont="1" applyFill="1" applyAlignment="1">
      <alignment horizontal="right"/>
    </xf>
  </cellXfs>
  <cellStyles count="1">
    <cellStyle name="Обычный" xfId="0" builtinId="0"/>
  </cellStyles>
  <dxfs count="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</font>
      <numFmt numFmtId="166" formatCode="\-"/>
    </dxf>
    <dxf>
      <font>
        <color rgb="FF00B050"/>
      </font>
      <fill>
        <patternFill>
          <bgColor auto="1"/>
        </patternFill>
      </fill>
    </dxf>
    <dxf>
      <font>
        <color rgb="FFC00000"/>
      </font>
    </dxf>
  </dxfs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RP\816\816_4_3\2.%20&#1046;&#1059;&#1042;%20&#1080;%20&#1055;&#1055;\03%20&#1052;&#1072;&#1090;%20&#1073;&#1072;&#1083;&#1072;&#1085;&#1089;%20(&#1082;&#1086;&#1088;%20&#1080;%20&#1090;&#1088;&#1077;&#1093;&#1083;&#1077;&#1090;&#1082;&#1072;)\2025-2027\16%202025-2027%20&#1088;&#1077;&#1072;&#1083;&#1080;&#1079;&#1072;&#1094;&#1080;&#1103;\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o203-1\&#1086;&#1073;&#1084;&#1077;&#1085;%20&#1076;&#1083;&#1103;%20&#1095;&#1086;&#1093;&#1077;&#1083;&#1080;\&#1069;&#1082;&#1086;&#1085;&#1086;&#1084;&#1080;&#1082;&#1072;\&#1055;&#1077;&#1089;&#1094;&#1086;&#1074;&#1086;&#1077;\&#1057;&#1054;&#1043;\2005\&#1057;&#1054;&#1043;-&#1101;&#1092;&#1092;%201&#1081;%20&#1074;&#1072;&#1088;&#1080;&#1072;&#1085;&#1090;%20&#1089;&#1077;&#1085;&#1090;20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2008"/>
      <sheetName val="#ССЫЛКА"/>
      <sheetName val="Tables2003"/>
      <sheetName val="База"/>
      <sheetName val="Январь-февраль"/>
      <sheetName val="Балансы НП 2003"/>
      <sheetName val="Факсограммы"/>
      <sheetName val="Товарный баланс"/>
      <sheetName val="Товарныйбаланс"/>
      <sheetName val="баланс"/>
      <sheetName val="месяц квартал"/>
      <sheetName val="Распределение"/>
      <sheetName val="Ресурсы"/>
      <sheetName val="НП"/>
      <sheetName val="Поступление"/>
      <sheetName val="Транзит"/>
      <sheetName val="Correlation"/>
      <sheetName val="Bloomberg Extract (2)"/>
      <sheetName val="urea &amp; oil"/>
      <sheetName val="DAP Price Forecasts"/>
      <sheetName val="Forecasts"/>
      <sheetName val="Fertiliser Prices"/>
      <sheetName val="Consumption by Nutrient"/>
      <sheetName val="Monthly Correlation"/>
    </sheetNames>
    <sheetDataSet>
      <sheetData sheetId="0" refreshError="1"/>
      <sheetData sheetId="1" refreshError="1">
        <row r="1">
          <cell r="A1" t="str">
            <v>Баланс газа ООО "Ямбурггаздобыча"</v>
          </cell>
        </row>
        <row r="3">
          <cell r="I3">
            <v>0</v>
          </cell>
        </row>
        <row r="4">
          <cell r="E4" t="str">
            <v>2008г.</v>
          </cell>
          <cell r="F4" t="str">
            <v>I кв.</v>
          </cell>
          <cell r="G4" t="str">
            <v>II кв.</v>
          </cell>
          <cell r="H4" t="str">
            <v>III кв.</v>
          </cell>
          <cell r="I4" t="str">
            <v>IV кв.</v>
          </cell>
        </row>
        <row r="5">
          <cell r="A5" t="str">
            <v>Добыча газа</v>
          </cell>
        </row>
        <row r="6">
          <cell r="A6" t="str">
            <v xml:space="preserve">                из газоконденсатных скважин</v>
          </cell>
        </row>
        <row r="7">
          <cell r="A7" t="str">
            <v xml:space="preserve">                Заполярное месторождение</v>
          </cell>
        </row>
        <row r="8">
          <cell r="A8" t="str">
            <v>СН промыслов Ямбурггаздобычи</v>
          </cell>
        </row>
        <row r="9">
          <cell r="A9" t="str">
            <v xml:space="preserve">                в т.ч. ЗГНКМ и Тазовский УДГ</v>
          </cell>
        </row>
        <row r="10">
          <cell r="A10" t="str">
            <v>Товарный газ</v>
          </cell>
        </row>
        <row r="11">
          <cell r="A11" t="str">
            <v xml:space="preserve">     Потребители Ямбурггаздобычи</v>
          </cell>
        </row>
        <row r="12">
          <cell r="A12" t="str">
            <v>Распределение газа</v>
          </cell>
        </row>
        <row r="13">
          <cell r="A13" t="str">
            <v xml:space="preserve">         ЗАО "Северрегионгаз" (потребителям)</v>
          </cell>
        </row>
        <row r="14">
          <cell r="A14" t="str">
            <v>в т.ч. для ООО "Газпромэнерго"</v>
          </cell>
        </row>
        <row r="15">
          <cell r="A15" t="str">
            <v xml:space="preserve">       Подача в магистральные газопроводы</v>
          </cell>
        </row>
        <row r="16">
          <cell r="A16" t="str">
            <v xml:space="preserve">                               в т.ч. ООО "Сургутгазпром"</v>
          </cell>
        </row>
        <row r="17">
          <cell r="A17" t="str">
            <v xml:space="preserve">                        газ сухой отбензиненный</v>
          </cell>
        </row>
        <row r="18">
          <cell r="A18" t="str">
            <v xml:space="preserve">             газ ОАО "Газпром"</v>
          </cell>
        </row>
        <row r="19">
          <cell r="A19" t="str">
            <v xml:space="preserve">                        газ сухой отбензиненный</v>
          </cell>
        </row>
        <row r="23">
          <cell r="A23" t="str">
            <v>Заместитель Председателя Правления ОАО "Газпром" -</v>
          </cell>
        </row>
        <row r="24">
          <cell r="A24" t="str">
            <v>начальник  Финансово-экономического департамента                                                                       А.В. Круглов</v>
          </cell>
        </row>
        <row r="28">
          <cell r="A28" t="str">
            <v>Баланс газа ООО "Уренгойгазпром"</v>
          </cell>
        </row>
        <row r="30">
          <cell r="I30" t="str">
            <v>млн. куб. м</v>
          </cell>
        </row>
        <row r="31">
          <cell r="E31" t="str">
            <v>2008г.</v>
          </cell>
          <cell r="F31" t="str">
            <v>I кв.</v>
          </cell>
          <cell r="G31" t="str">
            <v>II кв.</v>
          </cell>
          <cell r="H31" t="str">
            <v>III кв.</v>
          </cell>
          <cell r="I31" t="str">
            <v>IV кв.</v>
          </cell>
        </row>
        <row r="32">
          <cell r="A32" t="str">
            <v>Ресурсы - всего</v>
          </cell>
        </row>
        <row r="33">
          <cell r="A33" t="str">
            <v xml:space="preserve">       Добыча газа</v>
          </cell>
        </row>
        <row r="34">
          <cell r="A34" t="str">
            <v xml:space="preserve">                     из газоконденсатных скважин</v>
          </cell>
        </row>
        <row r="35">
          <cell r="A35" t="str">
            <v xml:space="preserve">                     попутный нефтяной газ</v>
          </cell>
        </row>
        <row r="36">
          <cell r="A36" t="str">
            <v xml:space="preserve">       Газ деэтанизации конденсата</v>
          </cell>
        </row>
        <row r="37">
          <cell r="A37" t="str">
            <v>СТН Уренгойгазпрома - всего</v>
          </cell>
        </row>
        <row r="38">
          <cell r="A38" t="str">
            <v xml:space="preserve">                   СТН нужды промыслов</v>
          </cell>
        </row>
        <row r="39">
          <cell r="A39" t="str">
            <v xml:space="preserve">                             в т.ч. попутный нефтяной газ</v>
          </cell>
        </row>
        <row r="40">
          <cell r="A40" t="str">
            <v xml:space="preserve">                   СТН ЗПГК (газ деэтанизации конденсата)</v>
          </cell>
        </row>
        <row r="41">
          <cell r="A41" t="str">
            <v>Товарный газ</v>
          </cell>
        </row>
        <row r="42">
          <cell r="A42" t="str">
            <v xml:space="preserve">         Потребители газа ООО "Уренгойгазпром"</v>
          </cell>
        </row>
        <row r="43">
          <cell r="A43" t="str">
            <v xml:space="preserve">                       ЗАО "Северрегионгаз"</v>
          </cell>
        </row>
        <row r="44">
          <cell r="A44" t="str">
            <v xml:space="preserve">                       Прочие</v>
          </cell>
        </row>
        <row r="45">
          <cell r="A45" t="str">
            <v>СПРАВОЧНО:</v>
          </cell>
        </row>
        <row r="46">
          <cell r="A46" t="str">
            <v xml:space="preserve">         кр.т. газ ЗАО "Роспан Интернешнл"</v>
          </cell>
        </row>
        <row r="47">
          <cell r="A47" t="str">
            <v>Распределение газа</v>
          </cell>
        </row>
        <row r="48">
          <cell r="A48" t="str">
            <v xml:space="preserve">       Подача в Тюментрансгаз</v>
          </cell>
        </row>
        <row r="49">
          <cell r="A49" t="str">
            <v xml:space="preserve">             газ ОАО "Газпром"</v>
          </cell>
        </row>
        <row r="50">
          <cell r="A50" t="str">
            <v xml:space="preserve">                                 сухой отбензиненный</v>
          </cell>
        </row>
        <row r="51">
          <cell r="A51" t="str">
            <v xml:space="preserve">                                 газ деэтанизации конденсата</v>
          </cell>
        </row>
        <row r="52">
          <cell r="A52" t="str">
            <v xml:space="preserve">                                 попутный нефтяной газ</v>
          </cell>
        </row>
        <row r="53">
          <cell r="A53" t="str">
            <v xml:space="preserve">                                  кр. т. газ от ООО "Ноябрьскгаздобычи"</v>
          </cell>
        </row>
        <row r="55">
          <cell r="A55" t="str">
            <v xml:space="preserve">                 кр.т. газ ЗАО "Роспан Интернешнл" (справочно)</v>
          </cell>
        </row>
        <row r="58">
          <cell r="A58" t="str">
            <v>Заместитель Председателя Правления ОАО "Газпром" -</v>
          </cell>
        </row>
        <row r="59">
          <cell r="A59" t="str">
            <v>начальник  Финансово-экономического департамента                                                                       А.В. Круглов</v>
          </cell>
        </row>
        <row r="61">
          <cell r="A61" t="str">
            <v>Баланс газа ООО "Надымгазпром"</v>
          </cell>
        </row>
        <row r="63">
          <cell r="I63">
            <v>0</v>
          </cell>
        </row>
        <row r="64">
          <cell r="E64" t="str">
            <v>2008г.</v>
          </cell>
          <cell r="F64" t="str">
            <v>I кв.</v>
          </cell>
          <cell r="G64" t="str">
            <v>II кв.</v>
          </cell>
          <cell r="H64" t="str">
            <v>III кв.</v>
          </cell>
          <cell r="I64" t="str">
            <v>IV кв.</v>
          </cell>
        </row>
        <row r="65">
          <cell r="A65" t="str">
            <v>Добыча газа</v>
          </cell>
        </row>
        <row r="66">
          <cell r="A66" t="str">
            <v xml:space="preserve">      СН промыслов Надымгазпрома</v>
          </cell>
        </row>
        <row r="67">
          <cell r="A67" t="str">
            <v>Товарный газ</v>
          </cell>
        </row>
        <row r="68">
          <cell r="A68" t="str">
            <v xml:space="preserve">      Потребители Надымгазпрома</v>
          </cell>
        </row>
        <row r="69">
          <cell r="A69" t="str">
            <v>в т.ч. для ООО "Газпромэнерго" (ч/з ЗАО "СеверРГ")</v>
          </cell>
        </row>
        <row r="70">
          <cell r="A70" t="str">
            <v>Распределение газа</v>
          </cell>
        </row>
        <row r="71">
          <cell r="A71" t="str">
            <v xml:space="preserve">    Подача в Тюментрансгаз</v>
          </cell>
        </row>
        <row r="72">
          <cell r="A72" t="str">
            <v xml:space="preserve">           газ ОАО "Газпром"</v>
          </cell>
        </row>
        <row r="77">
          <cell r="A77" t="str">
            <v>Заместитель Председателя Правления ОАО "Газпром" -</v>
          </cell>
        </row>
        <row r="78">
          <cell r="A78" t="str">
            <v>начальник  Финансово-экономического департамента                                                                       А.В. Круглов</v>
          </cell>
        </row>
        <row r="80">
          <cell r="A80" t="str">
            <v>Баланс газа ООО "Тюментрансгаз"</v>
          </cell>
        </row>
        <row r="82">
          <cell r="I82">
            <v>0</v>
          </cell>
        </row>
        <row r="83">
          <cell r="E83" t="str">
            <v>2008г.</v>
          </cell>
          <cell r="F83" t="str">
            <v>I кв.</v>
          </cell>
          <cell r="G83" t="str">
            <v>II кв.</v>
          </cell>
          <cell r="H83" t="str">
            <v>III кв.</v>
          </cell>
          <cell r="I83" t="str">
            <v>IV кв.</v>
          </cell>
        </row>
        <row r="84">
          <cell r="A84" t="str">
            <v>Добыча газа</v>
          </cell>
        </row>
        <row r="85">
          <cell r="A85" t="str">
            <v xml:space="preserve">      СН промыслов</v>
          </cell>
        </row>
        <row r="86">
          <cell r="A86" t="str">
            <v>Товарный газ</v>
          </cell>
        </row>
        <row r="87">
          <cell r="A87" t="str">
            <v xml:space="preserve">      Потребителям промыслов</v>
          </cell>
        </row>
        <row r="88">
          <cell r="A88" t="str">
            <v>Подача газа в магистральный газопровод</v>
          </cell>
        </row>
        <row r="91">
          <cell r="A91" t="str">
            <v>Заместитель Председателя Правления ОАО "Газпром" -</v>
          </cell>
        </row>
        <row r="92">
          <cell r="A92" t="str">
            <v>начальник  Финансово-экономического департамента                                                                       А.В. Круглов</v>
          </cell>
        </row>
        <row r="95">
          <cell r="A95" t="str">
            <v>Баланс газа ООО "Ноябрьскгаздобыча"</v>
          </cell>
        </row>
        <row r="97">
          <cell r="I97">
            <v>0</v>
          </cell>
        </row>
        <row r="98">
          <cell r="E98" t="str">
            <v>2008г.</v>
          </cell>
          <cell r="F98" t="str">
            <v>I кв.</v>
          </cell>
          <cell r="G98" t="str">
            <v>II кв.</v>
          </cell>
          <cell r="H98" t="str">
            <v>III кв.</v>
          </cell>
          <cell r="I98" t="str">
            <v>IV кв.</v>
          </cell>
        </row>
        <row r="99">
          <cell r="A99" t="str">
            <v>Добыча газа</v>
          </cell>
        </row>
        <row r="100">
          <cell r="A100" t="str">
            <v xml:space="preserve">             кр.т. покупка газа у ООО "Янгпур"</v>
          </cell>
        </row>
        <row r="101">
          <cell r="A101" t="str">
            <v xml:space="preserve">      СН промыслов Ноябрьскгаздобычи</v>
          </cell>
        </row>
        <row r="102">
          <cell r="A102" t="str">
            <v>Товарный газ</v>
          </cell>
        </row>
        <row r="103">
          <cell r="A103" t="str">
            <v>Распределение газа</v>
          </cell>
        </row>
        <row r="104">
          <cell r="A104" t="str">
            <v xml:space="preserve">   Подача в магистральный газопровод</v>
          </cell>
        </row>
        <row r="105">
          <cell r="A105" t="str">
            <v xml:space="preserve">                        в т.ч. для подачи ч/з УренгойГП в ТюменТГ</v>
          </cell>
        </row>
        <row r="106">
          <cell r="A106" t="str">
            <v xml:space="preserve">       газ ОАО "Газпром"</v>
          </cell>
        </row>
        <row r="107">
          <cell r="A107" t="str">
            <v xml:space="preserve">       газ ОАО "НОВАТЭК"</v>
          </cell>
        </row>
        <row r="108">
          <cell r="A108" t="str">
            <v xml:space="preserve">       газ ООО "Ноябрьскгаздобыча"</v>
          </cell>
        </row>
        <row r="109">
          <cell r="A109" t="str">
            <v xml:space="preserve">               - собственное потребление в г. Ноябрьске</v>
          </cell>
        </row>
        <row r="110">
          <cell r="A110" t="str">
            <v xml:space="preserve">               - собств. пост-ка. потреб-ям в г. Ноябрьске</v>
          </cell>
        </row>
        <row r="111">
          <cell r="A111" t="str">
            <v xml:space="preserve">         кр.т. газ ООО "Межрегионгаз" (газ ООО "Янгпур")</v>
          </cell>
        </row>
        <row r="114">
          <cell r="A114" t="str">
            <v>Заместитель Председателя Правления ОАО "Газпром" -</v>
          </cell>
        </row>
        <row r="115">
          <cell r="A115" t="str">
            <v>начальник  Финансово-экономического департамента                                                                       А.В. Круглов</v>
          </cell>
        </row>
        <row r="117">
          <cell r="A117" t="str">
            <v>Баланс газа ООО "Пургаздобыча"</v>
          </cell>
        </row>
        <row r="119">
          <cell r="I119">
            <v>0</v>
          </cell>
        </row>
        <row r="120">
          <cell r="E120" t="str">
            <v>2008г.</v>
          </cell>
          <cell r="F120" t="str">
            <v>I кв.</v>
          </cell>
          <cell r="G120" t="str">
            <v>II кв.</v>
          </cell>
          <cell r="H120" t="str">
            <v>III кв.</v>
          </cell>
          <cell r="I120" t="str">
            <v>IV кв.</v>
          </cell>
        </row>
        <row r="121">
          <cell r="A121" t="str">
            <v>Добыча газа</v>
          </cell>
        </row>
        <row r="122">
          <cell r="A122" t="str">
            <v xml:space="preserve">      СН промыслов</v>
          </cell>
        </row>
        <row r="123">
          <cell r="A123" t="str">
            <v>Товарный газ</v>
          </cell>
        </row>
        <row r="124">
          <cell r="A124" t="str">
            <v>Распределение газа</v>
          </cell>
        </row>
        <row r="125">
          <cell r="A125" t="str">
            <v xml:space="preserve">   Подача в Сургутгазпром</v>
          </cell>
        </row>
        <row r="126">
          <cell r="A126" t="str">
            <v xml:space="preserve">                        в т.ч. для подачи ч/з УренгойГП в ТюменТГ</v>
          </cell>
        </row>
        <row r="127">
          <cell r="A127" t="str">
            <v xml:space="preserve">       газ ОАО "Газпром"</v>
          </cell>
        </row>
        <row r="128">
          <cell r="A128" t="str">
            <v xml:space="preserve">            - для поставки внутри РФ</v>
          </cell>
        </row>
        <row r="129">
          <cell r="A129" t="str">
            <v xml:space="preserve">                         в т.ч. для продажи ОАО "НОВАТЭК"</v>
          </cell>
        </row>
        <row r="131">
          <cell r="A131" t="str">
            <v>Заместитель Председателя Правления ОАО "Газпром" -</v>
          </cell>
        </row>
        <row r="132">
          <cell r="A132" t="str">
            <v>начальник  Финансово-экономического департамента                                                                       А.В. Круглов</v>
          </cell>
        </row>
        <row r="134">
          <cell r="A134" t="str">
            <v>Баланс газа по ООО "Оренбурггазпром"</v>
          </cell>
        </row>
        <row r="136">
          <cell r="I136">
            <v>0</v>
          </cell>
        </row>
        <row r="137">
          <cell r="E137" t="str">
            <v>2008г.</v>
          </cell>
          <cell r="F137" t="str">
            <v>I кв.</v>
          </cell>
          <cell r="G137" t="str">
            <v>II кв.</v>
          </cell>
          <cell r="H137" t="str">
            <v>III кв.</v>
          </cell>
          <cell r="I137" t="str">
            <v>IV кв.</v>
          </cell>
        </row>
        <row r="138">
          <cell r="A138" t="str">
            <v>1. Сырой газа (поступление на переработку)</v>
          </cell>
        </row>
        <row r="139">
          <cell r="A139" t="str">
            <v xml:space="preserve">                  ООО "Оренбурггазпром" (собственная добыча)</v>
          </cell>
        </row>
        <row r="140">
          <cell r="A140" t="str">
            <v xml:space="preserve">                            в т.ч. из газоконденсатных скважин</v>
          </cell>
        </row>
        <row r="141">
          <cell r="A141" t="str">
            <v xml:space="preserve">                                     попутный нефтяной газ</v>
          </cell>
        </row>
        <row r="142">
          <cell r="A142" t="str">
            <v xml:space="preserve">                  ООО "Сервиснефтегаз"</v>
          </cell>
        </row>
        <row r="143">
          <cell r="A143" t="str">
            <v xml:space="preserve">                  ЗАО "Стимул"</v>
          </cell>
        </row>
        <row r="144">
          <cell r="A144" t="str">
            <v xml:space="preserve">                  ЗАО "Уралнефтегазпром"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ка_исх"/>
      <sheetName val="сводка2вар"/>
      <sheetName val="ССР-СОГ 1в"/>
      <sheetName val="ССР-СОГбезБЗ 1в"/>
      <sheetName val="ССР-СОГ 2в"/>
      <sheetName val="ССР-СОГбезБЗ 2в"/>
      <sheetName val="ССР-АВО"/>
      <sheetName val="Кал(по мес)"/>
      <sheetName val="КВдин"/>
      <sheetName val="ЕСН"/>
      <sheetName val="ИД"/>
      <sheetName val="ИД ОБЩ"/>
      <sheetName val="мат"/>
      <sheetName val="КВ,Ам"/>
      <sheetName val="издер"/>
      <sheetName val="поток"/>
      <sheetName val="поток1"/>
      <sheetName val="доход"/>
      <sheetName val="чуств"/>
      <sheetName val="КВпеч"/>
      <sheetName val="удель"/>
      <sheetName val="осн-пок"/>
      <sheetName val="осн-печ"/>
      <sheetName val="чуств зн 1в"/>
      <sheetName val="чуств зн 2в"/>
      <sheetName val="мат печ"/>
      <sheetName val="плата за природ"/>
      <sheetName val="природ 1в"/>
      <sheetName val="п5.Атмосф"/>
      <sheetName val="п6.Сброс"/>
      <sheetName val="п7. ПЭМ"/>
      <sheetName val="ПЭМ"/>
      <sheetName val="отходы"/>
      <sheetName val="КВ"/>
      <sheetName val="главы 1-7p"/>
      <sheetName val="Лист3"/>
      <sheetName val="Справочники"/>
      <sheetName val="СИ"/>
      <sheetName val="4.2.4 (предложения)"/>
      <sheetName val="ССР-СОГ_1в"/>
      <sheetName val="ССР-СОГбезБЗ_1в"/>
      <sheetName val="ССР-СОГ_2в"/>
      <sheetName val="ССР-СОГбезБЗ_2в"/>
      <sheetName val="Кал(по_мес)"/>
      <sheetName val="ИД_ОБЩ"/>
      <sheetName val="чуств_зн_1в"/>
      <sheetName val="чуств_зн_2в"/>
      <sheetName val="мат_печ"/>
      <sheetName val="плата_за_природ"/>
      <sheetName val="природ_1в"/>
      <sheetName val="п5_Атмосф"/>
      <sheetName val="п6_Сброс"/>
      <sheetName val="п7__ПЭМ"/>
      <sheetName val="главы_1-7p"/>
      <sheetName val="ССР-СОГ_1в1"/>
      <sheetName val="ССР-СОГбезБЗ_1в1"/>
      <sheetName val="ССР-СОГ_2в1"/>
      <sheetName val="ССР-СОГбезБЗ_2в1"/>
      <sheetName val="Кал(по_мес)1"/>
      <sheetName val="ИД_ОБЩ1"/>
      <sheetName val="чуств_зн_1в1"/>
      <sheetName val="чуств_зн_2в1"/>
      <sheetName val="мат_печ1"/>
      <sheetName val="плата_за_природ1"/>
      <sheetName val="природ_1в1"/>
      <sheetName val="п5_Атмосф1"/>
      <sheetName val="п6_Сброс1"/>
      <sheetName val="п7__ПЭМ1"/>
      <sheetName val="главы_1-7p1"/>
      <sheetName val="3. Субъекты РФ"/>
      <sheetName val="5. Перечень месторождений"/>
      <sheetName val="4. Периметр организаций"/>
      <sheetName val="320-330"/>
      <sheetName val="Общие"/>
      <sheetName val="Заполнить_ФИО!"/>
      <sheetName val="synthgraph"/>
      <sheetName val="Лист_4"/>
      <sheetName val="Добыча-факт"/>
      <sheetName val="Константы"/>
      <sheetName val="Financials"/>
      <sheetName val="90190016"/>
      <sheetName val="УСО"/>
      <sheetName val="RSOILBAL"/>
      <sheetName val="СОГ-эфф 1й вариант сент2005"/>
      <sheetName val="норм КВ"/>
      <sheetName val="технол показ"/>
      <sheetName val="налоги из себ"/>
      <sheetName val="Параметры"/>
      <sheetName val="на 1 тут"/>
      <sheetName val="IPL Level 2 Curves 04-May-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tables/table1.xml><?xml version="1.0" encoding="utf-8"?>
<table xmlns="http://schemas.openxmlformats.org/spreadsheetml/2006/main" id="1" name="_TAB_COL_SET" displayName="_TAB_COL_SET" ref="H1:I13" totalsRowShown="0" headerRowDxfId="3" dataDxfId="2">
  <autoFilter ref="H1:I13"/>
  <tableColumns count="2">
    <tableColumn id="1" name="VAR_KEY" dataDxfId="1"/>
    <tableColumn id="2" name="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4"/>
  <dimension ref="B2:I1455"/>
  <sheetViews>
    <sheetView workbookViewId="0">
      <selection activeCell="C1" sqref="C1:H1048576"/>
    </sheetView>
  </sheetViews>
  <sheetFormatPr defaultRowHeight="15" outlineLevelCol="1" x14ac:dyDescent="0.25"/>
  <cols>
    <col min="2" max="2" width="66.28515625" style="261" customWidth="1"/>
    <col min="3" max="5" width="18.85546875" style="261" customWidth="1" outlineLevel="1"/>
    <col min="6" max="6" width="31.7109375" style="261" customWidth="1" outlineLevel="1"/>
    <col min="7" max="8" width="13.85546875" style="261" customWidth="1" outlineLevel="1"/>
    <col min="9" max="9" width="12.28515625" style="261" customWidth="1"/>
  </cols>
  <sheetData>
    <row r="2" spans="2:9" ht="15.75" customHeight="1" x14ac:dyDescent="0.25">
      <c r="B2" s="279" t="s">
        <v>0</v>
      </c>
      <c r="C2" s="287" t="s">
        <v>1</v>
      </c>
      <c r="D2" s="288"/>
      <c r="E2" s="288"/>
      <c r="F2" s="288"/>
      <c r="G2" s="288"/>
      <c r="H2" s="289"/>
      <c r="I2" s="270" t="s">
        <v>2</v>
      </c>
    </row>
    <row r="3" spans="2:9" ht="15" customHeight="1" x14ac:dyDescent="0.25">
      <c r="B3" s="280"/>
      <c r="C3" s="284" t="s">
        <v>3</v>
      </c>
      <c r="D3" s="276" t="s">
        <v>4</v>
      </c>
      <c r="E3" s="276" t="s">
        <v>5</v>
      </c>
      <c r="F3" s="276" t="s">
        <v>6</v>
      </c>
      <c r="G3" s="276" t="s">
        <v>7</v>
      </c>
      <c r="H3" s="276" t="s">
        <v>8</v>
      </c>
      <c r="I3" s="271"/>
    </row>
    <row r="4" spans="2:9" ht="22.5" customHeight="1" x14ac:dyDescent="0.25">
      <c r="B4" s="274"/>
      <c r="C4" s="285"/>
      <c r="D4" s="272"/>
      <c r="E4" s="272"/>
      <c r="F4" s="272"/>
      <c r="G4" s="272"/>
      <c r="H4" s="272"/>
      <c r="I4" s="272"/>
    </row>
    <row r="5" spans="2:9" x14ac:dyDescent="0.25">
      <c r="B5" s="43"/>
      <c r="C5" s="43"/>
      <c r="D5" s="43"/>
      <c r="E5" s="43"/>
      <c r="F5" s="43"/>
      <c r="G5" s="43"/>
      <c r="H5" s="43"/>
      <c r="I5" s="43"/>
    </row>
    <row r="6" spans="2:9" ht="15.75" hidden="1" customHeight="1" x14ac:dyDescent="0.25">
      <c r="B6" s="45" t="s">
        <v>9</v>
      </c>
      <c r="C6" s="45"/>
      <c r="D6" s="45"/>
      <c r="E6" s="45">
        <v>1</v>
      </c>
      <c r="F6" s="45"/>
      <c r="G6" s="45"/>
      <c r="H6" s="45"/>
      <c r="I6" s="46" t="s">
        <v>10</v>
      </c>
    </row>
    <row r="7" spans="2:9" ht="15.75" hidden="1" customHeight="1" x14ac:dyDescent="0.25">
      <c r="B7" s="47" t="s">
        <v>11</v>
      </c>
      <c r="C7" s="47"/>
      <c r="D7" s="47"/>
      <c r="E7" s="47">
        <v>2</v>
      </c>
      <c r="F7" s="47"/>
      <c r="G7" s="47"/>
      <c r="H7" s="47"/>
      <c r="I7" s="48" t="s">
        <v>10</v>
      </c>
    </row>
    <row r="8" spans="2:9" ht="15.75" hidden="1" customHeight="1" x14ac:dyDescent="0.25">
      <c r="B8" s="47" t="s">
        <v>12</v>
      </c>
      <c r="C8" s="47"/>
      <c r="D8" s="47"/>
      <c r="E8" s="47">
        <v>3</v>
      </c>
      <c r="F8" s="47"/>
      <c r="G8" s="47"/>
      <c r="H8" s="47"/>
      <c r="I8" s="48" t="s">
        <v>10</v>
      </c>
    </row>
    <row r="9" spans="2:9" ht="31.5" hidden="1" customHeight="1" x14ac:dyDescent="0.25">
      <c r="B9" s="45" t="s">
        <v>13</v>
      </c>
      <c r="C9" s="45"/>
      <c r="D9" s="45"/>
      <c r="E9" s="45">
        <v>4</v>
      </c>
      <c r="F9" s="45"/>
      <c r="G9" s="45"/>
      <c r="H9" s="45"/>
      <c r="I9" s="48" t="s">
        <v>14</v>
      </c>
    </row>
    <row r="10" spans="2:9" ht="31.5" hidden="1" customHeight="1" x14ac:dyDescent="0.25">
      <c r="B10" s="47" t="s">
        <v>11</v>
      </c>
      <c r="C10" s="47"/>
      <c r="D10" s="47"/>
      <c r="E10" s="47">
        <v>5</v>
      </c>
      <c r="F10" s="47"/>
      <c r="G10" s="47"/>
      <c r="H10" s="47"/>
      <c r="I10" s="48" t="s">
        <v>14</v>
      </c>
    </row>
    <row r="11" spans="2:9" ht="31.5" hidden="1" customHeight="1" x14ac:dyDescent="0.25">
      <c r="B11" s="47" t="s">
        <v>12</v>
      </c>
      <c r="C11" s="47"/>
      <c r="D11" s="47"/>
      <c r="E11" s="47">
        <v>6</v>
      </c>
      <c r="F11" s="47"/>
      <c r="G11" s="47"/>
      <c r="H11" s="47"/>
      <c r="I11" s="48" t="s">
        <v>14</v>
      </c>
    </row>
    <row r="12" spans="2:9" ht="31.5" hidden="1" customHeight="1" x14ac:dyDescent="0.25">
      <c r="B12" s="49" t="s">
        <v>15</v>
      </c>
      <c r="C12" s="49"/>
      <c r="D12" s="49"/>
      <c r="E12" s="49">
        <v>7</v>
      </c>
      <c r="F12" s="49"/>
      <c r="G12" s="49"/>
      <c r="H12" s="49"/>
      <c r="I12" s="46" t="s">
        <v>10</v>
      </c>
    </row>
    <row r="13" spans="2:9" ht="31.5" hidden="1" customHeight="1" x14ac:dyDescent="0.25">
      <c r="B13" s="49" t="s">
        <v>16</v>
      </c>
      <c r="C13" s="49"/>
      <c r="D13" s="49"/>
      <c r="E13" s="49">
        <v>8</v>
      </c>
      <c r="F13" s="49"/>
      <c r="G13" s="49"/>
      <c r="H13" s="49"/>
      <c r="I13" s="46" t="s">
        <v>10</v>
      </c>
    </row>
    <row r="14" spans="2:9" ht="15.75" hidden="1" customHeight="1" x14ac:dyDescent="0.25">
      <c r="B14" s="50"/>
      <c r="C14" s="50"/>
      <c r="D14" s="50"/>
      <c r="E14" s="50">
        <v>9</v>
      </c>
      <c r="F14" s="50"/>
      <c r="G14" s="50"/>
      <c r="H14" s="50"/>
      <c r="I14" s="48"/>
    </row>
    <row r="15" spans="2:9" ht="15.75" customHeight="1" x14ac:dyDescent="0.25">
      <c r="B15" s="44" t="s">
        <v>17</v>
      </c>
      <c r="C15" s="44"/>
      <c r="D15" s="44"/>
      <c r="E15" s="44">
        <v>10</v>
      </c>
      <c r="F15" s="44"/>
      <c r="G15" s="44"/>
      <c r="H15" s="44"/>
      <c r="I15" s="44"/>
    </row>
    <row r="16" spans="2:9" ht="15.75" customHeight="1" x14ac:dyDescent="0.25">
      <c r="B16" s="44" t="s">
        <v>18</v>
      </c>
      <c r="C16" s="44"/>
      <c r="D16" s="44"/>
      <c r="E16" s="44">
        <v>11</v>
      </c>
      <c r="F16" s="44"/>
      <c r="G16" s="44"/>
      <c r="H16" s="44"/>
      <c r="I16" s="44"/>
    </row>
    <row r="17" spans="2:9" ht="15.75" customHeight="1" x14ac:dyDescent="0.25">
      <c r="B17" s="51" t="s">
        <v>19</v>
      </c>
      <c r="C17" s="51"/>
      <c r="D17" s="51"/>
      <c r="E17" s="51">
        <v>12</v>
      </c>
      <c r="F17" s="51"/>
      <c r="G17" s="51"/>
      <c r="H17" s="51"/>
      <c r="I17" s="52"/>
    </row>
    <row r="18" spans="2:9" ht="15.75" customHeight="1" x14ac:dyDescent="0.25">
      <c r="B18" s="53"/>
      <c r="C18" s="53"/>
      <c r="D18" s="53"/>
      <c r="E18" s="53">
        <v>13</v>
      </c>
      <c r="F18" s="53"/>
      <c r="G18" s="53"/>
      <c r="H18" s="53"/>
      <c r="I18" s="52"/>
    </row>
    <row r="19" spans="2:9" ht="63.75" customHeight="1" x14ac:dyDescent="0.25">
      <c r="B19" s="55" t="s">
        <v>20</v>
      </c>
      <c r="C19" s="234"/>
      <c r="D19" s="234"/>
      <c r="E19" s="235"/>
      <c r="F19" s="232" t="s">
        <v>21</v>
      </c>
      <c r="G19" s="231"/>
      <c r="H19" s="242"/>
      <c r="I19" s="80" t="s">
        <v>22</v>
      </c>
    </row>
    <row r="20" spans="2:9" ht="15.75" customHeight="1" x14ac:dyDescent="0.25">
      <c r="B20" s="56" t="s">
        <v>23</v>
      </c>
      <c r="C20" s="234"/>
      <c r="D20" s="234"/>
      <c r="E20" s="235">
        <v>14</v>
      </c>
      <c r="F20" s="232"/>
      <c r="G20" s="231"/>
      <c r="H20" s="242"/>
      <c r="I20" s="57" t="s">
        <v>22</v>
      </c>
    </row>
    <row r="21" spans="2:9" ht="51" customHeight="1" x14ac:dyDescent="0.25">
      <c r="B21" s="81" t="s">
        <v>24</v>
      </c>
      <c r="C21" s="234"/>
      <c r="D21" s="234"/>
      <c r="E21" s="235"/>
      <c r="F21" s="232" t="s">
        <v>25</v>
      </c>
      <c r="G21" s="231"/>
      <c r="H21" s="242"/>
      <c r="I21" s="80" t="s">
        <v>22</v>
      </c>
    </row>
    <row r="22" spans="2:9" ht="15.75" customHeight="1" x14ac:dyDescent="0.25">
      <c r="B22" s="75" t="s">
        <v>26</v>
      </c>
      <c r="C22" s="234"/>
      <c r="D22" s="234"/>
      <c r="E22" s="235"/>
      <c r="F22" s="232" t="s">
        <v>27</v>
      </c>
      <c r="G22" s="231"/>
      <c r="H22" s="242"/>
      <c r="I22" s="58" t="s">
        <v>22</v>
      </c>
    </row>
    <row r="23" spans="2:9" ht="38.25" customHeight="1" x14ac:dyDescent="0.25">
      <c r="B23" s="75" t="s">
        <v>28</v>
      </c>
      <c r="C23" s="234"/>
      <c r="D23" s="234"/>
      <c r="E23" s="235"/>
      <c r="F23" s="232" t="s">
        <v>29</v>
      </c>
      <c r="G23" s="231"/>
      <c r="H23" s="242"/>
      <c r="I23" s="58" t="s">
        <v>22</v>
      </c>
    </row>
    <row r="24" spans="2:9" ht="15.75" customHeight="1" x14ac:dyDescent="0.25">
      <c r="B24" s="75" t="s">
        <v>30</v>
      </c>
      <c r="C24" s="234"/>
      <c r="D24" s="234"/>
      <c r="E24" s="235"/>
      <c r="F24" s="232" t="s">
        <v>31</v>
      </c>
      <c r="G24" s="231"/>
      <c r="H24" s="242"/>
      <c r="I24" s="58" t="s">
        <v>22</v>
      </c>
    </row>
    <row r="25" spans="2:9" ht="15.75" customHeight="1" x14ac:dyDescent="0.25">
      <c r="B25" s="81" t="s">
        <v>32</v>
      </c>
      <c r="C25" s="234"/>
      <c r="D25" s="234"/>
      <c r="E25" s="235"/>
      <c r="F25" s="232" t="s">
        <v>33</v>
      </c>
      <c r="G25" s="231"/>
      <c r="H25" s="242"/>
      <c r="I25" s="80" t="s">
        <v>22</v>
      </c>
    </row>
    <row r="26" spans="2:9" ht="15.75" customHeight="1" x14ac:dyDescent="0.25">
      <c r="B26" s="75" t="s">
        <v>34</v>
      </c>
      <c r="C26" s="234"/>
      <c r="D26" s="234"/>
      <c r="E26" s="235"/>
      <c r="F26" s="232" t="s">
        <v>33</v>
      </c>
      <c r="G26" s="231"/>
      <c r="H26" s="242"/>
      <c r="I26" s="58" t="s">
        <v>22</v>
      </c>
    </row>
    <row r="27" spans="2:9" ht="15.75" customHeight="1" x14ac:dyDescent="0.25">
      <c r="B27" s="81" t="s">
        <v>35</v>
      </c>
      <c r="C27" s="234"/>
      <c r="D27" s="234"/>
      <c r="E27" s="235">
        <v>15</v>
      </c>
      <c r="F27" s="232"/>
      <c r="G27" s="231"/>
      <c r="H27" s="242"/>
      <c r="I27" s="80" t="s">
        <v>22</v>
      </c>
    </row>
    <row r="28" spans="2:9" ht="15.75" customHeight="1" x14ac:dyDescent="0.25">
      <c r="B28" s="75" t="s">
        <v>36</v>
      </c>
      <c r="C28" s="234"/>
      <c r="D28" s="234"/>
      <c r="E28" s="235">
        <v>16</v>
      </c>
      <c r="F28" s="232"/>
      <c r="G28" s="231"/>
      <c r="H28" s="242"/>
      <c r="I28" s="58" t="s">
        <v>22</v>
      </c>
    </row>
    <row r="29" spans="2:9" ht="25.5" customHeight="1" x14ac:dyDescent="0.25">
      <c r="B29" s="82" t="s">
        <v>37</v>
      </c>
      <c r="C29" s="234"/>
      <c r="D29" s="234"/>
      <c r="E29" s="235"/>
      <c r="F29" s="232" t="s">
        <v>38</v>
      </c>
      <c r="G29" s="231"/>
      <c r="H29" s="242"/>
      <c r="I29" s="80" t="s">
        <v>22</v>
      </c>
    </row>
    <row r="30" spans="2:9" ht="15.75" customHeight="1" x14ac:dyDescent="0.25">
      <c r="B30" s="81" t="s">
        <v>24</v>
      </c>
      <c r="C30" s="234"/>
      <c r="D30" s="234"/>
      <c r="E30" s="235"/>
      <c r="F30" s="232" t="s">
        <v>39</v>
      </c>
      <c r="G30" s="231"/>
      <c r="H30" s="242"/>
      <c r="I30" s="80" t="s">
        <v>22</v>
      </c>
    </row>
    <row r="31" spans="2:9" ht="15.75" customHeight="1" x14ac:dyDescent="0.25">
      <c r="B31" s="75" t="s">
        <v>26</v>
      </c>
      <c r="C31" s="234"/>
      <c r="D31" s="234"/>
      <c r="E31" s="235"/>
      <c r="F31" s="232" t="s">
        <v>27</v>
      </c>
      <c r="G31" s="231"/>
      <c r="H31" s="242"/>
      <c r="I31" s="58" t="s">
        <v>22</v>
      </c>
    </row>
    <row r="32" spans="2:9" ht="15.75" customHeight="1" x14ac:dyDescent="0.25">
      <c r="B32" s="75" t="s">
        <v>30</v>
      </c>
      <c r="C32" s="234"/>
      <c r="D32" s="234"/>
      <c r="E32" s="235"/>
      <c r="F32" s="232" t="s">
        <v>40</v>
      </c>
      <c r="G32" s="231"/>
      <c r="H32" s="242"/>
      <c r="I32" s="58" t="s">
        <v>22</v>
      </c>
    </row>
    <row r="33" spans="2:9" ht="15.75" customHeight="1" x14ac:dyDescent="0.25">
      <c r="B33" s="76" t="s">
        <v>41</v>
      </c>
      <c r="C33" s="234"/>
      <c r="D33" s="234"/>
      <c r="E33" s="235"/>
      <c r="F33" s="232" t="s">
        <v>40</v>
      </c>
      <c r="G33" s="231"/>
      <c r="H33" s="242"/>
      <c r="I33" s="59" t="s">
        <v>22</v>
      </c>
    </row>
    <row r="34" spans="2:9" ht="15.75" customHeight="1" x14ac:dyDescent="0.25">
      <c r="B34" s="81" t="s">
        <v>32</v>
      </c>
      <c r="C34" s="234"/>
      <c r="D34" s="234"/>
      <c r="E34" s="235"/>
      <c r="F34" s="232" t="s">
        <v>42</v>
      </c>
      <c r="G34" s="231"/>
      <c r="H34" s="242"/>
      <c r="I34" s="80" t="s">
        <v>22</v>
      </c>
    </row>
    <row r="35" spans="2:9" ht="15.75" customHeight="1" x14ac:dyDescent="0.25">
      <c r="B35" s="75" t="s">
        <v>34</v>
      </c>
      <c r="C35" s="234"/>
      <c r="D35" s="234"/>
      <c r="E35" s="235"/>
      <c r="F35" s="232" t="s">
        <v>42</v>
      </c>
      <c r="G35" s="231"/>
      <c r="H35" s="242"/>
      <c r="I35" s="58" t="s">
        <v>22</v>
      </c>
    </row>
    <row r="36" spans="2:9" ht="15.75" customHeight="1" x14ac:dyDescent="0.25">
      <c r="B36" s="65" t="s">
        <v>35</v>
      </c>
      <c r="C36" s="234"/>
      <c r="D36" s="234"/>
      <c r="E36" s="235">
        <v>17</v>
      </c>
      <c r="F36" s="232"/>
      <c r="G36" s="231"/>
      <c r="H36" s="242"/>
      <c r="I36" s="60" t="s">
        <v>22</v>
      </c>
    </row>
    <row r="37" spans="2:9" ht="15.75" customHeight="1" x14ac:dyDescent="0.25">
      <c r="B37" s="66" t="s">
        <v>36</v>
      </c>
      <c r="C37" s="234"/>
      <c r="D37" s="234"/>
      <c r="E37" s="235">
        <v>18</v>
      </c>
      <c r="F37" s="232"/>
      <c r="G37" s="231"/>
      <c r="H37" s="242"/>
      <c r="I37" s="61" t="s">
        <v>22</v>
      </c>
    </row>
    <row r="38" spans="2:9" ht="15.75" customHeight="1" x14ac:dyDescent="0.25">
      <c r="B38" s="63" t="s">
        <v>43</v>
      </c>
      <c r="C38" s="234"/>
      <c r="D38" s="234"/>
      <c r="E38" s="235">
        <v>19</v>
      </c>
      <c r="F38" s="232"/>
      <c r="G38" s="231"/>
      <c r="H38" s="242"/>
      <c r="I38" s="62" t="s">
        <v>22</v>
      </c>
    </row>
    <row r="39" spans="2:9" ht="15.75" customHeight="1" x14ac:dyDescent="0.25">
      <c r="B39" s="63" t="s">
        <v>44</v>
      </c>
      <c r="C39" s="234"/>
      <c r="D39" s="234"/>
      <c r="E39" s="235">
        <v>20</v>
      </c>
      <c r="F39" s="232"/>
      <c r="G39" s="231"/>
      <c r="H39" s="242"/>
      <c r="I39" s="62" t="s">
        <v>22</v>
      </c>
    </row>
    <row r="40" spans="2:9" ht="15.75" customHeight="1" x14ac:dyDescent="0.25">
      <c r="B40" s="63" t="s">
        <v>45</v>
      </c>
      <c r="C40" s="234"/>
      <c r="D40" s="234"/>
      <c r="E40" s="235">
        <v>21</v>
      </c>
      <c r="F40" s="232"/>
      <c r="G40" s="231"/>
      <c r="H40" s="242"/>
      <c r="I40" s="62" t="s">
        <v>22</v>
      </c>
    </row>
    <row r="41" spans="2:9" ht="51" customHeight="1" x14ac:dyDescent="0.25">
      <c r="B41" s="82" t="s">
        <v>46</v>
      </c>
      <c r="C41" s="234"/>
      <c r="D41" s="234"/>
      <c r="E41" s="235"/>
      <c r="F41" s="232" t="s">
        <v>47</v>
      </c>
      <c r="G41" s="231"/>
      <c r="H41" s="242"/>
      <c r="I41" s="80" t="s">
        <v>22</v>
      </c>
    </row>
    <row r="42" spans="2:9" ht="15.75" customHeight="1" x14ac:dyDescent="0.25">
      <c r="B42" s="81" t="s">
        <v>48</v>
      </c>
      <c r="C42" s="234"/>
      <c r="D42" s="234"/>
      <c r="E42" s="235"/>
      <c r="F42" s="232">
        <v>0</v>
      </c>
      <c r="G42" s="231"/>
      <c r="H42" s="242"/>
      <c r="I42" s="80" t="s">
        <v>22</v>
      </c>
    </row>
    <row r="43" spans="2:9" ht="15.75" customHeight="1" x14ac:dyDescent="0.25">
      <c r="B43" s="64" t="s">
        <v>26</v>
      </c>
      <c r="C43" s="234"/>
      <c r="D43" s="234"/>
      <c r="E43" s="235"/>
      <c r="F43" s="232">
        <v>0</v>
      </c>
      <c r="G43" s="231"/>
      <c r="H43" s="242"/>
      <c r="I43" s="58" t="s">
        <v>22</v>
      </c>
    </row>
    <row r="44" spans="2:9" ht="15.75" customHeight="1" x14ac:dyDescent="0.25">
      <c r="B44" s="83" t="s">
        <v>48</v>
      </c>
      <c r="C44" s="234"/>
      <c r="D44" s="234"/>
      <c r="E44" s="235">
        <v>22</v>
      </c>
      <c r="F44" s="232"/>
      <c r="G44" s="231"/>
      <c r="H44" s="242"/>
      <c r="I44" s="59" t="s">
        <v>22</v>
      </c>
    </row>
    <row r="45" spans="2:9" ht="38.25" customHeight="1" x14ac:dyDescent="0.25">
      <c r="B45" s="81" t="s">
        <v>24</v>
      </c>
      <c r="C45" s="234"/>
      <c r="D45" s="234"/>
      <c r="E45" s="235"/>
      <c r="F45" s="232" t="s">
        <v>29</v>
      </c>
      <c r="G45" s="231"/>
      <c r="H45" s="242"/>
      <c r="I45" s="80" t="s">
        <v>22</v>
      </c>
    </row>
    <row r="46" spans="2:9" ht="38.25" customHeight="1" x14ac:dyDescent="0.25">
      <c r="B46" s="75" t="s">
        <v>28</v>
      </c>
      <c r="C46" s="234"/>
      <c r="D46" s="234"/>
      <c r="E46" s="235"/>
      <c r="F46" s="232" t="s">
        <v>29</v>
      </c>
      <c r="G46" s="231"/>
      <c r="H46" s="242"/>
      <c r="I46" s="58" t="s">
        <v>22</v>
      </c>
    </row>
    <row r="47" spans="2:9" ht="38.25" customHeight="1" x14ac:dyDescent="0.25">
      <c r="B47" s="75" t="s">
        <v>49</v>
      </c>
      <c r="C47" s="234"/>
      <c r="D47" s="234"/>
      <c r="E47" s="235"/>
      <c r="F47" s="232" t="s">
        <v>29</v>
      </c>
      <c r="G47" s="231"/>
      <c r="H47" s="242"/>
      <c r="I47" s="59" t="s">
        <v>22</v>
      </c>
    </row>
    <row r="48" spans="2:9" ht="15.75" customHeight="1" x14ac:dyDescent="0.25">
      <c r="B48" s="76" t="s">
        <v>50</v>
      </c>
      <c r="C48" s="234"/>
      <c r="D48" s="234"/>
      <c r="E48" s="235"/>
      <c r="F48" s="232" t="s">
        <v>51</v>
      </c>
      <c r="G48" s="231"/>
      <c r="H48" s="242"/>
      <c r="I48" s="59" t="s">
        <v>22</v>
      </c>
    </row>
    <row r="49" spans="2:9" ht="15.75" customHeight="1" x14ac:dyDescent="0.25">
      <c r="B49" s="76" t="s">
        <v>52</v>
      </c>
      <c r="C49" s="234"/>
      <c r="D49" s="234"/>
      <c r="E49" s="235"/>
      <c r="F49" s="232" t="s">
        <v>53</v>
      </c>
      <c r="G49" s="231"/>
      <c r="H49" s="242"/>
      <c r="I49" s="59" t="s">
        <v>22</v>
      </c>
    </row>
    <row r="50" spans="2:9" ht="15.75" customHeight="1" x14ac:dyDescent="0.25">
      <c r="B50" s="76" t="s">
        <v>54</v>
      </c>
      <c r="C50" s="234"/>
      <c r="D50" s="234"/>
      <c r="E50" s="235"/>
      <c r="F50" s="232" t="s">
        <v>55</v>
      </c>
      <c r="G50" s="231"/>
      <c r="H50" s="242"/>
      <c r="I50" s="59" t="s">
        <v>22</v>
      </c>
    </row>
    <row r="51" spans="2:9" ht="15.75" customHeight="1" x14ac:dyDescent="0.25">
      <c r="B51" s="76" t="s">
        <v>56</v>
      </c>
      <c r="C51" s="234"/>
      <c r="D51" s="234"/>
      <c r="E51" s="235"/>
      <c r="F51" s="232" t="s">
        <v>57</v>
      </c>
      <c r="G51" s="231"/>
      <c r="H51" s="242"/>
      <c r="I51" s="59" t="s">
        <v>22</v>
      </c>
    </row>
    <row r="52" spans="2:9" ht="15.75" customHeight="1" x14ac:dyDescent="0.25">
      <c r="B52" s="76" t="s">
        <v>58</v>
      </c>
      <c r="C52" s="234"/>
      <c r="D52" s="234"/>
      <c r="E52" s="235"/>
      <c r="F52" s="232" t="s">
        <v>59</v>
      </c>
      <c r="G52" s="231"/>
      <c r="H52" s="242"/>
      <c r="I52" s="59" t="s">
        <v>22</v>
      </c>
    </row>
    <row r="53" spans="2:9" ht="15.75" customHeight="1" x14ac:dyDescent="0.25">
      <c r="B53" s="76" t="s">
        <v>60</v>
      </c>
      <c r="C53" s="234"/>
      <c r="D53" s="234"/>
      <c r="E53" s="235"/>
      <c r="F53" s="232" t="s">
        <v>61</v>
      </c>
      <c r="G53" s="231"/>
      <c r="H53" s="242"/>
      <c r="I53" s="59" t="s">
        <v>22</v>
      </c>
    </row>
    <row r="54" spans="2:9" ht="15.75" customHeight="1" x14ac:dyDescent="0.25">
      <c r="B54" s="76" t="s">
        <v>62</v>
      </c>
      <c r="C54" s="234"/>
      <c r="D54" s="234"/>
      <c r="E54" s="235"/>
      <c r="F54" s="232" t="s">
        <v>63</v>
      </c>
      <c r="G54" s="231"/>
      <c r="H54" s="242"/>
      <c r="I54" s="59" t="s">
        <v>22</v>
      </c>
    </row>
    <row r="55" spans="2:9" ht="15.75" customHeight="1" x14ac:dyDescent="0.25">
      <c r="B55" s="81" t="s">
        <v>64</v>
      </c>
      <c r="C55" s="234"/>
      <c r="D55" s="234"/>
      <c r="E55" s="235"/>
      <c r="F55" s="232" t="s">
        <v>65</v>
      </c>
      <c r="G55" s="231"/>
      <c r="H55" s="242"/>
      <c r="I55" s="80" t="s">
        <v>22</v>
      </c>
    </row>
    <row r="56" spans="2:9" ht="15.75" customHeight="1" x14ac:dyDescent="0.25">
      <c r="B56" s="75" t="s">
        <v>30</v>
      </c>
      <c r="C56" s="234"/>
      <c r="D56" s="234"/>
      <c r="E56" s="235"/>
      <c r="F56" s="232" t="s">
        <v>65</v>
      </c>
      <c r="G56" s="231"/>
      <c r="H56" s="242"/>
      <c r="I56" s="58" t="s">
        <v>22</v>
      </c>
    </row>
    <row r="57" spans="2:9" ht="15.75" customHeight="1" x14ac:dyDescent="0.25">
      <c r="B57" s="76" t="s">
        <v>66</v>
      </c>
      <c r="C57" s="234"/>
      <c r="D57" s="234"/>
      <c r="E57" s="235"/>
      <c r="F57" s="232" t="s">
        <v>65</v>
      </c>
      <c r="G57" s="231"/>
      <c r="H57" s="242"/>
      <c r="I57" s="59" t="s">
        <v>22</v>
      </c>
    </row>
    <row r="58" spans="2:9" ht="15.75" customHeight="1" x14ac:dyDescent="0.25">
      <c r="B58" s="81" t="s">
        <v>32</v>
      </c>
      <c r="C58" s="234"/>
      <c r="D58" s="234"/>
      <c r="E58" s="235"/>
      <c r="F58" s="232" t="s">
        <v>67</v>
      </c>
      <c r="G58" s="231"/>
      <c r="H58" s="242"/>
      <c r="I58" s="80" t="s">
        <v>22</v>
      </c>
    </row>
    <row r="59" spans="2:9" ht="15.75" customHeight="1" x14ac:dyDescent="0.25">
      <c r="B59" s="75" t="s">
        <v>34</v>
      </c>
      <c r="C59" s="234"/>
      <c r="D59" s="234"/>
      <c r="E59" s="235"/>
      <c r="F59" s="232" t="s">
        <v>67</v>
      </c>
      <c r="G59" s="231"/>
      <c r="H59" s="242"/>
      <c r="I59" s="58" t="s">
        <v>22</v>
      </c>
    </row>
    <row r="60" spans="2:9" ht="15.75" customHeight="1" x14ac:dyDescent="0.25">
      <c r="B60" s="65" t="s">
        <v>35</v>
      </c>
      <c r="C60" s="234"/>
      <c r="D60" s="234"/>
      <c r="E60" s="235">
        <v>23</v>
      </c>
      <c r="F60" s="232"/>
      <c r="G60" s="231"/>
      <c r="H60" s="242"/>
      <c r="I60" s="60" t="s">
        <v>22</v>
      </c>
    </row>
    <row r="61" spans="2:9" ht="15.75" customHeight="1" x14ac:dyDescent="0.25">
      <c r="B61" s="66" t="s">
        <v>68</v>
      </c>
      <c r="C61" s="234"/>
      <c r="D61" s="234"/>
      <c r="E61" s="235">
        <v>24</v>
      </c>
      <c r="F61" s="232"/>
      <c r="G61" s="231"/>
      <c r="H61" s="242"/>
      <c r="I61" s="61" t="s">
        <v>22</v>
      </c>
    </row>
    <row r="62" spans="2:9" ht="15.75" customHeight="1" x14ac:dyDescent="0.25">
      <c r="B62" s="63" t="s">
        <v>69</v>
      </c>
      <c r="C62" s="234"/>
      <c r="D62" s="234"/>
      <c r="E62" s="235">
        <v>25</v>
      </c>
      <c r="F62" s="232"/>
      <c r="G62" s="231"/>
      <c r="H62" s="242"/>
      <c r="I62" s="62" t="s">
        <v>22</v>
      </c>
    </row>
    <row r="63" spans="2:9" ht="15.75" customHeight="1" x14ac:dyDescent="0.25">
      <c r="B63" s="63" t="s">
        <v>70</v>
      </c>
      <c r="C63" s="234"/>
      <c r="D63" s="234"/>
      <c r="E63" s="235">
        <v>26</v>
      </c>
      <c r="F63" s="232"/>
      <c r="G63" s="231"/>
      <c r="H63" s="242"/>
      <c r="I63" s="62" t="s">
        <v>22</v>
      </c>
    </row>
    <row r="64" spans="2:9" ht="15.75" customHeight="1" x14ac:dyDescent="0.25">
      <c r="B64" s="81"/>
      <c r="C64" s="234"/>
      <c r="D64" s="234"/>
      <c r="E64" s="235">
        <v>27</v>
      </c>
      <c r="F64" s="232"/>
      <c r="G64" s="231"/>
      <c r="H64" s="242"/>
      <c r="I64" s="80"/>
    </row>
    <row r="65" spans="2:9" ht="15.75" customHeight="1" x14ac:dyDescent="0.25">
      <c r="B65" s="88" t="s">
        <v>71</v>
      </c>
      <c r="C65" s="234"/>
      <c r="D65" s="234"/>
      <c r="E65" s="235">
        <v>28</v>
      </c>
      <c r="F65" s="232"/>
      <c r="G65" s="231"/>
      <c r="H65" s="242"/>
      <c r="I65" s="80"/>
    </row>
    <row r="66" spans="2:9" ht="51" customHeight="1" x14ac:dyDescent="0.25">
      <c r="B66" s="81" t="s">
        <v>32</v>
      </c>
      <c r="C66" s="234"/>
      <c r="D66" s="234"/>
      <c r="E66" s="235"/>
      <c r="F66" s="232" t="s">
        <v>72</v>
      </c>
      <c r="G66" s="231"/>
      <c r="H66" s="242"/>
      <c r="I66" s="80" t="s">
        <v>22</v>
      </c>
    </row>
    <row r="67" spans="2:9" ht="51" customHeight="1" x14ac:dyDescent="0.25">
      <c r="B67" s="75" t="s">
        <v>34</v>
      </c>
      <c r="C67" s="234"/>
      <c r="D67" s="234"/>
      <c r="E67" s="235"/>
      <c r="F67" s="232" t="s">
        <v>72</v>
      </c>
      <c r="G67" s="231"/>
      <c r="H67" s="242"/>
      <c r="I67" s="58" t="s">
        <v>22</v>
      </c>
    </row>
    <row r="68" spans="2:9" ht="15.75" customHeight="1" x14ac:dyDescent="0.25">
      <c r="B68" s="82" t="s">
        <v>73</v>
      </c>
      <c r="C68" s="234"/>
      <c r="D68" s="234"/>
      <c r="E68" s="235">
        <v>29</v>
      </c>
      <c r="F68" s="232"/>
      <c r="G68" s="231"/>
      <c r="H68" s="242"/>
      <c r="I68" s="80"/>
    </row>
    <row r="69" spans="2:9" ht="25.5" customHeight="1" x14ac:dyDescent="0.25">
      <c r="B69" s="81" t="s">
        <v>32</v>
      </c>
      <c r="C69" s="234"/>
      <c r="D69" s="234"/>
      <c r="E69" s="235"/>
      <c r="F69" s="232" t="s">
        <v>74</v>
      </c>
      <c r="G69" s="231"/>
      <c r="H69" s="242"/>
      <c r="I69" s="80" t="s">
        <v>22</v>
      </c>
    </row>
    <row r="70" spans="2:9" ht="25.5" customHeight="1" x14ac:dyDescent="0.25">
      <c r="B70" s="75" t="s">
        <v>34</v>
      </c>
      <c r="C70" s="234"/>
      <c r="D70" s="234"/>
      <c r="E70" s="235"/>
      <c r="F70" s="232" t="s">
        <v>74</v>
      </c>
      <c r="G70" s="231"/>
      <c r="H70" s="242"/>
      <c r="I70" s="58" t="s">
        <v>22</v>
      </c>
    </row>
    <row r="71" spans="2:9" ht="15.75" customHeight="1" x14ac:dyDescent="0.25">
      <c r="B71" s="82" t="s">
        <v>75</v>
      </c>
      <c r="C71" s="234"/>
      <c r="D71" s="234"/>
      <c r="E71" s="235">
        <v>30</v>
      </c>
      <c r="F71" s="232"/>
      <c r="G71" s="231"/>
      <c r="H71" s="242"/>
      <c r="I71" s="80"/>
    </row>
    <row r="72" spans="2:9" ht="15.75" customHeight="1" x14ac:dyDescent="0.25">
      <c r="B72" s="81" t="s">
        <v>32</v>
      </c>
      <c r="C72" s="234"/>
      <c r="D72" s="234"/>
      <c r="E72" s="235"/>
      <c r="F72" s="232" t="s">
        <v>76</v>
      </c>
      <c r="G72" s="231"/>
      <c r="H72" s="242"/>
      <c r="I72" s="80" t="s">
        <v>22</v>
      </c>
    </row>
    <row r="73" spans="2:9" ht="15.75" customHeight="1" x14ac:dyDescent="0.25">
      <c r="B73" s="75" t="s">
        <v>34</v>
      </c>
      <c r="C73" s="234"/>
      <c r="D73" s="234"/>
      <c r="E73" s="235"/>
      <c r="F73" s="232" t="s">
        <v>76</v>
      </c>
      <c r="G73" s="231"/>
      <c r="H73" s="242"/>
      <c r="I73" s="58" t="s">
        <v>22</v>
      </c>
    </row>
    <row r="74" spans="2:9" ht="15.75" customHeight="1" x14ac:dyDescent="0.25">
      <c r="B74" s="81"/>
      <c r="C74" s="234"/>
      <c r="D74" s="234"/>
      <c r="E74" s="235">
        <v>31</v>
      </c>
      <c r="F74" s="232"/>
      <c r="G74" s="231"/>
      <c r="H74" s="242"/>
      <c r="I74" s="80"/>
    </row>
    <row r="75" spans="2:9" ht="15.75" customHeight="1" x14ac:dyDescent="0.25">
      <c r="B75" s="79" t="s">
        <v>77</v>
      </c>
      <c r="C75" s="234"/>
      <c r="D75" s="234"/>
      <c r="E75" s="235">
        <v>32</v>
      </c>
      <c r="F75" s="232"/>
      <c r="G75" s="231"/>
      <c r="H75" s="242"/>
      <c r="I75" s="80"/>
    </row>
    <row r="76" spans="2:9" ht="25.5" customHeight="1" x14ac:dyDescent="0.25">
      <c r="B76" s="81" t="s">
        <v>24</v>
      </c>
      <c r="C76" s="234"/>
      <c r="D76" s="234"/>
      <c r="E76" s="235"/>
      <c r="F76" s="232" t="s">
        <v>78</v>
      </c>
      <c r="G76" s="231"/>
      <c r="H76" s="242"/>
      <c r="I76" s="80" t="s">
        <v>22</v>
      </c>
    </row>
    <row r="77" spans="2:9" ht="25.5" customHeight="1" x14ac:dyDescent="0.25">
      <c r="B77" s="75" t="s">
        <v>79</v>
      </c>
      <c r="C77" s="234"/>
      <c r="D77" s="234"/>
      <c r="E77" s="235"/>
      <c r="F77" s="232" t="s">
        <v>78</v>
      </c>
      <c r="G77" s="231"/>
      <c r="H77" s="242"/>
      <c r="I77" s="58" t="s">
        <v>22</v>
      </c>
    </row>
    <row r="78" spans="2:9" ht="15.75" customHeight="1" x14ac:dyDescent="0.25">
      <c r="B78" s="82" t="s">
        <v>80</v>
      </c>
      <c r="C78" s="234"/>
      <c r="D78" s="234"/>
      <c r="E78" s="235"/>
      <c r="F78" s="232">
        <v>0</v>
      </c>
      <c r="G78" s="231"/>
      <c r="H78" s="242"/>
      <c r="I78" s="80" t="s">
        <v>22</v>
      </c>
    </row>
    <row r="79" spans="2:9" ht="25.5" customHeight="1" x14ac:dyDescent="0.25">
      <c r="B79" s="82" t="s">
        <v>81</v>
      </c>
      <c r="C79" s="234"/>
      <c r="D79" s="234"/>
      <c r="E79" s="235"/>
      <c r="F79" s="232" t="s">
        <v>78</v>
      </c>
      <c r="G79" s="231"/>
      <c r="H79" s="242"/>
      <c r="I79" s="80" t="s">
        <v>22</v>
      </c>
    </row>
    <row r="80" spans="2:9" ht="25.5" customHeight="1" x14ac:dyDescent="0.25">
      <c r="B80" s="81" t="s">
        <v>24</v>
      </c>
      <c r="C80" s="234"/>
      <c r="D80" s="234"/>
      <c r="E80" s="235"/>
      <c r="F80" s="232" t="s">
        <v>78</v>
      </c>
      <c r="G80" s="231"/>
      <c r="H80" s="242"/>
      <c r="I80" s="80" t="s">
        <v>22</v>
      </c>
    </row>
    <row r="81" spans="2:9" ht="25.5" customHeight="1" x14ac:dyDescent="0.25">
      <c r="B81" s="75" t="s">
        <v>79</v>
      </c>
      <c r="C81" s="234"/>
      <c r="D81" s="234"/>
      <c r="E81" s="235"/>
      <c r="F81" s="232" t="s">
        <v>78</v>
      </c>
      <c r="G81" s="231"/>
      <c r="H81" s="242"/>
      <c r="I81" s="58" t="s">
        <v>22</v>
      </c>
    </row>
    <row r="82" spans="2:9" ht="15.75" customHeight="1" x14ac:dyDescent="0.25">
      <c r="B82" s="76" t="s">
        <v>82</v>
      </c>
      <c r="C82" s="234"/>
      <c r="D82" s="234"/>
      <c r="E82" s="235"/>
      <c r="F82" s="232" t="s">
        <v>83</v>
      </c>
      <c r="G82" s="231"/>
      <c r="H82" s="242"/>
      <c r="I82" s="59" t="s">
        <v>22</v>
      </c>
    </row>
    <row r="83" spans="2:9" ht="15.75" customHeight="1" x14ac:dyDescent="0.25">
      <c r="B83" s="76" t="s">
        <v>52</v>
      </c>
      <c r="C83" s="234"/>
      <c r="D83" s="234"/>
      <c r="E83" s="235"/>
      <c r="F83" s="232" t="s">
        <v>84</v>
      </c>
      <c r="G83" s="231"/>
      <c r="H83" s="242"/>
      <c r="I83" s="59" t="s">
        <v>22</v>
      </c>
    </row>
    <row r="84" spans="2:9" ht="15.75" customHeight="1" x14ac:dyDescent="0.25">
      <c r="B84" s="106" t="s">
        <v>85</v>
      </c>
      <c r="C84" s="234"/>
      <c r="D84" s="234"/>
      <c r="E84" s="235"/>
      <c r="F84" s="232" t="s">
        <v>86</v>
      </c>
      <c r="G84" s="231"/>
      <c r="H84" s="242"/>
      <c r="I84" s="59" t="s">
        <v>22</v>
      </c>
    </row>
    <row r="85" spans="2:9" ht="38.25" customHeight="1" x14ac:dyDescent="0.25">
      <c r="B85" s="67"/>
      <c r="C85" s="234"/>
      <c r="D85" s="234"/>
      <c r="E85" s="235"/>
      <c r="F85" s="232" t="s">
        <v>87</v>
      </c>
      <c r="G85" s="231"/>
      <c r="H85" s="242"/>
      <c r="I85" s="68" t="s">
        <v>88</v>
      </c>
    </row>
    <row r="86" spans="2:9" ht="51" customHeight="1" x14ac:dyDescent="0.25">
      <c r="B86" s="69"/>
      <c r="C86" s="234"/>
      <c r="D86" s="234"/>
      <c r="E86" s="235"/>
      <c r="F86" s="232" t="s">
        <v>89</v>
      </c>
      <c r="G86" s="231"/>
      <c r="H86" s="242"/>
      <c r="I86" s="68" t="s">
        <v>90</v>
      </c>
    </row>
    <row r="87" spans="2:9" ht="15.75" customHeight="1" x14ac:dyDescent="0.25">
      <c r="B87" s="69"/>
      <c r="C87" s="234"/>
      <c r="D87" s="234"/>
      <c r="E87" s="235">
        <v>33</v>
      </c>
      <c r="F87" s="232"/>
      <c r="G87" s="231"/>
      <c r="H87" s="242"/>
      <c r="I87" s="68"/>
    </row>
    <row r="88" spans="2:9" ht="153" customHeight="1" x14ac:dyDescent="0.25">
      <c r="B88" s="70" t="s">
        <v>91</v>
      </c>
      <c r="C88" s="234"/>
      <c r="D88" s="234"/>
      <c r="E88" s="235"/>
      <c r="F88" s="232" t="s">
        <v>92</v>
      </c>
      <c r="G88" s="231"/>
      <c r="H88" s="242"/>
      <c r="I88" s="80" t="s">
        <v>10</v>
      </c>
    </row>
    <row r="89" spans="2:9" ht="102" customHeight="1" x14ac:dyDescent="0.25">
      <c r="B89" s="82" t="s">
        <v>93</v>
      </c>
      <c r="C89" s="234"/>
      <c r="D89" s="234"/>
      <c r="E89" s="235"/>
      <c r="F89" s="232" t="s">
        <v>94</v>
      </c>
      <c r="G89" s="231"/>
      <c r="H89" s="242"/>
      <c r="I89" s="80" t="s">
        <v>10</v>
      </c>
    </row>
    <row r="90" spans="2:9" ht="51" customHeight="1" x14ac:dyDescent="0.25">
      <c r="B90" s="81" t="s">
        <v>95</v>
      </c>
      <c r="C90" s="234"/>
      <c r="D90" s="234"/>
      <c r="E90" s="235"/>
      <c r="F90" s="232" t="s">
        <v>96</v>
      </c>
      <c r="G90" s="231"/>
      <c r="H90" s="242"/>
      <c r="I90" s="80" t="s">
        <v>10</v>
      </c>
    </row>
    <row r="91" spans="2:9" ht="15.75" customHeight="1" x14ac:dyDescent="0.25">
      <c r="B91" s="75" t="s">
        <v>26</v>
      </c>
      <c r="C91" s="234"/>
      <c r="D91" s="234"/>
      <c r="E91" s="235"/>
      <c r="F91" s="232" t="s">
        <v>97</v>
      </c>
      <c r="G91" s="231"/>
      <c r="H91" s="242"/>
      <c r="I91" s="58" t="s">
        <v>10</v>
      </c>
    </row>
    <row r="92" spans="2:9" ht="25.5" customHeight="1" x14ac:dyDescent="0.25">
      <c r="B92" s="75" t="s">
        <v>28</v>
      </c>
      <c r="C92" s="234"/>
      <c r="D92" s="234"/>
      <c r="E92" s="235"/>
      <c r="F92" s="232" t="s">
        <v>98</v>
      </c>
      <c r="G92" s="231"/>
      <c r="H92" s="242"/>
      <c r="I92" s="58" t="s">
        <v>10</v>
      </c>
    </row>
    <row r="93" spans="2:9" ht="15.75" customHeight="1" x14ac:dyDescent="0.25">
      <c r="B93" s="75" t="s">
        <v>30</v>
      </c>
      <c r="C93" s="234"/>
      <c r="D93" s="234"/>
      <c r="E93" s="235"/>
      <c r="F93" s="232" t="s">
        <v>99</v>
      </c>
      <c r="G93" s="231"/>
      <c r="H93" s="242"/>
      <c r="I93" s="58" t="s">
        <v>10</v>
      </c>
    </row>
    <row r="94" spans="2:9" ht="25.5" customHeight="1" x14ac:dyDescent="0.25">
      <c r="B94" s="75" t="s">
        <v>100</v>
      </c>
      <c r="C94" s="234"/>
      <c r="D94" s="234"/>
      <c r="E94" s="235"/>
      <c r="F94" s="232" t="s">
        <v>101</v>
      </c>
      <c r="G94" s="231"/>
      <c r="H94" s="242"/>
      <c r="I94" s="58" t="s">
        <v>10</v>
      </c>
    </row>
    <row r="95" spans="2:9" ht="15.75" customHeight="1" x14ac:dyDescent="0.25">
      <c r="B95" s="81" t="s">
        <v>102</v>
      </c>
      <c r="C95" s="234"/>
      <c r="D95" s="234"/>
      <c r="E95" s="235"/>
      <c r="F95" s="232" t="s">
        <v>103</v>
      </c>
      <c r="G95" s="231"/>
      <c r="H95" s="242"/>
      <c r="I95" s="80" t="s">
        <v>10</v>
      </c>
    </row>
    <row r="96" spans="2:9" ht="15.75" customHeight="1" x14ac:dyDescent="0.25">
      <c r="B96" s="81" t="s">
        <v>104</v>
      </c>
      <c r="C96" s="234"/>
      <c r="D96" s="234"/>
      <c r="E96" s="235"/>
      <c r="F96" s="232" t="s">
        <v>105</v>
      </c>
      <c r="G96" s="231"/>
      <c r="H96" s="242"/>
      <c r="I96" s="80" t="s">
        <v>10</v>
      </c>
    </row>
    <row r="97" spans="2:9" ht="15.75" customHeight="1" x14ac:dyDescent="0.25">
      <c r="B97" s="71" t="s">
        <v>106</v>
      </c>
      <c r="C97" s="234"/>
      <c r="D97" s="234"/>
      <c r="E97" s="235"/>
      <c r="F97" s="232" t="s">
        <v>107</v>
      </c>
      <c r="G97" s="231"/>
      <c r="H97" s="242"/>
      <c r="I97" s="80" t="s">
        <v>108</v>
      </c>
    </row>
    <row r="98" spans="2:9" ht="25.5" customHeight="1" x14ac:dyDescent="0.25">
      <c r="B98" s="81" t="s">
        <v>109</v>
      </c>
      <c r="C98" s="234"/>
      <c r="D98" s="234"/>
      <c r="E98" s="235"/>
      <c r="F98" s="232" t="s">
        <v>110</v>
      </c>
      <c r="G98" s="231"/>
      <c r="H98" s="242"/>
      <c r="I98" s="80" t="s">
        <v>108</v>
      </c>
    </row>
    <row r="99" spans="2:9" ht="15.75" customHeight="1" x14ac:dyDescent="0.25">
      <c r="B99" s="81" t="s">
        <v>111</v>
      </c>
      <c r="C99" s="234"/>
      <c r="D99" s="234"/>
      <c r="E99" s="235"/>
      <c r="F99" s="232" t="s">
        <v>112</v>
      </c>
      <c r="G99" s="231"/>
      <c r="H99" s="242"/>
      <c r="I99" s="80" t="s">
        <v>108</v>
      </c>
    </row>
    <row r="100" spans="2:9" ht="15.75" customHeight="1" x14ac:dyDescent="0.25">
      <c r="B100" s="81" t="s">
        <v>41</v>
      </c>
      <c r="C100" s="234"/>
      <c r="D100" s="234"/>
      <c r="E100" s="235"/>
      <c r="F100" s="232" t="s">
        <v>113</v>
      </c>
      <c r="G100" s="231"/>
      <c r="H100" s="242"/>
      <c r="I100" s="80" t="s">
        <v>108</v>
      </c>
    </row>
    <row r="101" spans="2:9" ht="63.75" customHeight="1" x14ac:dyDescent="0.25">
      <c r="B101" s="72" t="s">
        <v>114</v>
      </c>
      <c r="C101" s="234"/>
      <c r="D101" s="234"/>
      <c r="E101" s="235"/>
      <c r="F101" s="232" t="s">
        <v>115</v>
      </c>
      <c r="G101" s="231"/>
      <c r="H101" s="242"/>
      <c r="I101" s="80" t="s">
        <v>10</v>
      </c>
    </row>
    <row r="102" spans="2:9" ht="38.25" customHeight="1" x14ac:dyDescent="0.25">
      <c r="B102" s="81" t="s">
        <v>95</v>
      </c>
      <c r="C102" s="234"/>
      <c r="D102" s="234"/>
      <c r="E102" s="235"/>
      <c r="F102" s="232" t="s">
        <v>116</v>
      </c>
      <c r="G102" s="231"/>
      <c r="H102" s="242"/>
      <c r="I102" s="80" t="s">
        <v>10</v>
      </c>
    </row>
    <row r="103" spans="2:9" ht="15.75" customHeight="1" x14ac:dyDescent="0.25">
      <c r="B103" s="75" t="s">
        <v>26</v>
      </c>
      <c r="C103" s="234"/>
      <c r="D103" s="234"/>
      <c r="E103" s="235"/>
      <c r="F103" s="232" t="s">
        <v>97</v>
      </c>
      <c r="G103" s="231"/>
      <c r="H103" s="242"/>
      <c r="I103" s="58" t="s">
        <v>10</v>
      </c>
    </row>
    <row r="104" spans="2:9" ht="15.75" customHeight="1" x14ac:dyDescent="0.25">
      <c r="B104" s="75" t="s">
        <v>28</v>
      </c>
      <c r="C104" s="234"/>
      <c r="D104" s="234"/>
      <c r="E104" s="235"/>
      <c r="F104" s="232" t="s">
        <v>117</v>
      </c>
      <c r="G104" s="231"/>
      <c r="H104" s="242"/>
      <c r="I104" s="58" t="s">
        <v>10</v>
      </c>
    </row>
    <row r="105" spans="2:9" ht="15.75" customHeight="1" x14ac:dyDescent="0.25">
      <c r="B105" s="76" t="s">
        <v>82</v>
      </c>
      <c r="C105" s="234"/>
      <c r="D105" s="234"/>
      <c r="E105" s="235"/>
      <c r="F105" s="232" t="s">
        <v>117</v>
      </c>
      <c r="G105" s="231"/>
      <c r="H105" s="242"/>
      <c r="I105" s="59" t="s">
        <v>10</v>
      </c>
    </row>
    <row r="106" spans="2:9" ht="15.75" customHeight="1" x14ac:dyDescent="0.25">
      <c r="B106" s="75" t="s">
        <v>118</v>
      </c>
      <c r="C106" s="234"/>
      <c r="D106" s="234"/>
      <c r="E106" s="235"/>
      <c r="F106" s="232" t="s">
        <v>99</v>
      </c>
      <c r="G106" s="231"/>
      <c r="H106" s="242"/>
      <c r="I106" s="58" t="s">
        <v>10</v>
      </c>
    </row>
    <row r="107" spans="2:9" ht="15.75" customHeight="1" x14ac:dyDescent="0.25">
      <c r="B107" s="76" t="s">
        <v>119</v>
      </c>
      <c r="C107" s="234"/>
      <c r="D107" s="234"/>
      <c r="E107" s="235"/>
      <c r="F107" s="232" t="s">
        <v>99</v>
      </c>
      <c r="G107" s="231"/>
      <c r="H107" s="242"/>
      <c r="I107" s="59" t="s">
        <v>10</v>
      </c>
    </row>
    <row r="108" spans="2:9" ht="25.5" customHeight="1" x14ac:dyDescent="0.25">
      <c r="B108" s="75" t="s">
        <v>100</v>
      </c>
      <c r="C108" s="234"/>
      <c r="D108" s="234"/>
      <c r="E108" s="235"/>
      <c r="F108" s="232" t="s">
        <v>120</v>
      </c>
      <c r="G108" s="231"/>
      <c r="H108" s="242"/>
      <c r="I108" s="58" t="s">
        <v>10</v>
      </c>
    </row>
    <row r="109" spans="2:9" ht="15.75" customHeight="1" x14ac:dyDescent="0.25">
      <c r="B109" s="76" t="s">
        <v>121</v>
      </c>
      <c r="C109" s="234"/>
      <c r="D109" s="234"/>
      <c r="E109" s="235"/>
      <c r="F109" s="232" t="s">
        <v>122</v>
      </c>
      <c r="G109" s="231"/>
      <c r="H109" s="242"/>
      <c r="I109" s="59" t="s">
        <v>10</v>
      </c>
    </row>
    <row r="110" spans="2:9" ht="15.75" customHeight="1" x14ac:dyDescent="0.25">
      <c r="B110" s="73" t="s">
        <v>123</v>
      </c>
      <c r="C110" s="234"/>
      <c r="D110" s="234"/>
      <c r="E110" s="235"/>
      <c r="F110" s="232" t="s">
        <v>124</v>
      </c>
      <c r="G110" s="231"/>
      <c r="H110" s="242"/>
      <c r="I110" s="59" t="s">
        <v>10</v>
      </c>
    </row>
    <row r="111" spans="2:9" ht="15.75" customHeight="1" x14ac:dyDescent="0.25">
      <c r="B111" s="76" t="s">
        <v>125</v>
      </c>
      <c r="C111" s="234"/>
      <c r="D111" s="234"/>
      <c r="E111" s="235"/>
      <c r="F111" s="232" t="s">
        <v>126</v>
      </c>
      <c r="G111" s="231"/>
      <c r="H111" s="242"/>
      <c r="I111" s="59" t="s">
        <v>10</v>
      </c>
    </row>
    <row r="112" spans="2:9" ht="15.75" customHeight="1" x14ac:dyDescent="0.25">
      <c r="B112" s="76" t="s">
        <v>127</v>
      </c>
      <c r="C112" s="234"/>
      <c r="D112" s="234"/>
      <c r="E112" s="235"/>
      <c r="F112" s="232" t="s">
        <v>128</v>
      </c>
      <c r="G112" s="231"/>
      <c r="H112" s="242"/>
      <c r="I112" s="59" t="s">
        <v>10</v>
      </c>
    </row>
    <row r="113" spans="2:9" ht="15.75" customHeight="1" x14ac:dyDescent="0.25">
      <c r="B113" s="76" t="s">
        <v>129</v>
      </c>
      <c r="C113" s="234"/>
      <c r="D113" s="234"/>
      <c r="E113" s="235"/>
      <c r="F113" s="232" t="s">
        <v>130</v>
      </c>
      <c r="G113" s="231"/>
      <c r="H113" s="242"/>
      <c r="I113" s="59" t="s">
        <v>10</v>
      </c>
    </row>
    <row r="114" spans="2:9" ht="15.75" customHeight="1" x14ac:dyDescent="0.25">
      <c r="B114" s="74" t="s">
        <v>131</v>
      </c>
      <c r="C114" s="234"/>
      <c r="D114" s="234"/>
      <c r="E114" s="235"/>
      <c r="F114" s="232" t="s">
        <v>132</v>
      </c>
      <c r="G114" s="231"/>
      <c r="H114" s="242"/>
      <c r="I114" s="59" t="s">
        <v>10</v>
      </c>
    </row>
    <row r="115" spans="2:9" ht="15.75" customHeight="1" x14ac:dyDescent="0.25">
      <c r="B115" s="81" t="s">
        <v>104</v>
      </c>
      <c r="C115" s="234"/>
      <c r="D115" s="234"/>
      <c r="E115" s="235"/>
      <c r="F115" s="232" t="s">
        <v>105</v>
      </c>
      <c r="G115" s="231"/>
      <c r="H115" s="242"/>
      <c r="I115" s="80" t="s">
        <v>10</v>
      </c>
    </row>
    <row r="116" spans="2:9" ht="15.75" customHeight="1" x14ac:dyDescent="0.25">
      <c r="B116" s="76" t="s">
        <v>133</v>
      </c>
      <c r="C116" s="234"/>
      <c r="D116" s="234"/>
      <c r="E116" s="235"/>
      <c r="F116" s="232" t="s">
        <v>134</v>
      </c>
      <c r="G116" s="231"/>
      <c r="H116" s="242"/>
      <c r="I116" s="59" t="s">
        <v>10</v>
      </c>
    </row>
    <row r="117" spans="2:9" ht="15.75" customHeight="1" x14ac:dyDescent="0.25">
      <c r="B117" s="76" t="s">
        <v>135</v>
      </c>
      <c r="C117" s="234"/>
      <c r="D117" s="234"/>
      <c r="E117" s="235"/>
      <c r="F117" s="232">
        <v>0</v>
      </c>
      <c r="G117" s="231"/>
      <c r="H117" s="242"/>
      <c r="I117" s="59" t="s">
        <v>10</v>
      </c>
    </row>
    <row r="118" spans="2:9" ht="15.75" customHeight="1" x14ac:dyDescent="0.25">
      <c r="B118" s="81" t="s">
        <v>106</v>
      </c>
      <c r="C118" s="234"/>
      <c r="D118" s="234"/>
      <c r="E118" s="235"/>
      <c r="F118" s="232" t="s">
        <v>107</v>
      </c>
      <c r="G118" s="231"/>
      <c r="H118" s="242"/>
      <c r="I118" s="80" t="s">
        <v>108</v>
      </c>
    </row>
    <row r="119" spans="2:9" ht="15.75" customHeight="1" x14ac:dyDescent="0.25">
      <c r="B119" s="81" t="s">
        <v>109</v>
      </c>
      <c r="C119" s="234"/>
      <c r="D119" s="234"/>
      <c r="E119" s="235"/>
      <c r="F119" s="232" t="s">
        <v>136</v>
      </c>
      <c r="G119" s="231"/>
      <c r="H119" s="242"/>
      <c r="I119" s="80" t="s">
        <v>108</v>
      </c>
    </row>
    <row r="120" spans="2:9" ht="15.75" customHeight="1" x14ac:dyDescent="0.25">
      <c r="B120" s="76" t="s">
        <v>137</v>
      </c>
      <c r="C120" s="234"/>
      <c r="D120" s="234"/>
      <c r="E120" s="235"/>
      <c r="F120" s="232" t="s">
        <v>138</v>
      </c>
      <c r="G120" s="231"/>
      <c r="H120" s="242"/>
      <c r="I120" s="59" t="s">
        <v>10</v>
      </c>
    </row>
    <row r="121" spans="2:9" ht="15.75" customHeight="1" x14ac:dyDescent="0.25">
      <c r="B121" s="76" t="s">
        <v>139</v>
      </c>
      <c r="C121" s="234"/>
      <c r="D121" s="234"/>
      <c r="E121" s="235"/>
      <c r="F121" s="232" t="s">
        <v>140</v>
      </c>
      <c r="G121" s="231"/>
      <c r="H121" s="242"/>
      <c r="I121" s="59" t="s">
        <v>10</v>
      </c>
    </row>
    <row r="122" spans="2:9" ht="38.25" customHeight="1" x14ac:dyDescent="0.25">
      <c r="B122" s="72" t="s">
        <v>141</v>
      </c>
      <c r="C122" s="234"/>
      <c r="D122" s="234"/>
      <c r="E122" s="235"/>
      <c r="F122" s="232" t="s">
        <v>142</v>
      </c>
      <c r="G122" s="231"/>
      <c r="H122" s="242"/>
      <c r="I122" s="80" t="s">
        <v>10</v>
      </c>
    </row>
    <row r="123" spans="2:9" ht="15.75" customHeight="1" x14ac:dyDescent="0.25">
      <c r="B123" s="81" t="s">
        <v>48</v>
      </c>
      <c r="C123" s="234"/>
      <c r="D123" s="234"/>
      <c r="E123" s="235"/>
      <c r="F123" s="232">
        <v>0</v>
      </c>
      <c r="G123" s="231"/>
      <c r="H123" s="242"/>
      <c r="I123" s="80" t="s">
        <v>10</v>
      </c>
    </row>
    <row r="124" spans="2:9" ht="15.75" customHeight="1" x14ac:dyDescent="0.25">
      <c r="B124" s="75" t="s">
        <v>26</v>
      </c>
      <c r="C124" s="234"/>
      <c r="D124" s="234"/>
      <c r="E124" s="235"/>
      <c r="F124" s="232">
        <v>0</v>
      </c>
      <c r="G124" s="231"/>
      <c r="H124" s="242"/>
      <c r="I124" s="58" t="s">
        <v>10</v>
      </c>
    </row>
    <row r="125" spans="2:9" ht="15.75" customHeight="1" x14ac:dyDescent="0.25">
      <c r="B125" s="76" t="s">
        <v>48</v>
      </c>
      <c r="C125" s="234"/>
      <c r="D125" s="234"/>
      <c r="E125" s="235">
        <v>34</v>
      </c>
      <c r="F125" s="232"/>
      <c r="G125" s="231"/>
      <c r="H125" s="242"/>
      <c r="I125" s="59" t="s">
        <v>10</v>
      </c>
    </row>
    <row r="126" spans="2:9" ht="25.5" customHeight="1" x14ac:dyDescent="0.25">
      <c r="B126" s="81" t="s">
        <v>95</v>
      </c>
      <c r="C126" s="234"/>
      <c r="D126" s="234"/>
      <c r="E126" s="235"/>
      <c r="F126" s="232" t="s">
        <v>143</v>
      </c>
      <c r="G126" s="231"/>
      <c r="H126" s="242"/>
      <c r="I126" s="80" t="s">
        <v>10</v>
      </c>
    </row>
    <row r="127" spans="2:9" ht="15.75" customHeight="1" x14ac:dyDescent="0.25">
      <c r="B127" s="75" t="s">
        <v>28</v>
      </c>
      <c r="C127" s="234"/>
      <c r="D127" s="234"/>
      <c r="E127" s="235"/>
      <c r="F127" s="232" t="s">
        <v>144</v>
      </c>
      <c r="G127" s="231"/>
      <c r="H127" s="242"/>
      <c r="I127" s="59" t="s">
        <v>10</v>
      </c>
    </row>
    <row r="128" spans="2:9" ht="15.75" customHeight="1" x14ac:dyDescent="0.25">
      <c r="B128" s="76" t="s">
        <v>54</v>
      </c>
      <c r="C128" s="234"/>
      <c r="D128" s="234"/>
      <c r="E128" s="235"/>
      <c r="F128" s="232" t="s">
        <v>145</v>
      </c>
      <c r="G128" s="231"/>
      <c r="H128" s="242"/>
      <c r="I128" s="59" t="s">
        <v>10</v>
      </c>
    </row>
    <row r="129" spans="2:9" ht="15.75" customHeight="1" x14ac:dyDescent="0.25">
      <c r="B129" s="76" t="s">
        <v>60</v>
      </c>
      <c r="C129" s="234"/>
      <c r="D129" s="234"/>
      <c r="E129" s="235"/>
      <c r="F129" s="232" t="s">
        <v>146</v>
      </c>
      <c r="G129" s="231"/>
      <c r="H129" s="242"/>
      <c r="I129" s="59" t="s">
        <v>10</v>
      </c>
    </row>
    <row r="130" spans="2:9" ht="15.75" customHeight="1" x14ac:dyDescent="0.25">
      <c r="B130" s="75" t="s">
        <v>147</v>
      </c>
      <c r="C130" s="234"/>
      <c r="D130" s="234"/>
      <c r="E130" s="235"/>
      <c r="F130" s="232" t="s">
        <v>148</v>
      </c>
      <c r="G130" s="231"/>
      <c r="H130" s="242"/>
      <c r="I130" s="58" t="s">
        <v>10</v>
      </c>
    </row>
    <row r="131" spans="2:9" ht="15.75" customHeight="1" x14ac:dyDescent="0.25">
      <c r="B131" s="76" t="s">
        <v>127</v>
      </c>
      <c r="C131" s="234"/>
      <c r="D131" s="234"/>
      <c r="E131" s="235"/>
      <c r="F131" s="232" t="s">
        <v>148</v>
      </c>
      <c r="G131" s="231"/>
      <c r="H131" s="242"/>
      <c r="I131" s="59" t="s">
        <v>10</v>
      </c>
    </row>
    <row r="132" spans="2:9" ht="15.75" customHeight="1" x14ac:dyDescent="0.25">
      <c r="B132" s="81" t="s">
        <v>127</v>
      </c>
      <c r="C132" s="234"/>
      <c r="D132" s="234"/>
      <c r="E132" s="235"/>
      <c r="F132" s="232">
        <v>0</v>
      </c>
      <c r="G132" s="231"/>
      <c r="H132" s="242"/>
      <c r="I132" s="80" t="s">
        <v>10</v>
      </c>
    </row>
    <row r="133" spans="2:9" ht="15.75" customHeight="1" x14ac:dyDescent="0.25">
      <c r="B133" s="75" t="s">
        <v>149</v>
      </c>
      <c r="C133" s="234"/>
      <c r="D133" s="234"/>
      <c r="E133" s="235"/>
      <c r="F133" s="232">
        <v>0</v>
      </c>
      <c r="G133" s="231"/>
      <c r="H133" s="242"/>
      <c r="I133" s="58" t="s">
        <v>10</v>
      </c>
    </row>
    <row r="134" spans="2:9" ht="15.75" customHeight="1" x14ac:dyDescent="0.25">
      <c r="B134" s="76" t="s">
        <v>127</v>
      </c>
      <c r="C134" s="234"/>
      <c r="D134" s="234"/>
      <c r="E134" s="235"/>
      <c r="F134" s="232">
        <v>0</v>
      </c>
      <c r="G134" s="231"/>
      <c r="H134" s="242"/>
      <c r="I134" s="59" t="s">
        <v>10</v>
      </c>
    </row>
    <row r="135" spans="2:9" ht="15.75" customHeight="1" x14ac:dyDescent="0.25">
      <c r="B135" s="81" t="s">
        <v>102</v>
      </c>
      <c r="C135" s="234"/>
      <c r="D135" s="234"/>
      <c r="E135" s="235"/>
      <c r="F135" s="232" t="s">
        <v>103</v>
      </c>
      <c r="G135" s="231"/>
      <c r="H135" s="242"/>
      <c r="I135" s="80" t="s">
        <v>10</v>
      </c>
    </row>
    <row r="136" spans="2:9" ht="15.75" customHeight="1" x14ac:dyDescent="0.25">
      <c r="B136" s="81" t="s">
        <v>109</v>
      </c>
      <c r="C136" s="234"/>
      <c r="D136" s="234"/>
      <c r="E136" s="235"/>
      <c r="F136" s="232" t="s">
        <v>150</v>
      </c>
      <c r="G136" s="231"/>
      <c r="H136" s="242"/>
      <c r="I136" s="80" t="s">
        <v>108</v>
      </c>
    </row>
    <row r="137" spans="2:9" ht="15.75" customHeight="1" x14ac:dyDescent="0.25">
      <c r="B137" s="77" t="s">
        <v>151</v>
      </c>
      <c r="C137" s="234"/>
      <c r="D137" s="234"/>
      <c r="E137" s="235"/>
      <c r="F137" s="232" t="s">
        <v>150</v>
      </c>
      <c r="G137" s="231"/>
      <c r="H137" s="242"/>
      <c r="I137" s="59" t="s">
        <v>10</v>
      </c>
    </row>
    <row r="138" spans="2:9" ht="15.75" customHeight="1" x14ac:dyDescent="0.25">
      <c r="B138" s="81" t="s">
        <v>111</v>
      </c>
      <c r="C138" s="234"/>
      <c r="D138" s="234"/>
      <c r="E138" s="235"/>
      <c r="F138" s="232" t="s">
        <v>112</v>
      </c>
      <c r="G138" s="231"/>
      <c r="H138" s="242"/>
      <c r="I138" s="80" t="s">
        <v>108</v>
      </c>
    </row>
    <row r="139" spans="2:9" ht="15.75" customHeight="1" x14ac:dyDescent="0.25">
      <c r="B139" s="76" t="s">
        <v>152</v>
      </c>
      <c r="C139" s="234"/>
      <c r="D139" s="234"/>
      <c r="E139" s="235"/>
      <c r="F139" s="232" t="s">
        <v>153</v>
      </c>
      <c r="G139" s="231"/>
      <c r="H139" s="242"/>
      <c r="I139" s="59" t="s">
        <v>10</v>
      </c>
    </row>
    <row r="140" spans="2:9" ht="15.75" customHeight="1" x14ac:dyDescent="0.25">
      <c r="B140" s="81" t="s">
        <v>41</v>
      </c>
      <c r="C140" s="234"/>
      <c r="D140" s="234"/>
      <c r="E140" s="235"/>
      <c r="F140" s="232" t="s">
        <v>113</v>
      </c>
      <c r="G140" s="231"/>
      <c r="H140" s="242"/>
      <c r="I140" s="80" t="s">
        <v>10</v>
      </c>
    </row>
    <row r="141" spans="2:9" ht="15.75" customHeight="1" x14ac:dyDescent="0.25">
      <c r="B141" s="78"/>
      <c r="C141" s="234"/>
      <c r="D141" s="234"/>
      <c r="E141" s="235">
        <v>35</v>
      </c>
      <c r="F141" s="232"/>
      <c r="G141" s="231"/>
      <c r="H141" s="242"/>
      <c r="I141" s="80"/>
    </row>
    <row r="142" spans="2:9" ht="51" customHeight="1" x14ac:dyDescent="0.25">
      <c r="B142" s="82" t="s">
        <v>154</v>
      </c>
      <c r="C142" s="234"/>
      <c r="D142" s="234"/>
      <c r="E142" s="235"/>
      <c r="F142" s="232" t="s">
        <v>155</v>
      </c>
      <c r="G142" s="231"/>
      <c r="H142" s="242"/>
      <c r="I142" s="80" t="s">
        <v>10</v>
      </c>
    </row>
    <row r="143" spans="2:9" ht="51" customHeight="1" x14ac:dyDescent="0.25">
      <c r="B143" s="81" t="s">
        <v>95</v>
      </c>
      <c r="C143" s="234"/>
      <c r="D143" s="234"/>
      <c r="E143" s="235"/>
      <c r="F143" s="232" t="s">
        <v>156</v>
      </c>
      <c r="G143" s="231"/>
      <c r="H143" s="242"/>
      <c r="I143" s="80" t="s">
        <v>10</v>
      </c>
    </row>
    <row r="144" spans="2:9" ht="25.5" customHeight="1" x14ac:dyDescent="0.25">
      <c r="B144" s="75" t="s">
        <v>28</v>
      </c>
      <c r="C144" s="234"/>
      <c r="D144" s="234"/>
      <c r="E144" s="235"/>
      <c r="F144" s="232" t="s">
        <v>157</v>
      </c>
      <c r="G144" s="231"/>
      <c r="H144" s="242"/>
      <c r="I144" s="58" t="s">
        <v>10</v>
      </c>
    </row>
    <row r="145" spans="2:9" ht="15.75" customHeight="1" x14ac:dyDescent="0.25">
      <c r="B145" s="75" t="s">
        <v>30</v>
      </c>
      <c r="C145" s="234"/>
      <c r="D145" s="234"/>
      <c r="E145" s="235"/>
      <c r="F145" s="232" t="s">
        <v>158</v>
      </c>
      <c r="G145" s="231"/>
      <c r="H145" s="242"/>
      <c r="I145" s="58" t="s">
        <v>10</v>
      </c>
    </row>
    <row r="146" spans="2:9" ht="15.75" customHeight="1" x14ac:dyDescent="0.25">
      <c r="B146" s="75" t="s">
        <v>159</v>
      </c>
      <c r="C146" s="234"/>
      <c r="D146" s="234"/>
      <c r="E146" s="235"/>
      <c r="F146" s="232" t="s">
        <v>160</v>
      </c>
      <c r="G146" s="231"/>
      <c r="H146" s="242"/>
      <c r="I146" s="58" t="s">
        <v>10</v>
      </c>
    </row>
    <row r="147" spans="2:9" ht="15.75" customHeight="1" x14ac:dyDescent="0.25">
      <c r="B147" s="75" t="s">
        <v>161</v>
      </c>
      <c r="C147" s="234"/>
      <c r="D147" s="234"/>
      <c r="E147" s="235"/>
      <c r="F147" s="232" t="s">
        <v>162</v>
      </c>
      <c r="G147" s="231"/>
      <c r="H147" s="242"/>
      <c r="I147" s="58" t="s">
        <v>10</v>
      </c>
    </row>
    <row r="148" spans="2:9" ht="15.75" customHeight="1" x14ac:dyDescent="0.25">
      <c r="B148" s="81" t="s">
        <v>41</v>
      </c>
      <c r="C148" s="234"/>
      <c r="D148" s="234"/>
      <c r="E148" s="235"/>
      <c r="F148" s="232" t="s">
        <v>163</v>
      </c>
      <c r="G148" s="231"/>
      <c r="H148" s="242"/>
      <c r="I148" s="80" t="s">
        <v>10</v>
      </c>
    </row>
    <row r="149" spans="2:9" ht="25.5" customHeight="1" x14ac:dyDescent="0.25">
      <c r="B149" s="72" t="s">
        <v>164</v>
      </c>
      <c r="C149" s="234"/>
      <c r="D149" s="234"/>
      <c r="E149" s="235"/>
      <c r="F149" s="232" t="s">
        <v>165</v>
      </c>
      <c r="G149" s="231"/>
      <c r="H149" s="242"/>
      <c r="I149" s="80" t="s">
        <v>10</v>
      </c>
    </row>
    <row r="150" spans="2:9" ht="25.5" customHeight="1" x14ac:dyDescent="0.25">
      <c r="B150" s="81" t="s">
        <v>95</v>
      </c>
      <c r="C150" s="234"/>
      <c r="D150" s="234"/>
      <c r="E150" s="235"/>
      <c r="F150" s="232" t="s">
        <v>165</v>
      </c>
      <c r="G150" s="231"/>
      <c r="H150" s="242"/>
      <c r="I150" s="80" t="s">
        <v>10</v>
      </c>
    </row>
    <row r="151" spans="2:9" ht="15.75" customHeight="1" x14ac:dyDescent="0.25">
      <c r="B151" s="75" t="s">
        <v>28</v>
      </c>
      <c r="C151" s="234"/>
      <c r="D151" s="234"/>
      <c r="E151" s="235"/>
      <c r="F151" s="232" t="s">
        <v>166</v>
      </c>
      <c r="G151" s="231"/>
      <c r="H151" s="242"/>
      <c r="I151" s="58" t="s">
        <v>10</v>
      </c>
    </row>
    <row r="152" spans="2:9" ht="15.75" customHeight="1" x14ac:dyDescent="0.25">
      <c r="B152" s="76" t="s">
        <v>82</v>
      </c>
      <c r="C152" s="234"/>
      <c r="D152" s="234"/>
      <c r="E152" s="235"/>
      <c r="F152" s="232" t="s">
        <v>167</v>
      </c>
      <c r="G152" s="231"/>
      <c r="H152" s="242"/>
      <c r="I152" s="59" t="s">
        <v>10</v>
      </c>
    </row>
    <row r="153" spans="2:9" ht="15.75" customHeight="1" x14ac:dyDescent="0.25">
      <c r="B153" s="76" t="s">
        <v>52</v>
      </c>
      <c r="C153" s="234"/>
      <c r="D153" s="234"/>
      <c r="E153" s="235"/>
      <c r="F153" s="232" t="s">
        <v>168</v>
      </c>
      <c r="G153" s="231"/>
      <c r="H153" s="242"/>
      <c r="I153" s="59" t="s">
        <v>10</v>
      </c>
    </row>
    <row r="154" spans="2:9" ht="15.75" customHeight="1" x14ac:dyDescent="0.25">
      <c r="B154" s="75" t="s">
        <v>169</v>
      </c>
      <c r="C154" s="234"/>
      <c r="D154" s="234"/>
      <c r="E154" s="235"/>
      <c r="F154" s="232" t="s">
        <v>158</v>
      </c>
      <c r="G154" s="231"/>
      <c r="H154" s="242"/>
      <c r="I154" s="58" t="s">
        <v>10</v>
      </c>
    </row>
    <row r="155" spans="2:9" ht="15.75" customHeight="1" x14ac:dyDescent="0.25">
      <c r="B155" s="76" t="s">
        <v>119</v>
      </c>
      <c r="C155" s="234"/>
      <c r="D155" s="234"/>
      <c r="E155" s="235"/>
      <c r="F155" s="232" t="s">
        <v>158</v>
      </c>
      <c r="G155" s="231"/>
      <c r="H155" s="242"/>
      <c r="I155" s="59" t="s">
        <v>10</v>
      </c>
    </row>
    <row r="156" spans="2:9" ht="15.75" customHeight="1" x14ac:dyDescent="0.25">
      <c r="B156" s="75" t="s">
        <v>159</v>
      </c>
      <c r="C156" s="234"/>
      <c r="D156" s="234"/>
      <c r="E156" s="235"/>
      <c r="F156" s="232" t="s">
        <v>170</v>
      </c>
      <c r="G156" s="231"/>
      <c r="H156" s="242"/>
      <c r="I156" s="58" t="s">
        <v>10</v>
      </c>
    </row>
    <row r="157" spans="2:9" ht="15.75" customHeight="1" x14ac:dyDescent="0.25">
      <c r="B157" s="76" t="s">
        <v>127</v>
      </c>
      <c r="C157" s="234"/>
      <c r="D157" s="234"/>
      <c r="E157" s="235"/>
      <c r="F157" s="232" t="s">
        <v>170</v>
      </c>
      <c r="G157" s="231"/>
      <c r="H157" s="242"/>
      <c r="I157" s="59" t="s">
        <v>10</v>
      </c>
    </row>
    <row r="158" spans="2:9" ht="15.75" customHeight="1" x14ac:dyDescent="0.25">
      <c r="B158" s="75" t="s">
        <v>161</v>
      </c>
      <c r="C158" s="234"/>
      <c r="D158" s="234"/>
      <c r="E158" s="235"/>
      <c r="F158" s="232" t="s">
        <v>162</v>
      </c>
      <c r="G158" s="231"/>
      <c r="H158" s="242"/>
      <c r="I158" s="58" t="s">
        <v>10</v>
      </c>
    </row>
    <row r="159" spans="2:9" ht="15.75" customHeight="1" x14ac:dyDescent="0.25">
      <c r="B159" s="76" t="s">
        <v>171</v>
      </c>
      <c r="C159" s="234"/>
      <c r="D159" s="234"/>
      <c r="E159" s="235"/>
      <c r="F159" s="232" t="s">
        <v>162</v>
      </c>
      <c r="G159" s="231"/>
      <c r="H159" s="242"/>
      <c r="I159" s="59" t="s">
        <v>10</v>
      </c>
    </row>
    <row r="160" spans="2:9" ht="25.5" customHeight="1" x14ac:dyDescent="0.25">
      <c r="B160" s="72" t="s">
        <v>172</v>
      </c>
      <c r="C160" s="234"/>
      <c r="D160" s="234"/>
      <c r="E160" s="235"/>
      <c r="F160" s="232" t="s">
        <v>173</v>
      </c>
      <c r="G160" s="231"/>
      <c r="H160" s="242"/>
      <c r="I160" s="80" t="s">
        <v>10</v>
      </c>
    </row>
    <row r="161" spans="2:9" ht="25.5" customHeight="1" x14ac:dyDescent="0.25">
      <c r="B161" s="81" t="s">
        <v>95</v>
      </c>
      <c r="C161" s="234"/>
      <c r="D161" s="234"/>
      <c r="E161" s="235"/>
      <c r="F161" s="232" t="s">
        <v>174</v>
      </c>
      <c r="G161" s="231"/>
      <c r="H161" s="242"/>
      <c r="I161" s="80" t="s">
        <v>10</v>
      </c>
    </row>
    <row r="162" spans="2:9" ht="15.75" customHeight="1" x14ac:dyDescent="0.25">
      <c r="B162" s="75" t="s">
        <v>28</v>
      </c>
      <c r="C162" s="234"/>
      <c r="D162" s="234"/>
      <c r="E162" s="235"/>
      <c r="F162" s="232" t="s">
        <v>175</v>
      </c>
      <c r="G162" s="231"/>
      <c r="H162" s="242"/>
      <c r="I162" s="58" t="s">
        <v>10</v>
      </c>
    </row>
    <row r="163" spans="2:9" ht="15.75" customHeight="1" x14ac:dyDescent="0.25">
      <c r="B163" s="76" t="s">
        <v>54</v>
      </c>
      <c r="C163" s="234"/>
      <c r="D163" s="234"/>
      <c r="E163" s="235"/>
      <c r="F163" s="232" t="s">
        <v>176</v>
      </c>
      <c r="G163" s="231"/>
      <c r="H163" s="242"/>
      <c r="I163" s="59" t="s">
        <v>10</v>
      </c>
    </row>
    <row r="164" spans="2:9" ht="15.75" customHeight="1" x14ac:dyDescent="0.25">
      <c r="B164" s="76" t="s">
        <v>60</v>
      </c>
      <c r="C164" s="234"/>
      <c r="D164" s="234"/>
      <c r="E164" s="235"/>
      <c r="F164" s="232" t="s">
        <v>177</v>
      </c>
      <c r="G164" s="231"/>
      <c r="H164" s="242"/>
      <c r="I164" s="59" t="s">
        <v>10</v>
      </c>
    </row>
    <row r="165" spans="2:9" ht="15.75" customHeight="1" x14ac:dyDescent="0.25">
      <c r="B165" s="75" t="s">
        <v>149</v>
      </c>
      <c r="C165" s="234"/>
      <c r="D165" s="234"/>
      <c r="E165" s="235"/>
      <c r="F165" s="232" t="s">
        <v>178</v>
      </c>
      <c r="G165" s="231"/>
      <c r="H165" s="242"/>
      <c r="I165" s="58" t="s">
        <v>10</v>
      </c>
    </row>
    <row r="166" spans="2:9" ht="15.75" customHeight="1" x14ac:dyDescent="0.25">
      <c r="B166" s="76" t="s">
        <v>127</v>
      </c>
      <c r="C166" s="234"/>
      <c r="D166" s="234"/>
      <c r="E166" s="235"/>
      <c r="F166" s="232" t="s">
        <v>178</v>
      </c>
      <c r="G166" s="231"/>
      <c r="H166" s="242"/>
      <c r="I166" s="59" t="s">
        <v>10</v>
      </c>
    </row>
    <row r="167" spans="2:9" ht="15.75" customHeight="1" x14ac:dyDescent="0.25">
      <c r="B167" s="81" t="s">
        <v>56</v>
      </c>
      <c r="C167" s="234"/>
      <c r="D167" s="234"/>
      <c r="E167" s="235"/>
      <c r="F167" s="232" t="s">
        <v>179</v>
      </c>
      <c r="G167" s="231"/>
      <c r="H167" s="242"/>
      <c r="I167" s="80" t="s">
        <v>10</v>
      </c>
    </row>
    <row r="168" spans="2:9" ht="15.75" customHeight="1" x14ac:dyDescent="0.25">
      <c r="B168" s="75" t="s">
        <v>180</v>
      </c>
      <c r="C168" s="234"/>
      <c r="D168" s="234"/>
      <c r="E168" s="235"/>
      <c r="F168" s="232" t="s">
        <v>179</v>
      </c>
      <c r="G168" s="231"/>
      <c r="H168" s="242"/>
      <c r="I168" s="58" t="s">
        <v>10</v>
      </c>
    </row>
    <row r="169" spans="2:9" ht="15.75" customHeight="1" x14ac:dyDescent="0.25">
      <c r="B169" s="76" t="s">
        <v>56</v>
      </c>
      <c r="C169" s="234"/>
      <c r="D169" s="234"/>
      <c r="E169" s="235"/>
      <c r="F169" s="232" t="s">
        <v>179</v>
      </c>
      <c r="G169" s="231"/>
      <c r="H169" s="242"/>
      <c r="I169" s="59" t="s">
        <v>10</v>
      </c>
    </row>
    <row r="170" spans="2:9" ht="15.75" customHeight="1" x14ac:dyDescent="0.25">
      <c r="B170" s="89" t="s">
        <v>41</v>
      </c>
      <c r="C170" s="234"/>
      <c r="D170" s="234"/>
      <c r="E170" s="235"/>
      <c r="F170" s="232" t="s">
        <v>163</v>
      </c>
      <c r="G170" s="231"/>
      <c r="H170" s="242"/>
      <c r="I170" s="80" t="s">
        <v>10</v>
      </c>
    </row>
    <row r="171" spans="2:9" ht="15.75" customHeight="1" x14ac:dyDescent="0.25">
      <c r="B171" s="76"/>
      <c r="C171" s="234"/>
      <c r="D171" s="234"/>
      <c r="E171" s="235">
        <v>36</v>
      </c>
      <c r="F171" s="232"/>
      <c r="G171" s="231"/>
      <c r="H171" s="242"/>
      <c r="I171" s="80"/>
    </row>
    <row r="172" spans="2:9" ht="63.75" customHeight="1" x14ac:dyDescent="0.25">
      <c r="B172" s="79" t="s">
        <v>181</v>
      </c>
      <c r="C172" s="234"/>
      <c r="D172" s="234"/>
      <c r="E172" s="235"/>
      <c r="F172" s="232" t="s">
        <v>182</v>
      </c>
      <c r="G172" s="231"/>
      <c r="H172" s="242"/>
      <c r="I172" s="80" t="s">
        <v>10</v>
      </c>
    </row>
    <row r="173" spans="2:9" ht="15.75" customHeight="1" x14ac:dyDescent="0.25">
      <c r="B173" s="81" t="s">
        <v>102</v>
      </c>
      <c r="C173" s="234"/>
      <c r="D173" s="234"/>
      <c r="E173" s="235"/>
      <c r="F173" s="232" t="s">
        <v>183</v>
      </c>
      <c r="G173" s="231"/>
      <c r="H173" s="242"/>
      <c r="I173" s="80" t="s">
        <v>10</v>
      </c>
    </row>
    <row r="174" spans="2:9" ht="38.25" customHeight="1" x14ac:dyDescent="0.25">
      <c r="B174" s="81" t="s">
        <v>127</v>
      </c>
      <c r="C174" s="234"/>
      <c r="D174" s="234"/>
      <c r="E174" s="235"/>
      <c r="F174" s="232" t="s">
        <v>184</v>
      </c>
      <c r="G174" s="231"/>
      <c r="H174" s="242"/>
      <c r="I174" s="80" t="s">
        <v>10</v>
      </c>
    </row>
    <row r="175" spans="2:9" ht="25.5" customHeight="1" x14ac:dyDescent="0.25">
      <c r="B175" s="81" t="s">
        <v>109</v>
      </c>
      <c r="C175" s="234"/>
      <c r="D175" s="234"/>
      <c r="E175" s="235"/>
      <c r="F175" s="232" t="s">
        <v>185</v>
      </c>
      <c r="G175" s="231"/>
      <c r="H175" s="242"/>
      <c r="I175" s="80" t="s">
        <v>108</v>
      </c>
    </row>
    <row r="176" spans="2:9" ht="15.75" customHeight="1" x14ac:dyDescent="0.25">
      <c r="B176" s="82" t="s">
        <v>186</v>
      </c>
      <c r="C176" s="234"/>
      <c r="D176" s="234"/>
      <c r="E176" s="235"/>
      <c r="F176" s="232" t="s">
        <v>187</v>
      </c>
      <c r="G176" s="231"/>
      <c r="H176" s="242"/>
      <c r="I176" s="80" t="s">
        <v>10</v>
      </c>
    </row>
    <row r="177" spans="2:9" ht="15.75" customHeight="1" x14ac:dyDescent="0.25">
      <c r="B177" s="81" t="s">
        <v>127</v>
      </c>
      <c r="C177" s="234"/>
      <c r="D177" s="234"/>
      <c r="E177" s="235"/>
      <c r="F177" s="232">
        <v>0</v>
      </c>
      <c r="G177" s="231"/>
      <c r="H177" s="242"/>
      <c r="I177" s="80" t="s">
        <v>10</v>
      </c>
    </row>
    <row r="178" spans="2:9" ht="15.75" customHeight="1" x14ac:dyDescent="0.25">
      <c r="B178" s="76" t="s">
        <v>188</v>
      </c>
      <c r="C178" s="234"/>
      <c r="D178" s="234"/>
      <c r="E178" s="235">
        <v>37</v>
      </c>
      <c r="F178" s="232"/>
      <c r="G178" s="231"/>
      <c r="H178" s="242"/>
      <c r="I178" s="59" t="s">
        <v>10</v>
      </c>
    </row>
    <row r="179" spans="2:9" ht="15.75" customHeight="1" x14ac:dyDescent="0.25">
      <c r="B179" s="81" t="s">
        <v>109</v>
      </c>
      <c r="C179" s="234"/>
      <c r="D179" s="234"/>
      <c r="E179" s="235"/>
      <c r="F179" s="232" t="s">
        <v>189</v>
      </c>
      <c r="G179" s="231"/>
      <c r="H179" s="242"/>
      <c r="I179" s="80" t="s">
        <v>108</v>
      </c>
    </row>
    <row r="180" spans="2:9" ht="15.75" customHeight="1" x14ac:dyDescent="0.25">
      <c r="B180" s="76" t="s">
        <v>137</v>
      </c>
      <c r="C180" s="234"/>
      <c r="D180" s="234"/>
      <c r="E180" s="235"/>
      <c r="F180" s="232" t="s">
        <v>189</v>
      </c>
      <c r="G180" s="231"/>
      <c r="H180" s="242"/>
      <c r="I180" s="59" t="s">
        <v>10</v>
      </c>
    </row>
    <row r="181" spans="2:9" ht="15.75" customHeight="1" x14ac:dyDescent="0.25">
      <c r="B181" s="76" t="s">
        <v>190</v>
      </c>
      <c r="C181" s="234"/>
      <c r="D181" s="234"/>
      <c r="E181" s="235"/>
      <c r="F181" s="232" t="s">
        <v>191</v>
      </c>
      <c r="G181" s="231"/>
      <c r="H181" s="242"/>
      <c r="I181" s="59" t="s">
        <v>10</v>
      </c>
    </row>
    <row r="182" spans="2:9" ht="63.75" customHeight="1" x14ac:dyDescent="0.25">
      <c r="B182" s="82" t="s">
        <v>192</v>
      </c>
      <c r="C182" s="234"/>
      <c r="D182" s="234"/>
      <c r="E182" s="235"/>
      <c r="F182" s="232" t="s">
        <v>193</v>
      </c>
      <c r="G182" s="231"/>
      <c r="H182" s="242"/>
      <c r="I182" s="80" t="s">
        <v>10</v>
      </c>
    </row>
    <row r="183" spans="2:9" ht="15.75" customHeight="1" x14ac:dyDescent="0.25">
      <c r="B183" s="81" t="s">
        <v>102</v>
      </c>
      <c r="C183" s="234"/>
      <c r="D183" s="234"/>
      <c r="E183" s="235"/>
      <c r="F183" s="232" t="s">
        <v>183</v>
      </c>
      <c r="G183" s="231"/>
      <c r="H183" s="242"/>
      <c r="I183" s="80" t="s">
        <v>10</v>
      </c>
    </row>
    <row r="184" spans="2:9" ht="15.75" customHeight="1" x14ac:dyDescent="0.25">
      <c r="B184" s="76" t="s">
        <v>194</v>
      </c>
      <c r="C184" s="234"/>
      <c r="D184" s="234"/>
      <c r="E184" s="235"/>
      <c r="F184" s="232" t="s">
        <v>195</v>
      </c>
      <c r="G184" s="231"/>
      <c r="H184" s="242"/>
      <c r="I184" s="59" t="s">
        <v>10</v>
      </c>
    </row>
    <row r="185" spans="2:9" ht="15.75" customHeight="1" x14ac:dyDescent="0.25">
      <c r="B185" s="83" t="s">
        <v>196</v>
      </c>
      <c r="C185" s="234"/>
      <c r="D185" s="234"/>
      <c r="E185" s="235"/>
      <c r="F185" s="232" t="s">
        <v>197</v>
      </c>
      <c r="G185" s="231"/>
      <c r="H185" s="242"/>
      <c r="I185" s="59" t="s">
        <v>10</v>
      </c>
    </row>
    <row r="186" spans="2:9" ht="38.25" customHeight="1" x14ac:dyDescent="0.25">
      <c r="B186" s="84" t="s">
        <v>127</v>
      </c>
      <c r="C186" s="234"/>
      <c r="D186" s="234"/>
      <c r="E186" s="235"/>
      <c r="F186" s="232" t="s">
        <v>198</v>
      </c>
      <c r="G186" s="231"/>
      <c r="H186" s="242"/>
      <c r="I186" s="80" t="s">
        <v>10</v>
      </c>
    </row>
    <row r="187" spans="2:9" ht="25.5" customHeight="1" x14ac:dyDescent="0.25">
      <c r="B187" s="83" t="s">
        <v>188</v>
      </c>
      <c r="C187" s="234"/>
      <c r="D187" s="234"/>
      <c r="E187" s="235"/>
      <c r="F187" s="232" t="s">
        <v>199</v>
      </c>
      <c r="G187" s="231"/>
      <c r="H187" s="242"/>
      <c r="I187" s="59" t="s">
        <v>10</v>
      </c>
    </row>
    <row r="188" spans="2:9" ht="15.75" customHeight="1" x14ac:dyDescent="0.25">
      <c r="B188" s="83" t="s">
        <v>200</v>
      </c>
      <c r="C188" s="234"/>
      <c r="D188" s="234"/>
      <c r="E188" s="235"/>
      <c r="F188" s="232" t="s">
        <v>201</v>
      </c>
      <c r="G188" s="231"/>
      <c r="H188" s="242"/>
      <c r="I188" s="59" t="s">
        <v>10</v>
      </c>
    </row>
    <row r="189" spans="2:9" ht="15.75" customHeight="1" x14ac:dyDescent="0.25">
      <c r="B189" s="83" t="s">
        <v>202</v>
      </c>
      <c r="C189" s="234"/>
      <c r="D189" s="234"/>
      <c r="E189" s="235"/>
      <c r="F189" s="232" t="s">
        <v>203</v>
      </c>
      <c r="G189" s="231"/>
      <c r="H189" s="242"/>
      <c r="I189" s="59" t="s">
        <v>10</v>
      </c>
    </row>
    <row r="190" spans="2:9" ht="15.75" customHeight="1" x14ac:dyDescent="0.25">
      <c r="B190" s="84" t="s">
        <v>109</v>
      </c>
      <c r="C190" s="234"/>
      <c r="D190" s="234"/>
      <c r="E190" s="235"/>
      <c r="F190" s="232" t="s">
        <v>204</v>
      </c>
      <c r="G190" s="231"/>
      <c r="H190" s="242"/>
      <c r="I190" s="80" t="s">
        <v>108</v>
      </c>
    </row>
    <row r="191" spans="2:9" ht="15.75" customHeight="1" x14ac:dyDescent="0.25">
      <c r="B191" s="83" t="s">
        <v>205</v>
      </c>
      <c r="C191" s="234"/>
      <c r="D191" s="234"/>
      <c r="E191" s="235"/>
      <c r="F191" s="232" t="s">
        <v>206</v>
      </c>
      <c r="G191" s="231"/>
      <c r="H191" s="242"/>
      <c r="I191" s="59" t="s">
        <v>10</v>
      </c>
    </row>
    <row r="192" spans="2:9" ht="15.75" customHeight="1" x14ac:dyDescent="0.25">
      <c r="B192" s="83" t="s">
        <v>207</v>
      </c>
      <c r="C192" s="234"/>
      <c r="D192" s="234"/>
      <c r="E192" s="235"/>
      <c r="F192" s="232" t="s">
        <v>208</v>
      </c>
      <c r="G192" s="231"/>
      <c r="H192" s="242"/>
      <c r="I192" s="59" t="s">
        <v>10</v>
      </c>
    </row>
    <row r="193" spans="2:9" ht="15.75" customHeight="1" x14ac:dyDescent="0.25">
      <c r="B193" s="83"/>
      <c r="C193" s="234"/>
      <c r="D193" s="234"/>
      <c r="E193" s="235">
        <v>38</v>
      </c>
      <c r="F193" s="232"/>
      <c r="G193" s="231"/>
      <c r="H193" s="242"/>
      <c r="I193" s="80"/>
    </row>
    <row r="194" spans="2:9" ht="63.75" customHeight="1" x14ac:dyDescent="0.25">
      <c r="B194" s="85" t="s">
        <v>209</v>
      </c>
      <c r="C194" s="234"/>
      <c r="D194" s="234"/>
      <c r="E194" s="235"/>
      <c r="F194" s="232" t="s">
        <v>210</v>
      </c>
      <c r="G194" s="231"/>
      <c r="H194" s="242"/>
      <c r="I194" s="80" t="s">
        <v>10</v>
      </c>
    </row>
    <row r="195" spans="2:9" ht="15.75" customHeight="1" x14ac:dyDescent="0.25">
      <c r="B195" s="84" t="s">
        <v>102</v>
      </c>
      <c r="C195" s="234"/>
      <c r="D195" s="234"/>
      <c r="E195" s="235"/>
      <c r="F195" s="232" t="s">
        <v>211</v>
      </c>
      <c r="G195" s="231"/>
      <c r="H195" s="242"/>
      <c r="I195" s="80" t="s">
        <v>10</v>
      </c>
    </row>
    <row r="196" spans="2:9" ht="38.25" customHeight="1" x14ac:dyDescent="0.25">
      <c r="B196" s="84" t="s">
        <v>127</v>
      </c>
      <c r="C196" s="234"/>
      <c r="D196" s="234"/>
      <c r="E196" s="235"/>
      <c r="F196" s="232" t="s">
        <v>212</v>
      </c>
      <c r="G196" s="231"/>
      <c r="H196" s="242"/>
      <c r="I196" s="80" t="s">
        <v>10</v>
      </c>
    </row>
    <row r="197" spans="2:9" ht="15.75" customHeight="1" x14ac:dyDescent="0.25">
      <c r="B197" s="84" t="s">
        <v>213</v>
      </c>
      <c r="C197" s="234"/>
      <c r="D197" s="234"/>
      <c r="E197" s="235"/>
      <c r="F197" s="232" t="s">
        <v>214</v>
      </c>
      <c r="G197" s="231"/>
      <c r="H197" s="242"/>
      <c r="I197" s="80" t="s">
        <v>10</v>
      </c>
    </row>
    <row r="198" spans="2:9" ht="15.75" customHeight="1" x14ac:dyDescent="0.25">
      <c r="B198" s="81" t="s">
        <v>109</v>
      </c>
      <c r="C198" s="234"/>
      <c r="D198" s="234"/>
      <c r="E198" s="235"/>
      <c r="F198" s="232" t="s">
        <v>215</v>
      </c>
      <c r="G198" s="231"/>
      <c r="H198" s="242"/>
      <c r="I198" s="80" t="s">
        <v>108</v>
      </c>
    </row>
    <row r="199" spans="2:9" ht="15.75" customHeight="1" x14ac:dyDescent="0.25">
      <c r="B199" s="86" t="s">
        <v>216</v>
      </c>
      <c r="C199" s="234"/>
      <c r="D199" s="234"/>
      <c r="E199" s="235">
        <v>39</v>
      </c>
      <c r="F199" s="232"/>
      <c r="G199" s="231"/>
      <c r="H199" s="242"/>
      <c r="I199" s="80" t="s">
        <v>10</v>
      </c>
    </row>
    <row r="200" spans="2:9" ht="63.75" customHeight="1" x14ac:dyDescent="0.25">
      <c r="B200" s="86" t="s">
        <v>217</v>
      </c>
      <c r="C200" s="234"/>
      <c r="D200" s="234"/>
      <c r="E200" s="235"/>
      <c r="F200" s="232" t="s">
        <v>210</v>
      </c>
      <c r="G200" s="231"/>
      <c r="H200" s="242"/>
      <c r="I200" s="80" t="s">
        <v>10</v>
      </c>
    </row>
    <row r="201" spans="2:9" ht="15.75" customHeight="1" x14ac:dyDescent="0.25">
      <c r="B201" s="84" t="s">
        <v>102</v>
      </c>
      <c r="C201" s="234"/>
      <c r="D201" s="234"/>
      <c r="E201" s="235"/>
      <c r="F201" s="232" t="s">
        <v>211</v>
      </c>
      <c r="G201" s="231"/>
      <c r="H201" s="242"/>
      <c r="I201" s="80" t="s">
        <v>10</v>
      </c>
    </row>
    <row r="202" spans="2:9" ht="15.75" customHeight="1" x14ac:dyDescent="0.25">
      <c r="B202" s="83" t="s">
        <v>194</v>
      </c>
      <c r="C202" s="234"/>
      <c r="D202" s="234"/>
      <c r="E202" s="235"/>
      <c r="F202" s="232" t="s">
        <v>211</v>
      </c>
      <c r="G202" s="231"/>
      <c r="H202" s="242"/>
      <c r="I202" s="59" t="s">
        <v>10</v>
      </c>
    </row>
    <row r="203" spans="2:9" ht="38.25" customHeight="1" x14ac:dyDescent="0.25">
      <c r="B203" s="84" t="s">
        <v>127</v>
      </c>
      <c r="C203" s="234"/>
      <c r="D203" s="234"/>
      <c r="E203" s="235"/>
      <c r="F203" s="232" t="s">
        <v>212</v>
      </c>
      <c r="G203" s="231"/>
      <c r="H203" s="242"/>
      <c r="I203" s="80" t="s">
        <v>10</v>
      </c>
    </row>
    <row r="204" spans="2:9" ht="25.5" customHeight="1" x14ac:dyDescent="0.25">
      <c r="B204" s="83" t="s">
        <v>218</v>
      </c>
      <c r="C204" s="234"/>
      <c r="D204" s="234"/>
      <c r="E204" s="235"/>
      <c r="F204" s="232" t="s">
        <v>219</v>
      </c>
      <c r="G204" s="231"/>
      <c r="H204" s="242"/>
      <c r="I204" s="59" t="s">
        <v>10</v>
      </c>
    </row>
    <row r="205" spans="2:9" ht="25.5" customHeight="1" x14ac:dyDescent="0.25">
      <c r="B205" s="83" t="s">
        <v>220</v>
      </c>
      <c r="C205" s="234"/>
      <c r="D205" s="234"/>
      <c r="E205" s="235"/>
      <c r="F205" s="232" t="s">
        <v>221</v>
      </c>
      <c r="G205" s="231"/>
      <c r="H205" s="242"/>
      <c r="I205" s="59" t="s">
        <v>10</v>
      </c>
    </row>
    <row r="206" spans="2:9" ht="15.75" customHeight="1" x14ac:dyDescent="0.25">
      <c r="B206" s="83" t="s">
        <v>222</v>
      </c>
      <c r="C206" s="234"/>
      <c r="D206" s="234"/>
      <c r="E206" s="235"/>
      <c r="F206" s="232" t="s">
        <v>223</v>
      </c>
      <c r="G206" s="231"/>
      <c r="H206" s="242"/>
      <c r="I206" s="59" t="s">
        <v>10</v>
      </c>
    </row>
    <row r="207" spans="2:9" ht="15.75" customHeight="1" x14ac:dyDescent="0.25">
      <c r="B207" s="84" t="s">
        <v>213</v>
      </c>
      <c r="C207" s="234"/>
      <c r="D207" s="234"/>
      <c r="E207" s="235"/>
      <c r="F207" s="232" t="s">
        <v>214</v>
      </c>
      <c r="G207" s="231"/>
      <c r="H207" s="242"/>
      <c r="I207" s="80" t="s">
        <v>10</v>
      </c>
    </row>
    <row r="208" spans="2:9" ht="15.75" customHeight="1" x14ac:dyDescent="0.25">
      <c r="B208" s="102" t="s">
        <v>224</v>
      </c>
      <c r="C208" s="234"/>
      <c r="D208" s="234"/>
      <c r="E208" s="235"/>
      <c r="F208" s="232" t="s">
        <v>225</v>
      </c>
      <c r="G208" s="231"/>
      <c r="H208" s="242"/>
      <c r="I208" s="59" t="s">
        <v>10</v>
      </c>
    </row>
    <row r="209" spans="2:9" ht="15.75" customHeight="1" x14ac:dyDescent="0.25">
      <c r="B209" s="102" t="s">
        <v>226</v>
      </c>
      <c r="C209" s="234"/>
      <c r="D209" s="234"/>
      <c r="E209" s="235"/>
      <c r="F209" s="232" t="s">
        <v>227</v>
      </c>
      <c r="G209" s="231"/>
      <c r="H209" s="242"/>
      <c r="I209" s="59" t="s">
        <v>10</v>
      </c>
    </row>
    <row r="210" spans="2:9" ht="15.75" customHeight="1" x14ac:dyDescent="0.25">
      <c r="B210" s="84" t="s">
        <v>109</v>
      </c>
      <c r="C210" s="234"/>
      <c r="D210" s="234"/>
      <c r="E210" s="235"/>
      <c r="F210" s="232" t="s">
        <v>215</v>
      </c>
      <c r="G210" s="231"/>
      <c r="H210" s="242"/>
      <c r="I210" s="80" t="s">
        <v>10</v>
      </c>
    </row>
    <row r="211" spans="2:9" ht="15.75" customHeight="1" x14ac:dyDescent="0.25">
      <c r="B211" s="102" t="s">
        <v>207</v>
      </c>
      <c r="C211" s="234"/>
      <c r="D211" s="234"/>
      <c r="E211" s="235"/>
      <c r="F211" s="232" t="s">
        <v>215</v>
      </c>
      <c r="G211" s="231"/>
      <c r="H211" s="242"/>
      <c r="I211" s="59" t="s">
        <v>10</v>
      </c>
    </row>
    <row r="212" spans="2:9" ht="15.75" customHeight="1" x14ac:dyDescent="0.25">
      <c r="B212" s="102"/>
      <c r="C212" s="234"/>
      <c r="D212" s="234"/>
      <c r="E212" s="235">
        <v>40</v>
      </c>
      <c r="F212" s="232"/>
      <c r="G212" s="231"/>
      <c r="H212" s="242"/>
      <c r="I212" s="80"/>
    </row>
    <row r="213" spans="2:9" ht="15.75" customHeight="1" x14ac:dyDescent="0.25">
      <c r="B213" s="75"/>
      <c r="C213" s="234"/>
      <c r="D213" s="234"/>
      <c r="E213" s="235">
        <v>41</v>
      </c>
      <c r="F213" s="232"/>
      <c r="G213" s="231"/>
      <c r="H213" s="242"/>
      <c r="I213" s="80"/>
    </row>
    <row r="214" spans="2:9" ht="15.75" customHeight="1" x14ac:dyDescent="0.25">
      <c r="B214" s="79" t="s">
        <v>228</v>
      </c>
      <c r="C214" s="234"/>
      <c r="D214" s="234"/>
      <c r="E214" s="235">
        <v>42</v>
      </c>
      <c r="F214" s="232"/>
      <c r="G214" s="231"/>
      <c r="H214" s="242"/>
      <c r="I214" s="80"/>
    </row>
    <row r="215" spans="2:9" ht="25.5" customHeight="1" x14ac:dyDescent="0.25">
      <c r="B215" s="79" t="s">
        <v>229</v>
      </c>
      <c r="C215" s="234"/>
      <c r="D215" s="234"/>
      <c r="E215" s="235"/>
      <c r="F215" s="232" t="s">
        <v>230</v>
      </c>
      <c r="G215" s="231"/>
      <c r="H215" s="242"/>
      <c r="I215" s="80" t="s">
        <v>10</v>
      </c>
    </row>
    <row r="216" spans="2:9" ht="25.5" customHeight="1" x14ac:dyDescent="0.25">
      <c r="B216" s="81" t="s">
        <v>95</v>
      </c>
      <c r="C216" s="234"/>
      <c r="D216" s="234"/>
      <c r="E216" s="235"/>
      <c r="F216" s="232" t="s">
        <v>231</v>
      </c>
      <c r="G216" s="231"/>
      <c r="H216" s="242"/>
      <c r="I216" s="80" t="s">
        <v>10</v>
      </c>
    </row>
    <row r="217" spans="2:9" ht="15.75" customHeight="1" x14ac:dyDescent="0.25">
      <c r="B217" s="75" t="s">
        <v>26</v>
      </c>
      <c r="C217" s="234"/>
      <c r="D217" s="234"/>
      <c r="E217" s="235"/>
      <c r="F217" s="232" t="s">
        <v>232</v>
      </c>
      <c r="G217" s="231"/>
      <c r="H217" s="242"/>
      <c r="I217" s="58" t="s">
        <v>10</v>
      </c>
    </row>
    <row r="218" spans="2:9" ht="15.75" customHeight="1" x14ac:dyDescent="0.25">
      <c r="B218" s="75" t="s">
        <v>233</v>
      </c>
      <c r="C218" s="234"/>
      <c r="D218" s="234"/>
      <c r="E218" s="235"/>
      <c r="F218" s="232" t="s">
        <v>234</v>
      </c>
      <c r="G218" s="231"/>
      <c r="H218" s="242"/>
      <c r="I218" s="58" t="s">
        <v>10</v>
      </c>
    </row>
    <row r="219" spans="2:9" ht="15.75" customHeight="1" x14ac:dyDescent="0.25">
      <c r="B219" s="75" t="s">
        <v>235</v>
      </c>
      <c r="C219" s="234"/>
      <c r="D219" s="234"/>
      <c r="E219" s="235"/>
      <c r="F219" s="232" t="s">
        <v>236</v>
      </c>
      <c r="G219" s="231"/>
      <c r="H219" s="242"/>
      <c r="I219" s="58" t="s">
        <v>10</v>
      </c>
    </row>
    <row r="220" spans="2:9" ht="15.75" customHeight="1" x14ac:dyDescent="0.25">
      <c r="B220" s="81" t="s">
        <v>102</v>
      </c>
      <c r="C220" s="234"/>
      <c r="D220" s="234"/>
      <c r="E220" s="235"/>
      <c r="F220" s="232" t="s">
        <v>237</v>
      </c>
      <c r="G220" s="231"/>
      <c r="H220" s="242"/>
      <c r="I220" s="80" t="s">
        <v>10</v>
      </c>
    </row>
    <row r="221" spans="2:9" ht="25.5" customHeight="1" x14ac:dyDescent="0.25">
      <c r="B221" s="82" t="s">
        <v>238</v>
      </c>
      <c r="C221" s="234"/>
      <c r="D221" s="234"/>
      <c r="E221" s="235"/>
      <c r="F221" s="232" t="s">
        <v>239</v>
      </c>
      <c r="G221" s="231"/>
      <c r="H221" s="242"/>
      <c r="I221" s="80" t="s">
        <v>10</v>
      </c>
    </row>
    <row r="222" spans="2:9" ht="25.5" customHeight="1" x14ac:dyDescent="0.25">
      <c r="B222" s="81" t="s">
        <v>95</v>
      </c>
      <c r="C222" s="234"/>
      <c r="D222" s="234"/>
      <c r="E222" s="235"/>
      <c r="F222" s="232" t="s">
        <v>239</v>
      </c>
      <c r="G222" s="231"/>
      <c r="H222" s="242"/>
      <c r="I222" s="80" t="s">
        <v>10</v>
      </c>
    </row>
    <row r="223" spans="2:9" ht="15.75" customHeight="1" x14ac:dyDescent="0.25">
      <c r="B223" s="75" t="s">
        <v>26</v>
      </c>
      <c r="C223" s="234"/>
      <c r="D223" s="234"/>
      <c r="E223" s="235"/>
      <c r="F223" s="232" t="s">
        <v>240</v>
      </c>
      <c r="G223" s="231"/>
      <c r="H223" s="242"/>
      <c r="I223" s="58" t="s">
        <v>10</v>
      </c>
    </row>
    <row r="224" spans="2:9" ht="15.75" customHeight="1" x14ac:dyDescent="0.25">
      <c r="B224" s="75" t="s">
        <v>233</v>
      </c>
      <c r="C224" s="234"/>
      <c r="D224" s="234"/>
      <c r="E224" s="235"/>
      <c r="F224" s="232" t="s">
        <v>234</v>
      </c>
      <c r="G224" s="231"/>
      <c r="H224" s="242"/>
      <c r="I224" s="58" t="s">
        <v>10</v>
      </c>
    </row>
    <row r="225" spans="2:9" ht="15.75" customHeight="1" x14ac:dyDescent="0.25">
      <c r="B225" s="75" t="s">
        <v>235</v>
      </c>
      <c r="C225" s="234"/>
      <c r="D225" s="234"/>
      <c r="E225" s="235"/>
      <c r="F225" s="232" t="s">
        <v>236</v>
      </c>
      <c r="G225" s="231"/>
      <c r="H225" s="242"/>
      <c r="I225" s="58" t="s">
        <v>10</v>
      </c>
    </row>
    <row r="226" spans="2:9" ht="15.75" customHeight="1" x14ac:dyDescent="0.25">
      <c r="B226" s="82" t="s">
        <v>241</v>
      </c>
      <c r="C226" s="234"/>
      <c r="D226" s="234"/>
      <c r="E226" s="235"/>
      <c r="F226" s="232" t="s">
        <v>242</v>
      </c>
      <c r="G226" s="231"/>
      <c r="H226" s="242"/>
      <c r="I226" s="80" t="s">
        <v>10</v>
      </c>
    </row>
    <row r="227" spans="2:9" ht="15.75" customHeight="1" x14ac:dyDescent="0.25">
      <c r="B227" s="81" t="s">
        <v>95</v>
      </c>
      <c r="C227" s="234"/>
      <c r="D227" s="234"/>
      <c r="E227" s="235"/>
      <c r="F227" s="232">
        <v>0</v>
      </c>
      <c r="G227" s="231"/>
      <c r="H227" s="242"/>
      <c r="I227" s="80" t="s">
        <v>10</v>
      </c>
    </row>
    <row r="228" spans="2:9" ht="15.75" customHeight="1" x14ac:dyDescent="0.25">
      <c r="B228" s="75" t="s">
        <v>26</v>
      </c>
      <c r="C228" s="234"/>
      <c r="D228" s="234"/>
      <c r="E228" s="235"/>
      <c r="F228" s="232">
        <v>0</v>
      </c>
      <c r="G228" s="231"/>
      <c r="H228" s="242"/>
      <c r="I228" s="58" t="s">
        <v>10</v>
      </c>
    </row>
    <row r="229" spans="2:9" ht="15.75" customHeight="1" x14ac:dyDescent="0.25">
      <c r="B229" s="81" t="s">
        <v>102</v>
      </c>
      <c r="C229" s="234"/>
      <c r="D229" s="234"/>
      <c r="E229" s="235"/>
      <c r="F229" s="232" t="s">
        <v>237</v>
      </c>
      <c r="G229" s="231"/>
      <c r="H229" s="242"/>
      <c r="I229" s="80" t="s">
        <v>10</v>
      </c>
    </row>
    <row r="230" spans="2:9" ht="15.75" customHeight="1" x14ac:dyDescent="0.25">
      <c r="B230" s="81"/>
      <c r="C230" s="234"/>
      <c r="D230" s="234"/>
      <c r="E230" s="235">
        <v>43</v>
      </c>
      <c r="F230" s="232"/>
      <c r="G230" s="231"/>
      <c r="H230" s="242"/>
      <c r="I230" s="80"/>
    </row>
    <row r="231" spans="2:9" ht="15.75" customHeight="1" x14ac:dyDescent="0.25">
      <c r="B231" s="87" t="s">
        <v>243</v>
      </c>
      <c r="C231" s="234"/>
      <c r="D231" s="234"/>
      <c r="E231" s="235">
        <v>44</v>
      </c>
      <c r="F231" s="232"/>
      <c r="G231" s="231"/>
      <c r="H231" s="242"/>
      <c r="I231" s="80"/>
    </row>
    <row r="232" spans="2:9" ht="15.75" customHeight="1" x14ac:dyDescent="0.25">
      <c r="B232" s="79" t="s">
        <v>244</v>
      </c>
      <c r="C232" s="234"/>
      <c r="D232" s="234"/>
      <c r="E232" s="235"/>
      <c r="F232" s="232" t="s">
        <v>245</v>
      </c>
      <c r="G232" s="231"/>
      <c r="H232" s="242"/>
      <c r="I232" s="80" t="s">
        <v>10</v>
      </c>
    </row>
    <row r="233" spans="2:9" ht="15.75" customHeight="1" x14ac:dyDescent="0.25">
      <c r="B233" s="82" t="s">
        <v>246</v>
      </c>
      <c r="C233" s="234"/>
      <c r="D233" s="234"/>
      <c r="E233" s="235"/>
      <c r="F233" s="232" t="s">
        <v>247</v>
      </c>
      <c r="G233" s="231"/>
      <c r="H233" s="242"/>
      <c r="I233" s="80" t="s">
        <v>10</v>
      </c>
    </row>
    <row r="234" spans="2:9" ht="15.75" customHeight="1" x14ac:dyDescent="0.25">
      <c r="B234" s="81" t="s">
        <v>95</v>
      </c>
      <c r="C234" s="234"/>
      <c r="D234" s="234"/>
      <c r="E234" s="235"/>
      <c r="F234" s="232" t="s">
        <v>247</v>
      </c>
      <c r="G234" s="231"/>
      <c r="H234" s="242"/>
      <c r="I234" s="80" t="s">
        <v>10</v>
      </c>
    </row>
    <row r="235" spans="2:9" ht="15.75" customHeight="1" x14ac:dyDescent="0.25">
      <c r="B235" s="75" t="s">
        <v>147</v>
      </c>
      <c r="C235" s="234"/>
      <c r="D235" s="234"/>
      <c r="E235" s="235"/>
      <c r="F235" s="232" t="s">
        <v>248</v>
      </c>
      <c r="G235" s="231"/>
      <c r="H235" s="242"/>
      <c r="I235" s="58" t="s">
        <v>10</v>
      </c>
    </row>
    <row r="236" spans="2:9" ht="15.75" customHeight="1" x14ac:dyDescent="0.25">
      <c r="B236" s="75" t="s">
        <v>235</v>
      </c>
      <c r="C236" s="234"/>
      <c r="D236" s="234"/>
      <c r="E236" s="235"/>
      <c r="F236" s="232" t="s">
        <v>249</v>
      </c>
      <c r="G236" s="231"/>
      <c r="H236" s="242"/>
      <c r="I236" s="58" t="s">
        <v>10</v>
      </c>
    </row>
    <row r="237" spans="2:9" ht="15.75" customHeight="1" x14ac:dyDescent="0.25">
      <c r="B237" s="82" t="s">
        <v>250</v>
      </c>
      <c r="C237" s="234"/>
      <c r="D237" s="234"/>
      <c r="E237" s="235"/>
      <c r="F237" s="232">
        <v>0</v>
      </c>
      <c r="G237" s="231"/>
      <c r="H237" s="242"/>
      <c r="I237" s="80" t="s">
        <v>10</v>
      </c>
    </row>
    <row r="238" spans="2:9" ht="15.75" customHeight="1" x14ac:dyDescent="0.25">
      <c r="B238" s="88"/>
      <c r="C238" s="234"/>
      <c r="D238" s="234"/>
      <c r="E238" s="235">
        <v>45</v>
      </c>
      <c r="F238" s="232"/>
      <c r="G238" s="231"/>
      <c r="H238" s="242"/>
      <c r="I238" s="171"/>
    </row>
    <row r="239" spans="2:9" ht="15.75" customHeight="1" x14ac:dyDescent="0.25">
      <c r="B239" s="202"/>
      <c r="C239" s="234"/>
      <c r="D239" s="234"/>
      <c r="E239" s="235">
        <v>46</v>
      </c>
      <c r="F239" s="232"/>
      <c r="G239" s="231"/>
      <c r="H239" s="242"/>
      <c r="I239" s="171"/>
    </row>
    <row r="240" spans="2:9" ht="15.75" customHeight="1" x14ac:dyDescent="0.25">
      <c r="B240" s="88" t="s">
        <v>251</v>
      </c>
      <c r="C240" s="234"/>
      <c r="D240" s="234"/>
      <c r="E240" s="235"/>
      <c r="F240" s="232" t="s">
        <v>252</v>
      </c>
      <c r="G240" s="231"/>
      <c r="H240" s="242"/>
      <c r="I240" s="171" t="s">
        <v>10</v>
      </c>
    </row>
    <row r="241" spans="2:9" ht="15.75" customHeight="1" x14ac:dyDescent="0.25">
      <c r="B241" s="82" t="s">
        <v>246</v>
      </c>
      <c r="C241" s="234"/>
      <c r="D241" s="234"/>
      <c r="E241" s="235"/>
      <c r="F241" s="232" t="s">
        <v>253</v>
      </c>
      <c r="G241" s="231"/>
      <c r="H241" s="242"/>
      <c r="I241" s="171" t="s">
        <v>10</v>
      </c>
    </row>
    <row r="242" spans="2:9" ht="15.75" customHeight="1" x14ac:dyDescent="0.25">
      <c r="B242" s="106" t="s">
        <v>254</v>
      </c>
      <c r="C242" s="234"/>
      <c r="D242" s="234"/>
      <c r="E242" s="235"/>
      <c r="F242" s="232" t="s">
        <v>255</v>
      </c>
      <c r="G242" s="231"/>
      <c r="H242" s="242"/>
      <c r="I242" s="59" t="s">
        <v>10</v>
      </c>
    </row>
    <row r="243" spans="2:9" ht="15.75" customHeight="1" x14ac:dyDescent="0.25">
      <c r="B243" s="106" t="s">
        <v>256</v>
      </c>
      <c r="C243" s="234"/>
      <c r="D243" s="234"/>
      <c r="E243" s="235"/>
      <c r="F243" s="232" t="s">
        <v>257</v>
      </c>
      <c r="G243" s="231"/>
      <c r="H243" s="242"/>
      <c r="I243" s="59" t="s">
        <v>10</v>
      </c>
    </row>
    <row r="244" spans="2:9" ht="15.75" customHeight="1" x14ac:dyDescent="0.25">
      <c r="B244" s="82" t="s">
        <v>250</v>
      </c>
      <c r="C244" s="234"/>
      <c r="D244" s="234"/>
      <c r="E244" s="235"/>
      <c r="F244" s="232">
        <v>0</v>
      </c>
      <c r="G244" s="231"/>
      <c r="H244" s="242"/>
      <c r="I244" s="171" t="s">
        <v>10</v>
      </c>
    </row>
    <row r="245" spans="2:9" ht="15.75" customHeight="1" x14ac:dyDescent="0.25">
      <c r="B245" s="89" t="s">
        <v>95</v>
      </c>
      <c r="C245" s="234"/>
      <c r="D245" s="234"/>
      <c r="E245" s="235"/>
      <c r="F245" s="232">
        <v>0</v>
      </c>
      <c r="G245" s="231"/>
      <c r="H245" s="242"/>
      <c r="I245" s="171" t="s">
        <v>10</v>
      </c>
    </row>
    <row r="246" spans="2:9" ht="15.75" customHeight="1" x14ac:dyDescent="0.25">
      <c r="B246" s="106" t="s">
        <v>258</v>
      </c>
      <c r="C246" s="234"/>
      <c r="D246" s="234"/>
      <c r="E246" s="235"/>
      <c r="F246" s="232">
        <v>0</v>
      </c>
      <c r="G246" s="231"/>
      <c r="H246" s="242"/>
      <c r="I246" s="59" t="s">
        <v>10</v>
      </c>
    </row>
    <row r="247" spans="2:9" ht="15.75" customHeight="1" x14ac:dyDescent="0.25">
      <c r="B247" s="106" t="s">
        <v>259</v>
      </c>
      <c r="C247" s="234"/>
      <c r="D247" s="234"/>
      <c r="E247" s="235">
        <v>47</v>
      </c>
      <c r="F247" s="232"/>
      <c r="G247" s="231"/>
      <c r="H247" s="242"/>
      <c r="I247" s="59" t="s">
        <v>10</v>
      </c>
    </row>
    <row r="248" spans="2:9" ht="15.75" customHeight="1" x14ac:dyDescent="0.25">
      <c r="B248" s="106"/>
      <c r="C248" s="234"/>
      <c r="D248" s="234"/>
      <c r="E248" s="235">
        <v>48</v>
      </c>
      <c r="F248" s="232"/>
      <c r="G248" s="231"/>
      <c r="H248" s="242"/>
      <c r="I248" s="171"/>
    </row>
    <row r="249" spans="2:9" ht="15.75" customHeight="1" x14ac:dyDescent="0.25">
      <c r="B249" s="88" t="s">
        <v>260</v>
      </c>
      <c r="C249" s="234"/>
      <c r="D249" s="234"/>
      <c r="E249" s="235">
        <v>49</v>
      </c>
      <c r="F249" s="232"/>
      <c r="G249" s="231"/>
      <c r="H249" s="242"/>
      <c r="I249" s="171"/>
    </row>
    <row r="250" spans="2:9" ht="38.25" customHeight="1" x14ac:dyDescent="0.25">
      <c r="B250" s="89" t="s">
        <v>95</v>
      </c>
      <c r="C250" s="234"/>
      <c r="D250" s="234"/>
      <c r="E250" s="235"/>
      <c r="F250" s="232" t="s">
        <v>261</v>
      </c>
      <c r="G250" s="231"/>
      <c r="H250" s="242"/>
      <c r="I250" s="171" t="s">
        <v>10</v>
      </c>
    </row>
    <row r="251" spans="2:9" ht="15.75" customHeight="1" x14ac:dyDescent="0.25">
      <c r="B251" s="120" t="s">
        <v>26</v>
      </c>
      <c r="C251" s="234"/>
      <c r="D251" s="234"/>
      <c r="E251" s="235"/>
      <c r="F251" s="232" t="s">
        <v>262</v>
      </c>
      <c r="G251" s="231"/>
      <c r="H251" s="242"/>
      <c r="I251" s="58" t="s">
        <v>10</v>
      </c>
    </row>
    <row r="252" spans="2:9" ht="25.5" customHeight="1" x14ac:dyDescent="0.25">
      <c r="B252" s="120" t="s">
        <v>180</v>
      </c>
      <c r="C252" s="234"/>
      <c r="D252" s="234"/>
      <c r="E252" s="235"/>
      <c r="F252" s="232" t="s">
        <v>263</v>
      </c>
      <c r="G252" s="231"/>
      <c r="H252" s="242"/>
      <c r="I252" s="58" t="s">
        <v>10</v>
      </c>
    </row>
    <row r="253" spans="2:9" ht="15.75" customHeight="1" x14ac:dyDescent="0.25">
      <c r="B253" s="120" t="s">
        <v>147</v>
      </c>
      <c r="C253" s="234"/>
      <c r="D253" s="234"/>
      <c r="E253" s="235"/>
      <c r="F253" s="232" t="s">
        <v>264</v>
      </c>
      <c r="G253" s="231"/>
      <c r="H253" s="242"/>
      <c r="I253" s="58" t="s">
        <v>10</v>
      </c>
    </row>
    <row r="254" spans="2:9" ht="15.75" customHeight="1" x14ac:dyDescent="0.25">
      <c r="B254" s="120" t="s">
        <v>235</v>
      </c>
      <c r="C254" s="234"/>
      <c r="D254" s="234"/>
      <c r="E254" s="235"/>
      <c r="F254" s="232" t="s">
        <v>265</v>
      </c>
      <c r="G254" s="231"/>
      <c r="H254" s="242"/>
      <c r="I254" s="58" t="s">
        <v>10</v>
      </c>
    </row>
    <row r="255" spans="2:9" ht="25.5" customHeight="1" x14ac:dyDescent="0.25">
      <c r="B255" s="90" t="s">
        <v>246</v>
      </c>
      <c r="C255" s="234"/>
      <c r="D255" s="234"/>
      <c r="E255" s="235"/>
      <c r="F255" s="232" t="s">
        <v>266</v>
      </c>
      <c r="G255" s="231"/>
      <c r="H255" s="242"/>
      <c r="I255" s="171" t="s">
        <v>10</v>
      </c>
    </row>
    <row r="256" spans="2:9" ht="25.5" customHeight="1" x14ac:dyDescent="0.25">
      <c r="B256" s="89" t="s">
        <v>95</v>
      </c>
      <c r="C256" s="234"/>
      <c r="D256" s="234"/>
      <c r="E256" s="235"/>
      <c r="F256" s="232" t="s">
        <v>266</v>
      </c>
      <c r="G256" s="231"/>
      <c r="H256" s="242"/>
      <c r="I256" s="171" t="s">
        <v>10</v>
      </c>
    </row>
    <row r="257" spans="2:9" ht="15.75" customHeight="1" x14ac:dyDescent="0.25">
      <c r="B257" s="120" t="s">
        <v>26</v>
      </c>
      <c r="C257" s="234"/>
      <c r="D257" s="234"/>
      <c r="E257" s="235"/>
      <c r="F257" s="232" t="s">
        <v>262</v>
      </c>
      <c r="G257" s="231"/>
      <c r="H257" s="242"/>
      <c r="I257" s="58" t="s">
        <v>10</v>
      </c>
    </row>
    <row r="258" spans="2:9" ht="15.75" customHeight="1" x14ac:dyDescent="0.25">
      <c r="B258" s="106" t="s">
        <v>267</v>
      </c>
      <c r="C258" s="234"/>
      <c r="D258" s="234"/>
      <c r="E258" s="235"/>
      <c r="F258" s="232" t="s">
        <v>268</v>
      </c>
      <c r="G258" s="231"/>
      <c r="H258" s="242"/>
      <c r="I258" s="59" t="s">
        <v>10</v>
      </c>
    </row>
    <row r="259" spans="2:9" ht="15.75" customHeight="1" x14ac:dyDescent="0.25">
      <c r="B259" s="120" t="s">
        <v>147</v>
      </c>
      <c r="C259" s="234"/>
      <c r="D259" s="234"/>
      <c r="E259" s="235"/>
      <c r="F259" s="232" t="s">
        <v>264</v>
      </c>
      <c r="G259" s="231"/>
      <c r="H259" s="242"/>
      <c r="I259" s="58" t="s">
        <v>10</v>
      </c>
    </row>
    <row r="260" spans="2:9" ht="15.75" customHeight="1" x14ac:dyDescent="0.25">
      <c r="B260" s="120" t="s">
        <v>235</v>
      </c>
      <c r="C260" s="234"/>
      <c r="D260" s="234"/>
      <c r="E260" s="235"/>
      <c r="F260" s="232" t="s">
        <v>265</v>
      </c>
      <c r="G260" s="231"/>
      <c r="H260" s="242"/>
      <c r="I260" s="58" t="s">
        <v>10</v>
      </c>
    </row>
    <row r="261" spans="2:9" ht="25.5" customHeight="1" x14ac:dyDescent="0.25">
      <c r="B261" s="90" t="s">
        <v>250</v>
      </c>
      <c r="C261" s="234"/>
      <c r="D261" s="234"/>
      <c r="E261" s="235"/>
      <c r="F261" s="232" t="s">
        <v>269</v>
      </c>
      <c r="G261" s="231"/>
      <c r="H261" s="242"/>
      <c r="I261" s="171" t="s">
        <v>10</v>
      </c>
    </row>
    <row r="262" spans="2:9" ht="15.75" customHeight="1" x14ac:dyDescent="0.25">
      <c r="B262" s="89" t="s">
        <v>48</v>
      </c>
      <c r="C262" s="234"/>
      <c r="D262" s="234"/>
      <c r="E262" s="235"/>
      <c r="F262" s="232">
        <v>0</v>
      </c>
      <c r="G262" s="231"/>
      <c r="H262" s="242"/>
      <c r="I262" s="171" t="s">
        <v>10</v>
      </c>
    </row>
    <row r="263" spans="2:9" ht="15.75" customHeight="1" x14ac:dyDescent="0.25">
      <c r="B263" s="120" t="s">
        <v>26</v>
      </c>
      <c r="C263" s="234"/>
      <c r="D263" s="234"/>
      <c r="E263" s="235">
        <v>50</v>
      </c>
      <c r="F263" s="232"/>
      <c r="G263" s="231"/>
      <c r="H263" s="242"/>
      <c r="I263" s="58" t="s">
        <v>10</v>
      </c>
    </row>
    <row r="264" spans="2:9" ht="15.75" customHeight="1" x14ac:dyDescent="0.25">
      <c r="B264" s="106" t="s">
        <v>267</v>
      </c>
      <c r="C264" s="234"/>
      <c r="D264" s="234"/>
      <c r="E264" s="235">
        <v>51</v>
      </c>
      <c r="F264" s="232"/>
      <c r="G264" s="231"/>
      <c r="H264" s="242"/>
      <c r="I264" s="59" t="s">
        <v>10</v>
      </c>
    </row>
    <row r="265" spans="2:9" ht="25.5" customHeight="1" x14ac:dyDescent="0.25">
      <c r="B265" s="89" t="s">
        <v>95</v>
      </c>
      <c r="C265" s="234"/>
      <c r="D265" s="234"/>
      <c r="E265" s="235"/>
      <c r="F265" s="232" t="s">
        <v>263</v>
      </c>
      <c r="G265" s="231"/>
      <c r="H265" s="242"/>
      <c r="I265" s="171" t="s">
        <v>10</v>
      </c>
    </row>
    <row r="266" spans="2:9" ht="25.5" customHeight="1" x14ac:dyDescent="0.25">
      <c r="B266" s="120" t="s">
        <v>180</v>
      </c>
      <c r="C266" s="234"/>
      <c r="D266" s="234"/>
      <c r="E266" s="235"/>
      <c r="F266" s="232" t="s">
        <v>263</v>
      </c>
      <c r="G266" s="231"/>
      <c r="H266" s="242"/>
      <c r="I266" s="58" t="s">
        <v>10</v>
      </c>
    </row>
    <row r="267" spans="2:9" ht="15.75" customHeight="1" x14ac:dyDescent="0.25">
      <c r="B267" s="106" t="s">
        <v>82</v>
      </c>
      <c r="C267" s="234"/>
      <c r="D267" s="234"/>
      <c r="E267" s="235"/>
      <c r="F267" s="232" t="s">
        <v>270</v>
      </c>
      <c r="G267" s="231"/>
      <c r="H267" s="242"/>
      <c r="I267" s="59" t="s">
        <v>10</v>
      </c>
    </row>
    <row r="268" spans="2:9" ht="15.75" customHeight="1" x14ac:dyDescent="0.25">
      <c r="B268" s="106" t="s">
        <v>52</v>
      </c>
      <c r="C268" s="234"/>
      <c r="D268" s="234"/>
      <c r="E268" s="235"/>
      <c r="F268" s="232" t="s">
        <v>271</v>
      </c>
      <c r="G268" s="231"/>
      <c r="H268" s="242"/>
      <c r="I268" s="59" t="s">
        <v>10</v>
      </c>
    </row>
    <row r="269" spans="2:9" ht="15.75" customHeight="1" x14ac:dyDescent="0.25">
      <c r="B269" s="76" t="s">
        <v>85</v>
      </c>
      <c r="C269" s="234"/>
      <c r="D269" s="234"/>
      <c r="E269" s="235"/>
      <c r="F269" s="232" t="s">
        <v>272</v>
      </c>
      <c r="G269" s="231"/>
      <c r="H269" s="242"/>
      <c r="I269" s="59" t="s">
        <v>10</v>
      </c>
    </row>
    <row r="270" spans="2:9" ht="15.75" customHeight="1" x14ac:dyDescent="0.25">
      <c r="B270" s="88" t="s">
        <v>273</v>
      </c>
      <c r="C270" s="234"/>
      <c r="D270" s="234"/>
      <c r="E270" s="235">
        <v>52</v>
      </c>
      <c r="F270" s="232"/>
      <c r="G270" s="231"/>
      <c r="H270" s="242"/>
      <c r="I270" s="171"/>
    </row>
    <row r="271" spans="2:9" ht="38.25" customHeight="1" x14ac:dyDescent="0.25">
      <c r="B271" s="90" t="s">
        <v>246</v>
      </c>
      <c r="C271" s="234"/>
      <c r="D271" s="234"/>
      <c r="E271" s="235"/>
      <c r="F271" s="232" t="s">
        <v>274</v>
      </c>
      <c r="G271" s="231"/>
      <c r="H271" s="242"/>
      <c r="I271" s="171" t="s">
        <v>10</v>
      </c>
    </row>
    <row r="272" spans="2:9" ht="38.25" customHeight="1" x14ac:dyDescent="0.25">
      <c r="B272" s="89" t="s">
        <v>95</v>
      </c>
      <c r="C272" s="234"/>
      <c r="D272" s="234"/>
      <c r="E272" s="235"/>
      <c r="F272" s="232" t="s">
        <v>274</v>
      </c>
      <c r="G272" s="231"/>
      <c r="H272" s="242"/>
      <c r="I272" s="171" t="s">
        <v>10</v>
      </c>
    </row>
    <row r="273" spans="2:9" ht="15.75" customHeight="1" x14ac:dyDescent="0.25">
      <c r="B273" s="120" t="s">
        <v>26</v>
      </c>
      <c r="C273" s="234"/>
      <c r="D273" s="234"/>
      <c r="E273" s="235"/>
      <c r="F273" s="232" t="s">
        <v>275</v>
      </c>
      <c r="G273" s="231"/>
      <c r="H273" s="242"/>
      <c r="I273" s="58" t="s">
        <v>10</v>
      </c>
    </row>
    <row r="274" spans="2:9" ht="15.75" customHeight="1" x14ac:dyDescent="0.25">
      <c r="B274" s="106" t="s">
        <v>276</v>
      </c>
      <c r="C274" s="234"/>
      <c r="D274" s="234"/>
      <c r="E274" s="235"/>
      <c r="F274" s="232" t="s">
        <v>277</v>
      </c>
      <c r="G274" s="231"/>
      <c r="H274" s="242"/>
      <c r="I274" s="59" t="s">
        <v>10</v>
      </c>
    </row>
    <row r="275" spans="2:9" ht="25.5" customHeight="1" x14ac:dyDescent="0.25">
      <c r="B275" s="120" t="s">
        <v>180</v>
      </c>
      <c r="C275" s="234"/>
      <c r="D275" s="234"/>
      <c r="E275" s="235"/>
      <c r="F275" s="232" t="s">
        <v>278</v>
      </c>
      <c r="G275" s="231"/>
      <c r="H275" s="242"/>
      <c r="I275" s="58" t="s">
        <v>10</v>
      </c>
    </row>
    <row r="276" spans="2:9" ht="15.75" customHeight="1" x14ac:dyDescent="0.25">
      <c r="B276" s="106" t="s">
        <v>82</v>
      </c>
      <c r="C276" s="234"/>
      <c r="D276" s="234"/>
      <c r="E276" s="235"/>
      <c r="F276" s="232" t="s">
        <v>279</v>
      </c>
      <c r="G276" s="231"/>
      <c r="H276" s="242"/>
      <c r="I276" s="59" t="s">
        <v>10</v>
      </c>
    </row>
    <row r="277" spans="2:9" ht="15.75" customHeight="1" x14ac:dyDescent="0.25">
      <c r="B277" s="106" t="s">
        <v>52</v>
      </c>
      <c r="C277" s="234"/>
      <c r="D277" s="234"/>
      <c r="E277" s="235"/>
      <c r="F277" s="232" t="s">
        <v>280</v>
      </c>
      <c r="G277" s="231"/>
      <c r="H277" s="242"/>
      <c r="I277" s="59" t="s">
        <v>10</v>
      </c>
    </row>
    <row r="278" spans="2:9" ht="15.75" customHeight="1" x14ac:dyDescent="0.25">
      <c r="B278" s="76" t="s">
        <v>85</v>
      </c>
      <c r="C278" s="234"/>
      <c r="D278" s="234"/>
      <c r="E278" s="235"/>
      <c r="F278" s="232" t="s">
        <v>281</v>
      </c>
      <c r="G278" s="231"/>
      <c r="H278" s="242"/>
      <c r="I278" s="59" t="s">
        <v>10</v>
      </c>
    </row>
    <row r="279" spans="2:9" ht="15.75" customHeight="1" x14ac:dyDescent="0.25">
      <c r="B279" s="120" t="s">
        <v>147</v>
      </c>
      <c r="C279" s="234"/>
      <c r="D279" s="234"/>
      <c r="E279" s="235"/>
      <c r="F279" s="232" t="s">
        <v>282</v>
      </c>
      <c r="G279" s="231"/>
      <c r="H279" s="242"/>
      <c r="I279" s="58" t="s">
        <v>10</v>
      </c>
    </row>
    <row r="280" spans="2:9" ht="15.75" customHeight="1" x14ac:dyDescent="0.25">
      <c r="B280" s="120" t="s">
        <v>235</v>
      </c>
      <c r="C280" s="234"/>
      <c r="D280" s="234"/>
      <c r="E280" s="235"/>
      <c r="F280" s="232" t="s">
        <v>283</v>
      </c>
      <c r="G280" s="231"/>
      <c r="H280" s="242"/>
      <c r="I280" s="58" t="s">
        <v>10</v>
      </c>
    </row>
    <row r="281" spans="2:9" ht="15.75" customHeight="1" x14ac:dyDescent="0.25">
      <c r="B281" s="90" t="s">
        <v>250</v>
      </c>
      <c r="C281" s="234"/>
      <c r="D281" s="234"/>
      <c r="E281" s="235"/>
      <c r="F281" s="232">
        <v>0</v>
      </c>
      <c r="G281" s="231"/>
      <c r="H281" s="242"/>
      <c r="I281" s="171" t="s">
        <v>10</v>
      </c>
    </row>
    <row r="282" spans="2:9" ht="25.5" customHeight="1" x14ac:dyDescent="0.25">
      <c r="B282" s="91" t="s">
        <v>284</v>
      </c>
      <c r="C282" s="234"/>
      <c r="D282" s="234"/>
      <c r="E282" s="235"/>
      <c r="F282" s="232" t="s">
        <v>285</v>
      </c>
      <c r="G282" s="231"/>
      <c r="H282" s="242"/>
      <c r="I282" s="92"/>
    </row>
    <row r="283" spans="2:9" ht="15.75" customHeight="1" x14ac:dyDescent="0.25">
      <c r="B283" s="91" t="s">
        <v>286</v>
      </c>
      <c r="C283" s="234"/>
      <c r="D283" s="234"/>
      <c r="E283" s="235"/>
      <c r="F283" s="232" t="s">
        <v>287</v>
      </c>
      <c r="G283" s="231"/>
      <c r="H283" s="242"/>
      <c r="I283" s="92"/>
    </row>
    <row r="284" spans="2:9" ht="76.5" customHeight="1" x14ac:dyDescent="0.25">
      <c r="B284" s="91" t="s">
        <v>288</v>
      </c>
      <c r="C284" s="234"/>
      <c r="D284" s="234"/>
      <c r="E284" s="235"/>
      <c r="F284" s="232" t="s">
        <v>289</v>
      </c>
      <c r="G284" s="231"/>
      <c r="H284" s="242"/>
      <c r="I284" s="92"/>
    </row>
    <row r="285" spans="2:9" ht="25.5" customHeight="1" x14ac:dyDescent="0.25">
      <c r="B285" s="91" t="s">
        <v>290</v>
      </c>
      <c r="C285" s="234"/>
      <c r="D285" s="234"/>
      <c r="E285" s="235"/>
      <c r="F285" s="232" t="s">
        <v>291</v>
      </c>
      <c r="G285" s="231"/>
      <c r="H285" s="242"/>
      <c r="I285" s="92"/>
    </row>
    <row r="286" spans="2:9" ht="15.75" customHeight="1" x14ac:dyDescent="0.25">
      <c r="B286" s="123"/>
      <c r="C286" s="234"/>
      <c r="D286" s="234"/>
      <c r="E286" s="235">
        <v>53</v>
      </c>
      <c r="F286" s="232"/>
      <c r="G286" s="231"/>
      <c r="H286" s="242"/>
      <c r="I286" s="92"/>
    </row>
    <row r="287" spans="2:9" ht="15.75" customHeight="1" x14ac:dyDescent="0.25">
      <c r="B287" s="93"/>
      <c r="C287" s="234"/>
      <c r="D287" s="234"/>
      <c r="E287" s="235">
        <v>54</v>
      </c>
      <c r="F287" s="232"/>
      <c r="G287" s="231"/>
      <c r="H287" s="242"/>
      <c r="I287" s="92"/>
    </row>
    <row r="288" spans="2:9" ht="15.75" customHeight="1" x14ac:dyDescent="0.25">
      <c r="B288" s="123" t="s">
        <v>292</v>
      </c>
      <c r="C288" s="234"/>
      <c r="D288" s="234"/>
      <c r="E288" s="235">
        <v>55</v>
      </c>
      <c r="F288" s="232"/>
      <c r="G288" s="231"/>
      <c r="H288" s="242"/>
      <c r="I288" s="92"/>
    </row>
    <row r="289" spans="2:9" ht="15.75" customHeight="1" x14ac:dyDescent="0.25">
      <c r="B289" s="94" t="s">
        <v>293</v>
      </c>
      <c r="C289" s="234"/>
      <c r="D289" s="234"/>
      <c r="E289" s="235"/>
      <c r="F289" s="232">
        <v>0</v>
      </c>
      <c r="G289" s="231"/>
      <c r="H289" s="242"/>
      <c r="I289" s="92" t="s">
        <v>10</v>
      </c>
    </row>
    <row r="290" spans="2:9" ht="15.75" customHeight="1" x14ac:dyDescent="0.25">
      <c r="B290" s="94" t="s">
        <v>246</v>
      </c>
      <c r="C290" s="234"/>
      <c r="D290" s="234"/>
      <c r="E290" s="235"/>
      <c r="F290" s="232">
        <v>0</v>
      </c>
      <c r="G290" s="231"/>
      <c r="H290" s="242"/>
      <c r="I290" s="92" t="s">
        <v>10</v>
      </c>
    </row>
    <row r="291" spans="2:9" ht="15.75" customHeight="1" x14ac:dyDescent="0.25">
      <c r="B291" s="123"/>
      <c r="C291" s="234"/>
      <c r="D291" s="234"/>
      <c r="E291" s="235">
        <v>56</v>
      </c>
      <c r="F291" s="232"/>
      <c r="G291" s="231"/>
      <c r="H291" s="242"/>
      <c r="I291" s="92"/>
    </row>
    <row r="292" spans="2:9" ht="15.75" customHeight="1" x14ac:dyDescent="0.25">
      <c r="B292" s="123" t="s">
        <v>294</v>
      </c>
      <c r="C292" s="234"/>
      <c r="D292" s="234"/>
      <c r="E292" s="235">
        <v>57</v>
      </c>
      <c r="F292" s="232"/>
      <c r="G292" s="231"/>
      <c r="H292" s="242"/>
      <c r="I292" s="92"/>
    </row>
    <row r="293" spans="2:9" ht="15.75" customHeight="1" x14ac:dyDescent="0.25">
      <c r="B293" s="123" t="s">
        <v>295</v>
      </c>
      <c r="C293" s="234"/>
      <c r="D293" s="234"/>
      <c r="E293" s="235">
        <v>58</v>
      </c>
      <c r="F293" s="232"/>
      <c r="G293" s="231"/>
      <c r="H293" s="242"/>
      <c r="I293" s="92"/>
    </row>
    <row r="294" spans="2:9" ht="15.75" customHeight="1" x14ac:dyDescent="0.25">
      <c r="B294" s="94" t="s">
        <v>95</v>
      </c>
      <c r="C294" s="234"/>
      <c r="D294" s="234"/>
      <c r="E294" s="235">
        <v>59</v>
      </c>
      <c r="F294" s="232"/>
      <c r="G294" s="231"/>
      <c r="H294" s="242"/>
      <c r="I294" s="92" t="s">
        <v>10</v>
      </c>
    </row>
    <row r="295" spans="2:9" ht="15.75" customHeight="1" x14ac:dyDescent="0.25">
      <c r="B295" s="89"/>
      <c r="C295" s="234"/>
      <c r="D295" s="234"/>
      <c r="E295" s="235">
        <v>60</v>
      </c>
      <c r="F295" s="232"/>
      <c r="G295" s="231"/>
      <c r="H295" s="242"/>
      <c r="I295" s="171"/>
    </row>
    <row r="296" spans="2:9" ht="15.75" customHeight="1" x14ac:dyDescent="0.25">
      <c r="B296" s="88" t="s">
        <v>296</v>
      </c>
      <c r="C296" s="234"/>
      <c r="D296" s="234"/>
      <c r="E296" s="235">
        <v>61</v>
      </c>
      <c r="F296" s="232"/>
      <c r="G296" s="231"/>
      <c r="H296" s="242"/>
      <c r="I296" s="171"/>
    </row>
    <row r="297" spans="2:9" ht="15.75" customHeight="1" x14ac:dyDescent="0.25">
      <c r="B297" s="202"/>
      <c r="C297" s="234"/>
      <c r="D297" s="234"/>
      <c r="E297" s="235">
        <v>62</v>
      </c>
      <c r="F297" s="232"/>
      <c r="G297" s="231"/>
      <c r="H297" s="242"/>
      <c r="I297" s="171"/>
    </row>
    <row r="298" spans="2:9" ht="89.25" customHeight="1" x14ac:dyDescent="0.25">
      <c r="B298" s="163" t="s">
        <v>297</v>
      </c>
      <c r="C298" s="234"/>
      <c r="D298" s="234"/>
      <c r="E298" s="235"/>
      <c r="F298" s="232" t="s">
        <v>298</v>
      </c>
      <c r="G298" s="231"/>
      <c r="H298" s="242"/>
      <c r="I298" s="171" t="s">
        <v>22</v>
      </c>
    </row>
    <row r="299" spans="2:9" ht="63.75" customHeight="1" x14ac:dyDescent="0.25">
      <c r="B299" s="89" t="s">
        <v>95</v>
      </c>
      <c r="C299" s="234"/>
      <c r="D299" s="234"/>
      <c r="E299" s="235"/>
      <c r="F299" s="232" t="s">
        <v>299</v>
      </c>
      <c r="G299" s="231"/>
      <c r="H299" s="242"/>
      <c r="I299" s="171" t="s">
        <v>22</v>
      </c>
    </row>
    <row r="300" spans="2:9" ht="15.75" customHeight="1" x14ac:dyDescent="0.25">
      <c r="B300" s="120" t="s">
        <v>26</v>
      </c>
      <c r="C300" s="234"/>
      <c r="D300" s="234"/>
      <c r="E300" s="235"/>
      <c r="F300" s="232" t="s">
        <v>300</v>
      </c>
      <c r="G300" s="231"/>
      <c r="H300" s="242"/>
      <c r="I300" s="58" t="s">
        <v>22</v>
      </c>
    </row>
    <row r="301" spans="2:9" ht="15.75" customHeight="1" x14ac:dyDescent="0.25">
      <c r="B301" s="95" t="s">
        <v>301</v>
      </c>
      <c r="C301" s="234"/>
      <c r="D301" s="234"/>
      <c r="E301" s="235"/>
      <c r="F301" s="232" t="s">
        <v>302</v>
      </c>
      <c r="G301" s="231"/>
      <c r="H301" s="242"/>
      <c r="I301" s="96"/>
    </row>
    <row r="302" spans="2:9" ht="25.5" customHeight="1" x14ac:dyDescent="0.25">
      <c r="B302" s="120" t="s">
        <v>28</v>
      </c>
      <c r="C302" s="234"/>
      <c r="D302" s="234"/>
      <c r="E302" s="235"/>
      <c r="F302" s="232" t="s">
        <v>303</v>
      </c>
      <c r="G302" s="231"/>
      <c r="H302" s="242"/>
      <c r="I302" s="58" t="s">
        <v>22</v>
      </c>
    </row>
    <row r="303" spans="2:9" ht="63.75" customHeight="1" x14ac:dyDescent="0.25">
      <c r="B303" s="95" t="s">
        <v>301</v>
      </c>
      <c r="C303" s="234"/>
      <c r="D303" s="234"/>
      <c r="E303" s="235"/>
      <c r="F303" s="232" t="s">
        <v>304</v>
      </c>
      <c r="G303" s="231"/>
      <c r="H303" s="242"/>
      <c r="I303" s="96"/>
    </row>
    <row r="304" spans="2:9" ht="15.75" customHeight="1" x14ac:dyDescent="0.25">
      <c r="B304" s="120" t="s">
        <v>305</v>
      </c>
      <c r="C304" s="234"/>
      <c r="D304" s="234"/>
      <c r="E304" s="235"/>
      <c r="F304" s="232" t="s">
        <v>306</v>
      </c>
      <c r="G304" s="231"/>
      <c r="H304" s="242"/>
      <c r="I304" s="58" t="s">
        <v>22</v>
      </c>
    </row>
    <row r="305" spans="2:9" ht="25.5" customHeight="1" x14ac:dyDescent="0.25">
      <c r="B305" s="95" t="s">
        <v>301</v>
      </c>
      <c r="C305" s="234"/>
      <c r="D305" s="234"/>
      <c r="E305" s="235"/>
      <c r="F305" s="232" t="s">
        <v>307</v>
      </c>
      <c r="G305" s="231"/>
      <c r="H305" s="242"/>
      <c r="I305" s="96"/>
    </row>
    <row r="306" spans="2:9" ht="38.25" customHeight="1" x14ac:dyDescent="0.25">
      <c r="B306" s="75" t="s">
        <v>308</v>
      </c>
      <c r="C306" s="234"/>
      <c r="D306" s="234"/>
      <c r="E306" s="235"/>
      <c r="F306" s="232" t="s">
        <v>309</v>
      </c>
      <c r="G306" s="231"/>
      <c r="H306" s="242"/>
      <c r="I306" s="58" t="s">
        <v>22</v>
      </c>
    </row>
    <row r="307" spans="2:9" ht="38.25" customHeight="1" x14ac:dyDescent="0.25">
      <c r="B307" s="202"/>
      <c r="C307" s="234"/>
      <c r="D307" s="234"/>
      <c r="E307" s="235"/>
      <c r="F307" s="232" t="s">
        <v>310</v>
      </c>
      <c r="G307" s="231"/>
      <c r="H307" s="242"/>
      <c r="I307" s="58" t="s">
        <v>10</v>
      </c>
    </row>
    <row r="308" spans="2:9" ht="63.75" customHeight="1" x14ac:dyDescent="0.25">
      <c r="B308" s="95" t="s">
        <v>311</v>
      </c>
      <c r="C308" s="234"/>
      <c r="D308" s="234"/>
      <c r="E308" s="235"/>
      <c r="F308" s="232" t="s">
        <v>312</v>
      </c>
      <c r="G308" s="231"/>
      <c r="H308" s="242"/>
      <c r="I308" s="96"/>
    </row>
    <row r="309" spans="2:9" ht="63.75" customHeight="1" x14ac:dyDescent="0.25">
      <c r="B309" s="95" t="s">
        <v>301</v>
      </c>
      <c r="C309" s="234"/>
      <c r="D309" s="234"/>
      <c r="E309" s="235"/>
      <c r="F309" s="232" t="s">
        <v>313</v>
      </c>
      <c r="G309" s="231"/>
      <c r="H309" s="242"/>
      <c r="I309" s="96"/>
    </row>
    <row r="310" spans="2:9" ht="15.75" customHeight="1" x14ac:dyDescent="0.25">
      <c r="B310" s="75" t="s">
        <v>127</v>
      </c>
      <c r="C310" s="234"/>
      <c r="D310" s="234"/>
      <c r="E310" s="235"/>
      <c r="F310" s="232" t="s">
        <v>314</v>
      </c>
      <c r="G310" s="231"/>
      <c r="H310" s="242"/>
      <c r="I310" s="97" t="s">
        <v>22</v>
      </c>
    </row>
    <row r="311" spans="2:9" ht="15.75" customHeight="1" x14ac:dyDescent="0.25">
      <c r="B311" s="89" t="s">
        <v>315</v>
      </c>
      <c r="C311" s="234"/>
      <c r="D311" s="234"/>
      <c r="E311" s="235"/>
      <c r="F311" s="232" t="s">
        <v>316</v>
      </c>
      <c r="G311" s="231"/>
      <c r="H311" s="242"/>
      <c r="I311" s="171" t="s">
        <v>22</v>
      </c>
    </row>
    <row r="312" spans="2:9" ht="15.75" customHeight="1" x14ac:dyDescent="0.25">
      <c r="B312" s="120" t="s">
        <v>317</v>
      </c>
      <c r="C312" s="234"/>
      <c r="D312" s="234"/>
      <c r="E312" s="235"/>
      <c r="F312" s="232" t="s">
        <v>316</v>
      </c>
      <c r="G312" s="231"/>
      <c r="H312" s="242"/>
      <c r="I312" s="58" t="s">
        <v>22</v>
      </c>
    </row>
    <row r="313" spans="2:9" ht="25.5" customHeight="1" x14ac:dyDescent="0.25">
      <c r="B313" s="95" t="s">
        <v>301</v>
      </c>
      <c r="C313" s="234"/>
      <c r="D313" s="234"/>
      <c r="E313" s="235"/>
      <c r="F313" s="232" t="s">
        <v>318</v>
      </c>
      <c r="G313" s="231"/>
      <c r="H313" s="242"/>
      <c r="I313" s="96"/>
    </row>
    <row r="314" spans="2:9" ht="51" customHeight="1" x14ac:dyDescent="0.25">
      <c r="B314" s="90" t="s">
        <v>37</v>
      </c>
      <c r="C314" s="234"/>
      <c r="D314" s="234"/>
      <c r="E314" s="235"/>
      <c r="F314" s="232" t="s">
        <v>319</v>
      </c>
      <c r="G314" s="231"/>
      <c r="H314" s="242"/>
      <c r="I314" s="171" t="s">
        <v>22</v>
      </c>
    </row>
    <row r="315" spans="2:9" ht="38.25" customHeight="1" x14ac:dyDescent="0.25">
      <c r="B315" s="89" t="s">
        <v>95</v>
      </c>
      <c r="C315" s="234"/>
      <c r="D315" s="234"/>
      <c r="E315" s="235"/>
      <c r="F315" s="232" t="s">
        <v>320</v>
      </c>
      <c r="G315" s="231"/>
      <c r="H315" s="242"/>
      <c r="I315" s="171" t="s">
        <v>22</v>
      </c>
    </row>
    <row r="316" spans="2:9" ht="15.75" customHeight="1" x14ac:dyDescent="0.25">
      <c r="B316" s="120" t="s">
        <v>26</v>
      </c>
      <c r="C316" s="234"/>
      <c r="D316" s="234"/>
      <c r="E316" s="235"/>
      <c r="F316" s="232" t="s">
        <v>300</v>
      </c>
      <c r="G316" s="231"/>
      <c r="H316" s="242"/>
      <c r="I316" s="58" t="s">
        <v>22</v>
      </c>
    </row>
    <row r="317" spans="2:9" ht="15.75" customHeight="1" x14ac:dyDescent="0.25">
      <c r="B317" s="106" t="s">
        <v>321</v>
      </c>
      <c r="C317" s="234"/>
      <c r="D317" s="234"/>
      <c r="E317" s="235"/>
      <c r="F317" s="232" t="s">
        <v>322</v>
      </c>
      <c r="G317" s="231"/>
      <c r="H317" s="242"/>
      <c r="I317" s="59" t="s">
        <v>22</v>
      </c>
    </row>
    <row r="318" spans="2:9" ht="15.75" customHeight="1" x14ac:dyDescent="0.25">
      <c r="B318" s="106" t="s">
        <v>323</v>
      </c>
      <c r="C318" s="234"/>
      <c r="D318" s="234"/>
      <c r="E318" s="235"/>
      <c r="F318" s="232" t="s">
        <v>324</v>
      </c>
      <c r="G318" s="231"/>
      <c r="H318" s="242"/>
      <c r="I318" s="59" t="s">
        <v>22</v>
      </c>
    </row>
    <row r="319" spans="2:9" ht="15.75" customHeight="1" x14ac:dyDescent="0.25">
      <c r="B319" s="106" t="s">
        <v>325</v>
      </c>
      <c r="C319" s="234"/>
      <c r="D319" s="234"/>
      <c r="E319" s="235"/>
      <c r="F319" s="232" t="s">
        <v>326</v>
      </c>
      <c r="G319" s="231"/>
      <c r="H319" s="242"/>
      <c r="I319" s="59" t="s">
        <v>22</v>
      </c>
    </row>
    <row r="320" spans="2:9" ht="15.75" customHeight="1" x14ac:dyDescent="0.25">
      <c r="B320" s="120" t="s">
        <v>327</v>
      </c>
      <c r="C320" s="234"/>
      <c r="D320" s="234"/>
      <c r="E320" s="235"/>
      <c r="F320" s="232" t="s">
        <v>328</v>
      </c>
      <c r="G320" s="231"/>
      <c r="H320" s="242"/>
      <c r="I320" s="58" t="s">
        <v>22</v>
      </c>
    </row>
    <row r="321" spans="2:9" ht="15.75" customHeight="1" x14ac:dyDescent="0.25">
      <c r="B321" s="106" t="s">
        <v>41</v>
      </c>
      <c r="C321" s="234"/>
      <c r="D321" s="234"/>
      <c r="E321" s="235"/>
      <c r="F321" s="232" t="s">
        <v>328</v>
      </c>
      <c r="G321" s="231"/>
      <c r="H321" s="242"/>
      <c r="I321" s="97" t="s">
        <v>22</v>
      </c>
    </row>
    <row r="322" spans="2:9" ht="15.75" customHeight="1" x14ac:dyDescent="0.25">
      <c r="B322" s="106" t="s">
        <v>329</v>
      </c>
      <c r="C322" s="234"/>
      <c r="D322" s="234"/>
      <c r="E322" s="235"/>
      <c r="F322" s="232" t="s">
        <v>330</v>
      </c>
      <c r="G322" s="231"/>
      <c r="H322" s="242"/>
      <c r="I322" s="59" t="s">
        <v>22</v>
      </c>
    </row>
    <row r="323" spans="2:9" ht="15.75" customHeight="1" x14ac:dyDescent="0.25">
      <c r="B323" s="106" t="s">
        <v>331</v>
      </c>
      <c r="C323" s="234"/>
      <c r="D323" s="234"/>
      <c r="E323" s="235"/>
      <c r="F323" s="232" t="s">
        <v>332</v>
      </c>
      <c r="G323" s="231"/>
      <c r="H323" s="242"/>
      <c r="I323" s="59" t="s">
        <v>22</v>
      </c>
    </row>
    <row r="324" spans="2:9" ht="15.75" customHeight="1" x14ac:dyDescent="0.25">
      <c r="B324" s="106" t="s">
        <v>333</v>
      </c>
      <c r="C324" s="234"/>
      <c r="D324" s="234"/>
      <c r="E324" s="235"/>
      <c r="F324" s="232" t="s">
        <v>334</v>
      </c>
      <c r="G324" s="231"/>
      <c r="H324" s="242"/>
      <c r="I324" s="59" t="s">
        <v>22</v>
      </c>
    </row>
    <row r="325" spans="2:9" ht="25.5" customHeight="1" x14ac:dyDescent="0.25">
      <c r="B325" s="75" t="s">
        <v>335</v>
      </c>
      <c r="C325" s="234"/>
      <c r="D325" s="234"/>
      <c r="E325" s="235"/>
      <c r="F325" s="232" t="s">
        <v>336</v>
      </c>
      <c r="G325" s="231"/>
      <c r="H325" s="242"/>
      <c r="I325" s="58" t="s">
        <v>22</v>
      </c>
    </row>
    <row r="326" spans="2:9" ht="25.5" customHeight="1" x14ac:dyDescent="0.25">
      <c r="B326" s="120"/>
      <c r="C326" s="234"/>
      <c r="D326" s="234"/>
      <c r="E326" s="235"/>
      <c r="F326" s="232" t="s">
        <v>337</v>
      </c>
      <c r="G326" s="231"/>
      <c r="H326" s="242"/>
      <c r="I326" s="58" t="s">
        <v>10</v>
      </c>
    </row>
    <row r="327" spans="2:9" ht="15.75" customHeight="1" x14ac:dyDescent="0.25">
      <c r="B327" s="106" t="s">
        <v>338</v>
      </c>
      <c r="C327" s="234"/>
      <c r="D327" s="234"/>
      <c r="E327" s="235"/>
      <c r="F327" s="232" t="s">
        <v>339</v>
      </c>
      <c r="G327" s="231"/>
      <c r="H327" s="242"/>
      <c r="I327" s="59" t="s">
        <v>22</v>
      </c>
    </row>
    <row r="328" spans="2:9" ht="15.75" customHeight="1" x14ac:dyDescent="0.25">
      <c r="B328" s="98"/>
      <c r="C328" s="234"/>
      <c r="D328" s="234"/>
      <c r="E328" s="235"/>
      <c r="F328" s="232" t="s">
        <v>340</v>
      </c>
      <c r="G328" s="231"/>
      <c r="H328" s="242"/>
      <c r="I328" s="59" t="s">
        <v>10</v>
      </c>
    </row>
    <row r="329" spans="2:9" ht="15.75" customHeight="1" x14ac:dyDescent="0.25">
      <c r="B329" s="106" t="s">
        <v>341</v>
      </c>
      <c r="C329" s="234"/>
      <c r="D329" s="234"/>
      <c r="E329" s="235"/>
      <c r="F329" s="232" t="s">
        <v>342</v>
      </c>
      <c r="G329" s="231"/>
      <c r="H329" s="242"/>
      <c r="I329" s="59" t="s">
        <v>22</v>
      </c>
    </row>
    <row r="330" spans="2:9" ht="15.75" customHeight="1" x14ac:dyDescent="0.25">
      <c r="B330" s="98"/>
      <c r="C330" s="234"/>
      <c r="D330" s="234"/>
      <c r="E330" s="235"/>
      <c r="F330" s="232" t="s">
        <v>343</v>
      </c>
      <c r="G330" s="231"/>
      <c r="H330" s="242"/>
      <c r="I330" s="59" t="s">
        <v>10</v>
      </c>
    </row>
    <row r="331" spans="2:9" ht="15.75" customHeight="1" x14ac:dyDescent="0.25">
      <c r="B331" s="95" t="s">
        <v>311</v>
      </c>
      <c r="C331" s="234"/>
      <c r="D331" s="234"/>
      <c r="E331" s="235"/>
      <c r="F331" s="232" t="s">
        <v>344</v>
      </c>
      <c r="G331" s="231"/>
      <c r="H331" s="242"/>
      <c r="I331" s="97"/>
    </row>
    <row r="332" spans="2:9" ht="15.75" customHeight="1" x14ac:dyDescent="0.25">
      <c r="B332" s="106" t="s">
        <v>345</v>
      </c>
      <c r="C332" s="234"/>
      <c r="D332" s="234"/>
      <c r="E332" s="235"/>
      <c r="F332" s="232" t="s">
        <v>346</v>
      </c>
      <c r="G332" s="231"/>
      <c r="H332" s="242"/>
      <c r="I332" s="59" t="s">
        <v>22</v>
      </c>
    </row>
    <row r="333" spans="2:9" ht="15.75" customHeight="1" x14ac:dyDescent="0.25">
      <c r="B333" s="98"/>
      <c r="C333" s="234"/>
      <c r="D333" s="234"/>
      <c r="E333" s="235"/>
      <c r="F333" s="232" t="s">
        <v>347</v>
      </c>
      <c r="G333" s="231"/>
      <c r="H333" s="242"/>
      <c r="I333" s="59" t="s">
        <v>10</v>
      </c>
    </row>
    <row r="334" spans="2:9" ht="15.75" customHeight="1" x14ac:dyDescent="0.25">
      <c r="B334" s="106" t="s">
        <v>348</v>
      </c>
      <c r="C334" s="234"/>
      <c r="D334" s="234"/>
      <c r="E334" s="235"/>
      <c r="F334" s="232" t="s">
        <v>349</v>
      </c>
      <c r="G334" s="231"/>
      <c r="H334" s="242"/>
      <c r="I334" s="59" t="s">
        <v>22</v>
      </c>
    </row>
    <row r="335" spans="2:9" ht="15.75" customHeight="1" x14ac:dyDescent="0.25">
      <c r="B335" s="99"/>
      <c r="C335" s="234"/>
      <c r="D335" s="234"/>
      <c r="E335" s="235"/>
      <c r="F335" s="232" t="s">
        <v>350</v>
      </c>
      <c r="G335" s="231"/>
      <c r="H335" s="242"/>
      <c r="I335" s="59" t="s">
        <v>10</v>
      </c>
    </row>
    <row r="336" spans="2:9" ht="15.75" customHeight="1" x14ac:dyDescent="0.25">
      <c r="B336" s="106" t="s">
        <v>351</v>
      </c>
      <c r="C336" s="234"/>
      <c r="D336" s="234"/>
      <c r="E336" s="235"/>
      <c r="F336" s="232" t="s">
        <v>352</v>
      </c>
      <c r="G336" s="231"/>
      <c r="H336" s="242"/>
      <c r="I336" s="59" t="s">
        <v>22</v>
      </c>
    </row>
    <row r="337" spans="2:9" ht="15.75" customHeight="1" x14ac:dyDescent="0.25">
      <c r="B337" s="99"/>
      <c r="C337" s="234"/>
      <c r="D337" s="234"/>
      <c r="E337" s="235"/>
      <c r="F337" s="232" t="s">
        <v>353</v>
      </c>
      <c r="G337" s="231"/>
      <c r="H337" s="242"/>
      <c r="I337" s="59" t="s">
        <v>10</v>
      </c>
    </row>
    <row r="338" spans="2:9" ht="15.75" customHeight="1" x14ac:dyDescent="0.25">
      <c r="B338" s="89" t="s">
        <v>315</v>
      </c>
      <c r="C338" s="234"/>
      <c r="D338" s="234"/>
      <c r="E338" s="235"/>
      <c r="F338" s="232" t="s">
        <v>354</v>
      </c>
      <c r="G338" s="231"/>
      <c r="H338" s="242"/>
      <c r="I338" s="171" t="s">
        <v>22</v>
      </c>
    </row>
    <row r="339" spans="2:9" ht="15.75" customHeight="1" x14ac:dyDescent="0.25">
      <c r="B339" s="120" t="s">
        <v>317</v>
      </c>
      <c r="C339" s="234"/>
      <c r="D339" s="234"/>
      <c r="E339" s="235"/>
      <c r="F339" s="232" t="s">
        <v>354</v>
      </c>
      <c r="G339" s="231"/>
      <c r="H339" s="242"/>
      <c r="I339" s="58" t="s">
        <v>22</v>
      </c>
    </row>
    <row r="340" spans="2:9" ht="38.25" customHeight="1" x14ac:dyDescent="0.25">
      <c r="B340" s="90" t="s">
        <v>46</v>
      </c>
      <c r="C340" s="234"/>
      <c r="D340" s="234"/>
      <c r="E340" s="235"/>
      <c r="F340" s="232" t="s">
        <v>355</v>
      </c>
      <c r="G340" s="231"/>
      <c r="H340" s="242"/>
      <c r="I340" s="171" t="s">
        <v>22</v>
      </c>
    </row>
    <row r="341" spans="2:9" ht="15.75" customHeight="1" x14ac:dyDescent="0.25">
      <c r="B341" s="89" t="s">
        <v>48</v>
      </c>
      <c r="C341" s="234"/>
      <c r="D341" s="234"/>
      <c r="E341" s="235"/>
      <c r="F341" s="232">
        <v>0</v>
      </c>
      <c r="G341" s="231"/>
      <c r="H341" s="242"/>
      <c r="I341" s="171" t="s">
        <v>22</v>
      </c>
    </row>
    <row r="342" spans="2:9" ht="15.75" customHeight="1" x14ac:dyDescent="0.25">
      <c r="B342" s="120" t="s">
        <v>26</v>
      </c>
      <c r="C342" s="234"/>
      <c r="D342" s="234"/>
      <c r="E342" s="235">
        <v>63</v>
      </c>
      <c r="F342" s="232"/>
      <c r="G342" s="231"/>
      <c r="H342" s="242"/>
      <c r="I342" s="58" t="s">
        <v>22</v>
      </c>
    </row>
    <row r="343" spans="2:9" ht="15.75" customHeight="1" x14ac:dyDescent="0.25">
      <c r="B343" s="106" t="s">
        <v>321</v>
      </c>
      <c r="C343" s="234"/>
      <c r="D343" s="234"/>
      <c r="E343" s="235">
        <v>64</v>
      </c>
      <c r="F343" s="232"/>
      <c r="G343" s="231"/>
      <c r="H343" s="242"/>
      <c r="I343" s="59" t="s">
        <v>22</v>
      </c>
    </row>
    <row r="344" spans="2:9" ht="15.75" customHeight="1" x14ac:dyDescent="0.25">
      <c r="B344" s="106" t="s">
        <v>323</v>
      </c>
      <c r="C344" s="234"/>
      <c r="D344" s="234"/>
      <c r="E344" s="235">
        <v>65</v>
      </c>
      <c r="F344" s="232"/>
      <c r="G344" s="231"/>
      <c r="H344" s="242"/>
      <c r="I344" s="59" t="s">
        <v>22</v>
      </c>
    </row>
    <row r="345" spans="2:9" ht="15.75" customHeight="1" x14ac:dyDescent="0.25">
      <c r="B345" s="106" t="s">
        <v>325</v>
      </c>
      <c r="C345" s="234"/>
      <c r="D345" s="234"/>
      <c r="E345" s="235">
        <v>66</v>
      </c>
      <c r="F345" s="232"/>
      <c r="G345" s="231"/>
      <c r="H345" s="242"/>
      <c r="I345" s="59" t="s">
        <v>22</v>
      </c>
    </row>
    <row r="346" spans="2:9" ht="15.75" customHeight="1" x14ac:dyDescent="0.25">
      <c r="B346" s="95" t="s">
        <v>301</v>
      </c>
      <c r="C346" s="234"/>
      <c r="D346" s="234"/>
      <c r="E346" s="235"/>
      <c r="F346" s="232" t="s">
        <v>356</v>
      </c>
      <c r="G346" s="231"/>
      <c r="H346" s="242"/>
      <c r="I346" s="171"/>
    </row>
    <row r="347" spans="2:9" ht="25.5" customHeight="1" x14ac:dyDescent="0.25">
      <c r="B347" s="89" t="s">
        <v>24</v>
      </c>
      <c r="C347" s="234"/>
      <c r="D347" s="234"/>
      <c r="E347" s="235"/>
      <c r="F347" s="232" t="s">
        <v>357</v>
      </c>
      <c r="G347" s="231"/>
      <c r="H347" s="242"/>
      <c r="I347" s="171" t="s">
        <v>22</v>
      </c>
    </row>
    <row r="348" spans="2:9" ht="25.5" customHeight="1" x14ac:dyDescent="0.25">
      <c r="B348" s="120" t="s">
        <v>180</v>
      </c>
      <c r="C348" s="234"/>
      <c r="D348" s="234"/>
      <c r="E348" s="235"/>
      <c r="F348" s="232" t="s">
        <v>358</v>
      </c>
      <c r="G348" s="231"/>
      <c r="H348" s="242"/>
      <c r="I348" s="58" t="s">
        <v>22</v>
      </c>
    </row>
    <row r="349" spans="2:9" ht="15.75" customHeight="1" x14ac:dyDescent="0.25">
      <c r="B349" s="102" t="s">
        <v>359</v>
      </c>
      <c r="C349" s="234"/>
      <c r="D349" s="234"/>
      <c r="E349" s="235"/>
      <c r="F349" s="232" t="s">
        <v>360</v>
      </c>
      <c r="G349" s="231"/>
      <c r="H349" s="242"/>
      <c r="I349" s="59" t="s">
        <v>22</v>
      </c>
    </row>
    <row r="350" spans="2:9" ht="51" customHeight="1" x14ac:dyDescent="0.25">
      <c r="B350" s="95" t="s">
        <v>301</v>
      </c>
      <c r="C350" s="234"/>
      <c r="D350" s="234"/>
      <c r="E350" s="235"/>
      <c r="F350" s="232" t="s">
        <v>361</v>
      </c>
      <c r="G350" s="231"/>
      <c r="H350" s="242"/>
      <c r="I350" s="100"/>
    </row>
    <row r="351" spans="2:9" ht="15.75" customHeight="1" x14ac:dyDescent="0.25">
      <c r="B351" s="102" t="s">
        <v>362</v>
      </c>
      <c r="C351" s="234"/>
      <c r="D351" s="234"/>
      <c r="E351" s="235"/>
      <c r="F351" s="232" t="s">
        <v>363</v>
      </c>
      <c r="G351" s="231"/>
      <c r="H351" s="242"/>
      <c r="I351" s="59" t="s">
        <v>22</v>
      </c>
    </row>
    <row r="352" spans="2:9" ht="51" customHeight="1" x14ac:dyDescent="0.25">
      <c r="B352" s="95" t="s">
        <v>301</v>
      </c>
      <c r="C352" s="234"/>
      <c r="D352" s="234"/>
      <c r="E352" s="235"/>
      <c r="F352" s="232" t="s">
        <v>364</v>
      </c>
      <c r="G352" s="231"/>
      <c r="H352" s="242"/>
      <c r="I352" s="100"/>
    </row>
    <row r="353" spans="2:9" ht="15.75" customHeight="1" x14ac:dyDescent="0.25">
      <c r="B353" s="106" t="s">
        <v>50</v>
      </c>
      <c r="C353" s="234"/>
      <c r="D353" s="234"/>
      <c r="E353" s="235"/>
      <c r="F353" s="232" t="s">
        <v>365</v>
      </c>
      <c r="G353" s="231"/>
      <c r="H353" s="242"/>
      <c r="I353" s="59" t="s">
        <v>22</v>
      </c>
    </row>
    <row r="354" spans="2:9" ht="15.75" customHeight="1" x14ac:dyDescent="0.25">
      <c r="B354" s="106" t="s">
        <v>52</v>
      </c>
      <c r="C354" s="234"/>
      <c r="D354" s="234"/>
      <c r="E354" s="235"/>
      <c r="F354" s="232" t="s">
        <v>366</v>
      </c>
      <c r="G354" s="231"/>
      <c r="H354" s="242"/>
      <c r="I354" s="59" t="s">
        <v>22</v>
      </c>
    </row>
    <row r="355" spans="2:9" ht="15.75" customHeight="1" x14ac:dyDescent="0.25">
      <c r="B355" s="76" t="s">
        <v>85</v>
      </c>
      <c r="C355" s="234"/>
      <c r="D355" s="234"/>
      <c r="E355" s="235"/>
      <c r="F355" s="232" t="s">
        <v>367</v>
      </c>
      <c r="G355" s="231"/>
      <c r="H355" s="242"/>
      <c r="I355" s="59" t="s">
        <v>22</v>
      </c>
    </row>
    <row r="356" spans="2:9" ht="15.75" customHeight="1" x14ac:dyDescent="0.25">
      <c r="B356" s="101" t="s">
        <v>368</v>
      </c>
      <c r="C356" s="234"/>
      <c r="D356" s="234"/>
      <c r="E356" s="235"/>
      <c r="F356" s="232">
        <v>0</v>
      </c>
      <c r="G356" s="231"/>
      <c r="H356" s="242"/>
      <c r="I356" s="58" t="s">
        <v>22</v>
      </c>
    </row>
    <row r="357" spans="2:9" ht="15.75" customHeight="1" x14ac:dyDescent="0.25">
      <c r="B357" s="101"/>
      <c r="C357" s="234"/>
      <c r="D357" s="234"/>
      <c r="E357" s="235"/>
      <c r="F357" s="232">
        <v>0</v>
      </c>
      <c r="G357" s="231"/>
      <c r="H357" s="242"/>
      <c r="I357" s="59" t="s">
        <v>22</v>
      </c>
    </row>
    <row r="358" spans="2:9" ht="15.75" customHeight="1" x14ac:dyDescent="0.25">
      <c r="B358" s="102" t="s">
        <v>369</v>
      </c>
      <c r="C358" s="234"/>
      <c r="D358" s="234"/>
      <c r="E358" s="235">
        <v>67</v>
      </c>
      <c r="F358" s="232"/>
      <c r="G358" s="231"/>
      <c r="H358" s="242"/>
      <c r="I358" s="59" t="s">
        <v>22</v>
      </c>
    </row>
    <row r="359" spans="2:9" ht="15.75" customHeight="1" x14ac:dyDescent="0.25">
      <c r="B359" s="106"/>
      <c r="C359" s="234"/>
      <c r="D359" s="234"/>
      <c r="E359" s="235">
        <v>68</v>
      </c>
      <c r="F359" s="232"/>
      <c r="G359" s="231"/>
      <c r="H359" s="242"/>
      <c r="I359" s="59" t="s">
        <v>22</v>
      </c>
    </row>
    <row r="360" spans="2:9" ht="15.75" customHeight="1" x14ac:dyDescent="0.25">
      <c r="B360" s="89" t="s">
        <v>370</v>
      </c>
      <c r="C360" s="234"/>
      <c r="D360" s="234"/>
      <c r="E360" s="235"/>
      <c r="F360" s="232" t="s">
        <v>371</v>
      </c>
      <c r="G360" s="231"/>
      <c r="H360" s="242"/>
      <c r="I360" s="171" t="s">
        <v>22</v>
      </c>
    </row>
    <row r="361" spans="2:9" ht="15.75" customHeight="1" x14ac:dyDescent="0.25">
      <c r="B361" s="106" t="s">
        <v>372</v>
      </c>
      <c r="C361" s="234"/>
      <c r="D361" s="234"/>
      <c r="E361" s="235"/>
      <c r="F361" s="232" t="s">
        <v>371</v>
      </c>
      <c r="G361" s="231"/>
      <c r="H361" s="242"/>
      <c r="I361" s="59" t="s">
        <v>22</v>
      </c>
    </row>
    <row r="362" spans="2:9" ht="15.75" customHeight="1" x14ac:dyDescent="0.25">
      <c r="B362" s="81" t="s">
        <v>127</v>
      </c>
      <c r="C362" s="234"/>
      <c r="D362" s="234"/>
      <c r="E362" s="235"/>
      <c r="F362" s="232" t="s">
        <v>314</v>
      </c>
      <c r="G362" s="231"/>
      <c r="H362" s="242"/>
      <c r="I362" s="171" t="s">
        <v>22</v>
      </c>
    </row>
    <row r="363" spans="2:9" ht="15.75" customHeight="1" x14ac:dyDescent="0.25">
      <c r="B363" s="109" t="s">
        <v>373</v>
      </c>
      <c r="C363" s="234"/>
      <c r="D363" s="234"/>
      <c r="E363" s="235"/>
      <c r="F363" s="232" t="s">
        <v>314</v>
      </c>
      <c r="G363" s="231"/>
      <c r="H363" s="242"/>
      <c r="I363" s="59" t="s">
        <v>22</v>
      </c>
    </row>
    <row r="364" spans="2:9" ht="15.75" customHeight="1" x14ac:dyDescent="0.25">
      <c r="B364" s="89" t="s">
        <v>64</v>
      </c>
      <c r="C364" s="234"/>
      <c r="D364" s="234"/>
      <c r="E364" s="235"/>
      <c r="F364" s="232" t="s">
        <v>374</v>
      </c>
      <c r="G364" s="231"/>
      <c r="H364" s="242"/>
      <c r="I364" s="171" t="s">
        <v>22</v>
      </c>
    </row>
    <row r="365" spans="2:9" ht="15.75" customHeight="1" x14ac:dyDescent="0.25">
      <c r="B365" s="120" t="s">
        <v>30</v>
      </c>
      <c r="C365" s="234"/>
      <c r="D365" s="234"/>
      <c r="E365" s="235"/>
      <c r="F365" s="232" t="s">
        <v>374</v>
      </c>
      <c r="G365" s="231"/>
      <c r="H365" s="242"/>
      <c r="I365" s="58" t="s">
        <v>22</v>
      </c>
    </row>
    <row r="366" spans="2:9" ht="15.75" customHeight="1" x14ac:dyDescent="0.25">
      <c r="B366" s="106" t="s">
        <v>375</v>
      </c>
      <c r="C366" s="234"/>
      <c r="D366" s="234"/>
      <c r="E366" s="235"/>
      <c r="F366" s="232" t="s">
        <v>374</v>
      </c>
      <c r="G366" s="231"/>
      <c r="H366" s="242"/>
      <c r="I366" s="59" t="s">
        <v>22</v>
      </c>
    </row>
    <row r="367" spans="2:9" ht="15.75" customHeight="1" x14ac:dyDescent="0.25">
      <c r="B367" s="89" t="s">
        <v>315</v>
      </c>
      <c r="C367" s="234"/>
      <c r="D367" s="234"/>
      <c r="E367" s="235"/>
      <c r="F367" s="232" t="s">
        <v>376</v>
      </c>
      <c r="G367" s="231"/>
      <c r="H367" s="242"/>
      <c r="I367" s="171" t="s">
        <v>22</v>
      </c>
    </row>
    <row r="368" spans="2:9" ht="15.75" customHeight="1" x14ac:dyDescent="0.25">
      <c r="B368" s="120" t="s">
        <v>317</v>
      </c>
      <c r="C368" s="234"/>
      <c r="D368" s="234"/>
      <c r="E368" s="235"/>
      <c r="F368" s="232" t="s">
        <v>376</v>
      </c>
      <c r="G368" s="231"/>
      <c r="H368" s="242"/>
      <c r="I368" s="58" t="s">
        <v>22</v>
      </c>
    </row>
    <row r="369" spans="2:9" ht="15.75" customHeight="1" x14ac:dyDescent="0.25">
      <c r="B369" s="120"/>
      <c r="C369" s="234"/>
      <c r="D369" s="234"/>
      <c r="E369" s="235">
        <v>69</v>
      </c>
      <c r="F369" s="232"/>
      <c r="G369" s="231"/>
      <c r="H369" s="242"/>
      <c r="I369" s="171"/>
    </row>
    <row r="370" spans="2:9" ht="15.75" customHeight="1" x14ac:dyDescent="0.25">
      <c r="B370" s="79" t="s">
        <v>377</v>
      </c>
      <c r="C370" s="234"/>
      <c r="D370" s="234"/>
      <c r="E370" s="235">
        <v>70</v>
      </c>
      <c r="F370" s="232"/>
      <c r="G370" s="231"/>
      <c r="H370" s="242"/>
      <c r="I370" s="80"/>
    </row>
    <row r="371" spans="2:9" ht="15.75" customHeight="1" x14ac:dyDescent="0.25">
      <c r="B371" s="81" t="s">
        <v>32</v>
      </c>
      <c r="C371" s="234"/>
      <c r="D371" s="234"/>
      <c r="E371" s="235"/>
      <c r="F371" s="232" t="s">
        <v>378</v>
      </c>
      <c r="G371" s="231"/>
      <c r="H371" s="242"/>
      <c r="I371" s="80" t="s">
        <v>22</v>
      </c>
    </row>
    <row r="372" spans="2:9" ht="15.75" customHeight="1" x14ac:dyDescent="0.25">
      <c r="B372" s="75" t="s">
        <v>34</v>
      </c>
      <c r="C372" s="234"/>
      <c r="D372" s="234"/>
      <c r="E372" s="235"/>
      <c r="F372" s="232" t="s">
        <v>378</v>
      </c>
      <c r="G372" s="231"/>
      <c r="H372" s="242"/>
      <c r="I372" s="58" t="s">
        <v>22</v>
      </c>
    </row>
    <row r="373" spans="2:9" ht="15.75" customHeight="1" x14ac:dyDescent="0.25">
      <c r="B373" s="82" t="s">
        <v>73</v>
      </c>
      <c r="C373" s="234"/>
      <c r="D373" s="234"/>
      <c r="E373" s="235">
        <v>71</v>
      </c>
      <c r="F373" s="232"/>
      <c r="G373" s="231"/>
      <c r="H373" s="242"/>
      <c r="I373" s="80"/>
    </row>
    <row r="374" spans="2:9" ht="15.75" customHeight="1" x14ac:dyDescent="0.25">
      <c r="B374" s="81" t="s">
        <v>32</v>
      </c>
      <c r="C374" s="234"/>
      <c r="D374" s="234"/>
      <c r="E374" s="235"/>
      <c r="F374" s="232" t="s">
        <v>379</v>
      </c>
      <c r="G374" s="231"/>
      <c r="H374" s="242"/>
      <c r="I374" s="80" t="s">
        <v>22</v>
      </c>
    </row>
    <row r="375" spans="2:9" ht="15.75" customHeight="1" x14ac:dyDescent="0.25">
      <c r="B375" s="75" t="s">
        <v>34</v>
      </c>
      <c r="C375" s="234"/>
      <c r="D375" s="234"/>
      <c r="E375" s="235"/>
      <c r="F375" s="232" t="s">
        <v>379</v>
      </c>
      <c r="G375" s="231"/>
      <c r="H375" s="242"/>
      <c r="I375" s="58" t="s">
        <v>22</v>
      </c>
    </row>
    <row r="376" spans="2:9" ht="15.75" customHeight="1" x14ac:dyDescent="0.25">
      <c r="B376" s="82" t="s">
        <v>75</v>
      </c>
      <c r="C376" s="234"/>
      <c r="D376" s="234"/>
      <c r="E376" s="235">
        <v>72</v>
      </c>
      <c r="F376" s="232"/>
      <c r="G376" s="231"/>
      <c r="H376" s="242"/>
      <c r="I376" s="80"/>
    </row>
    <row r="377" spans="2:9" ht="15.75" customHeight="1" x14ac:dyDescent="0.25">
      <c r="B377" s="81" t="s">
        <v>32</v>
      </c>
      <c r="C377" s="234"/>
      <c r="D377" s="234"/>
      <c r="E377" s="235"/>
      <c r="F377" s="232" t="s">
        <v>380</v>
      </c>
      <c r="G377" s="231"/>
      <c r="H377" s="242"/>
      <c r="I377" s="80" t="s">
        <v>22</v>
      </c>
    </row>
    <row r="378" spans="2:9" ht="15.75" customHeight="1" x14ac:dyDescent="0.25">
      <c r="B378" s="75" t="s">
        <v>34</v>
      </c>
      <c r="C378" s="234"/>
      <c r="D378" s="234"/>
      <c r="E378" s="235"/>
      <c r="F378" s="232" t="s">
        <v>380</v>
      </c>
      <c r="G378" s="231"/>
      <c r="H378" s="242"/>
      <c r="I378" s="58" t="s">
        <v>22</v>
      </c>
    </row>
    <row r="379" spans="2:9" ht="15.75" customHeight="1" x14ac:dyDescent="0.25">
      <c r="B379" s="75"/>
      <c r="C379" s="234"/>
      <c r="D379" s="234"/>
      <c r="E379" s="235">
        <v>73</v>
      </c>
      <c r="F379" s="232"/>
      <c r="G379" s="231"/>
      <c r="H379" s="242"/>
      <c r="I379" s="80"/>
    </row>
    <row r="380" spans="2:9" ht="15.75" customHeight="1" x14ac:dyDescent="0.25">
      <c r="B380" s="123" t="s">
        <v>381</v>
      </c>
      <c r="C380" s="234"/>
      <c r="D380" s="234"/>
      <c r="E380" s="235">
        <v>74</v>
      </c>
      <c r="F380" s="232"/>
      <c r="G380" s="231"/>
      <c r="H380" s="242"/>
      <c r="I380" s="92" t="s">
        <v>10</v>
      </c>
    </row>
    <row r="381" spans="2:9" ht="15.75" customHeight="1" x14ac:dyDescent="0.25">
      <c r="B381" s="94" t="s">
        <v>35</v>
      </c>
      <c r="C381" s="234"/>
      <c r="D381" s="234"/>
      <c r="E381" s="235">
        <v>75</v>
      </c>
      <c r="F381" s="232"/>
      <c r="G381" s="231"/>
      <c r="H381" s="242"/>
      <c r="I381" s="92" t="s">
        <v>10</v>
      </c>
    </row>
    <row r="382" spans="2:9" ht="15.75" customHeight="1" x14ac:dyDescent="0.25">
      <c r="B382" s="103" t="s">
        <v>36</v>
      </c>
      <c r="C382" s="234"/>
      <c r="D382" s="234"/>
      <c r="E382" s="235">
        <v>76</v>
      </c>
      <c r="F382" s="232"/>
      <c r="G382" s="231"/>
      <c r="H382" s="242"/>
      <c r="I382" s="61" t="s">
        <v>22</v>
      </c>
    </row>
    <row r="383" spans="2:9" ht="15.75" customHeight="1" x14ac:dyDescent="0.25">
      <c r="B383" s="103"/>
      <c r="C383" s="234"/>
      <c r="D383" s="234"/>
      <c r="E383" s="235">
        <v>77</v>
      </c>
      <c r="F383" s="232"/>
      <c r="G383" s="231"/>
      <c r="H383" s="242"/>
      <c r="I383" s="61" t="s">
        <v>10</v>
      </c>
    </row>
    <row r="384" spans="2:9" ht="15.75" customHeight="1" x14ac:dyDescent="0.25">
      <c r="B384" s="104" t="s">
        <v>80</v>
      </c>
      <c r="C384" s="234"/>
      <c r="D384" s="234"/>
      <c r="E384" s="235">
        <v>78</v>
      </c>
      <c r="F384" s="232"/>
      <c r="G384" s="231"/>
      <c r="H384" s="242"/>
      <c r="I384" s="92" t="s">
        <v>10</v>
      </c>
    </row>
    <row r="385" spans="2:9" ht="15.75" customHeight="1" x14ac:dyDescent="0.25">
      <c r="B385" s="94" t="s">
        <v>35</v>
      </c>
      <c r="C385" s="234"/>
      <c r="D385" s="234"/>
      <c r="E385" s="235">
        <v>79</v>
      </c>
      <c r="F385" s="232"/>
      <c r="G385" s="231"/>
      <c r="H385" s="242"/>
      <c r="I385" s="92" t="s">
        <v>10</v>
      </c>
    </row>
    <row r="386" spans="2:9" ht="15.75" customHeight="1" x14ac:dyDescent="0.25">
      <c r="B386" s="103" t="s">
        <v>36</v>
      </c>
      <c r="C386" s="234"/>
      <c r="D386" s="234"/>
      <c r="E386" s="235">
        <v>80</v>
      </c>
      <c r="F386" s="232"/>
      <c r="G386" s="231"/>
      <c r="H386" s="242"/>
      <c r="I386" s="61" t="s">
        <v>22</v>
      </c>
    </row>
    <row r="387" spans="2:9" ht="15.75" customHeight="1" x14ac:dyDescent="0.25">
      <c r="B387" s="103"/>
      <c r="C387" s="234"/>
      <c r="D387" s="234"/>
      <c r="E387" s="235">
        <v>81</v>
      </c>
      <c r="F387" s="232"/>
      <c r="G387" s="231"/>
      <c r="H387" s="242"/>
      <c r="I387" s="61" t="s">
        <v>10</v>
      </c>
    </row>
    <row r="388" spans="2:9" ht="15.75" customHeight="1" x14ac:dyDescent="0.25">
      <c r="B388" s="104" t="s">
        <v>81</v>
      </c>
      <c r="C388" s="234"/>
      <c r="D388" s="234"/>
      <c r="E388" s="235">
        <v>82</v>
      </c>
      <c r="F388" s="232"/>
      <c r="G388" s="231"/>
      <c r="H388" s="242"/>
      <c r="I388" s="92" t="s">
        <v>10</v>
      </c>
    </row>
    <row r="389" spans="2:9" ht="15.75" customHeight="1" x14ac:dyDescent="0.25">
      <c r="B389" s="123"/>
      <c r="C389" s="234"/>
      <c r="D389" s="234"/>
      <c r="E389" s="235">
        <v>83</v>
      </c>
      <c r="F389" s="232"/>
      <c r="G389" s="231"/>
      <c r="H389" s="242"/>
      <c r="I389" s="92"/>
    </row>
    <row r="390" spans="2:9" ht="15.75" customHeight="1" x14ac:dyDescent="0.25">
      <c r="B390" s="88" t="s">
        <v>382</v>
      </c>
      <c r="C390" s="234"/>
      <c r="D390" s="234"/>
      <c r="E390" s="235">
        <v>84</v>
      </c>
      <c r="F390" s="232"/>
      <c r="G390" s="231"/>
      <c r="H390" s="242"/>
      <c r="I390" s="171"/>
    </row>
    <row r="391" spans="2:9" ht="63.75" customHeight="1" x14ac:dyDescent="0.25">
      <c r="B391" s="89" t="s">
        <v>24</v>
      </c>
      <c r="C391" s="234"/>
      <c r="D391" s="234"/>
      <c r="E391" s="235"/>
      <c r="F391" s="232" t="s">
        <v>383</v>
      </c>
      <c r="G391" s="231"/>
      <c r="H391" s="242"/>
      <c r="I391" s="171" t="s">
        <v>10</v>
      </c>
    </row>
    <row r="392" spans="2:9" ht="25.5" customHeight="1" x14ac:dyDescent="0.25">
      <c r="B392" s="120" t="s">
        <v>28</v>
      </c>
      <c r="C392" s="234"/>
      <c r="D392" s="234"/>
      <c r="E392" s="235"/>
      <c r="F392" s="232" t="s">
        <v>384</v>
      </c>
      <c r="G392" s="231"/>
      <c r="H392" s="242"/>
      <c r="I392" s="58" t="s">
        <v>10</v>
      </c>
    </row>
    <row r="393" spans="2:9" ht="63.75" customHeight="1" x14ac:dyDescent="0.25">
      <c r="B393" s="95" t="s">
        <v>301</v>
      </c>
      <c r="C393" s="234"/>
      <c r="D393" s="234"/>
      <c r="E393" s="235"/>
      <c r="F393" s="232" t="s">
        <v>385</v>
      </c>
      <c r="G393" s="231"/>
      <c r="H393" s="242"/>
      <c r="I393" s="100"/>
    </row>
    <row r="394" spans="2:9" ht="38.25" customHeight="1" x14ac:dyDescent="0.25">
      <c r="B394" s="120" t="s">
        <v>26</v>
      </c>
      <c r="C394" s="234"/>
      <c r="D394" s="234"/>
      <c r="E394" s="235"/>
      <c r="F394" s="232" t="s">
        <v>386</v>
      </c>
      <c r="G394" s="231"/>
      <c r="H394" s="242"/>
      <c r="I394" s="58" t="s">
        <v>10</v>
      </c>
    </row>
    <row r="395" spans="2:9" ht="38.25" customHeight="1" x14ac:dyDescent="0.25">
      <c r="B395" s="95" t="s">
        <v>301</v>
      </c>
      <c r="C395" s="234"/>
      <c r="D395" s="234"/>
      <c r="E395" s="235"/>
      <c r="F395" s="232" t="s">
        <v>387</v>
      </c>
      <c r="G395" s="231"/>
      <c r="H395" s="242"/>
      <c r="I395" s="100"/>
    </row>
    <row r="396" spans="2:9" ht="15.75" customHeight="1" x14ac:dyDescent="0.25">
      <c r="B396" s="90" t="s">
        <v>388</v>
      </c>
      <c r="C396" s="234"/>
      <c r="D396" s="234"/>
      <c r="E396" s="235">
        <v>85</v>
      </c>
      <c r="F396" s="232"/>
      <c r="G396" s="231"/>
      <c r="H396" s="242"/>
      <c r="I396" s="171"/>
    </row>
    <row r="397" spans="2:9" ht="38.25" customHeight="1" x14ac:dyDescent="0.25">
      <c r="B397" s="89" t="s">
        <v>24</v>
      </c>
      <c r="C397" s="234"/>
      <c r="D397" s="234"/>
      <c r="E397" s="235"/>
      <c r="F397" s="232" t="s">
        <v>389</v>
      </c>
      <c r="G397" s="231"/>
      <c r="H397" s="242"/>
      <c r="I397" s="171" t="s">
        <v>10</v>
      </c>
    </row>
    <row r="398" spans="2:9" ht="15.75" customHeight="1" x14ac:dyDescent="0.25">
      <c r="B398" s="120" t="s">
        <v>28</v>
      </c>
      <c r="C398" s="234"/>
      <c r="D398" s="234"/>
      <c r="E398" s="235"/>
      <c r="F398" s="232" t="s">
        <v>390</v>
      </c>
      <c r="G398" s="231"/>
      <c r="H398" s="242"/>
      <c r="I398" s="58" t="s">
        <v>10</v>
      </c>
    </row>
    <row r="399" spans="2:9" ht="15.75" customHeight="1" x14ac:dyDescent="0.25">
      <c r="B399" s="106" t="s">
        <v>82</v>
      </c>
      <c r="C399" s="234"/>
      <c r="D399" s="234"/>
      <c r="E399" s="235"/>
      <c r="F399" s="232" t="s">
        <v>391</v>
      </c>
      <c r="G399" s="231"/>
      <c r="H399" s="242"/>
      <c r="I399" s="59" t="s">
        <v>10</v>
      </c>
    </row>
    <row r="400" spans="2:9" ht="15.75" customHeight="1" x14ac:dyDescent="0.25">
      <c r="B400" s="106" t="s">
        <v>52</v>
      </c>
      <c r="C400" s="234"/>
      <c r="D400" s="234"/>
      <c r="E400" s="235"/>
      <c r="F400" s="232" t="s">
        <v>392</v>
      </c>
      <c r="G400" s="231"/>
      <c r="H400" s="242"/>
      <c r="I400" s="59" t="s">
        <v>10</v>
      </c>
    </row>
    <row r="401" spans="2:9" ht="25.5" customHeight="1" x14ac:dyDescent="0.25">
      <c r="B401" s="120" t="s">
        <v>26</v>
      </c>
      <c r="C401" s="234"/>
      <c r="D401" s="234"/>
      <c r="E401" s="235"/>
      <c r="F401" s="232" t="s">
        <v>393</v>
      </c>
      <c r="G401" s="231"/>
      <c r="H401" s="242"/>
      <c r="I401" s="58" t="s">
        <v>10</v>
      </c>
    </row>
    <row r="402" spans="2:9" ht="15.75" customHeight="1" x14ac:dyDescent="0.25">
      <c r="B402" s="106" t="s">
        <v>394</v>
      </c>
      <c r="C402" s="234"/>
      <c r="D402" s="234"/>
      <c r="E402" s="235"/>
      <c r="F402" s="232" t="s">
        <v>395</v>
      </c>
      <c r="G402" s="231"/>
      <c r="H402" s="242"/>
      <c r="I402" s="59" t="s">
        <v>10</v>
      </c>
    </row>
    <row r="403" spans="2:9" ht="15.75" customHeight="1" x14ac:dyDescent="0.25">
      <c r="B403" s="106" t="s">
        <v>396</v>
      </c>
      <c r="C403" s="234"/>
      <c r="D403" s="234"/>
      <c r="E403" s="235"/>
      <c r="F403" s="232" t="s">
        <v>397</v>
      </c>
      <c r="G403" s="231"/>
      <c r="H403" s="242"/>
      <c r="I403" s="59" t="s">
        <v>10</v>
      </c>
    </row>
    <row r="404" spans="2:9" ht="25.5" customHeight="1" x14ac:dyDescent="0.25">
      <c r="B404" s="106" t="s">
        <v>398</v>
      </c>
      <c r="C404" s="234"/>
      <c r="D404" s="234"/>
      <c r="E404" s="235"/>
      <c r="F404" s="232" t="s">
        <v>399</v>
      </c>
      <c r="G404" s="231"/>
      <c r="H404" s="242"/>
      <c r="I404" s="59" t="s">
        <v>10</v>
      </c>
    </row>
    <row r="405" spans="2:9" ht="15.75" customHeight="1" x14ac:dyDescent="0.25">
      <c r="B405" s="106" t="s">
        <v>400</v>
      </c>
      <c r="C405" s="234"/>
      <c r="D405" s="234"/>
      <c r="E405" s="235"/>
      <c r="F405" s="232" t="s">
        <v>401</v>
      </c>
      <c r="G405" s="231"/>
      <c r="H405" s="242"/>
      <c r="I405" s="59" t="s">
        <v>10</v>
      </c>
    </row>
    <row r="406" spans="2:9" ht="15.75" customHeight="1" x14ac:dyDescent="0.25">
      <c r="B406" s="106" t="s">
        <v>402</v>
      </c>
      <c r="C406" s="234"/>
      <c r="D406" s="234"/>
      <c r="E406" s="235">
        <v>86</v>
      </c>
      <c r="F406" s="232"/>
      <c r="G406" s="231"/>
      <c r="H406" s="242"/>
      <c r="I406" s="59" t="s">
        <v>10</v>
      </c>
    </row>
    <row r="407" spans="2:9" ht="15.75" customHeight="1" x14ac:dyDescent="0.25">
      <c r="B407" s="106" t="s">
        <v>403</v>
      </c>
      <c r="C407" s="234"/>
      <c r="D407" s="234"/>
      <c r="E407" s="235"/>
      <c r="F407" s="232" t="s">
        <v>404</v>
      </c>
      <c r="G407" s="231"/>
      <c r="H407" s="242"/>
      <c r="I407" s="59" t="s">
        <v>10</v>
      </c>
    </row>
    <row r="408" spans="2:9" ht="15.75" customHeight="1" x14ac:dyDescent="0.25">
      <c r="B408" s="105" t="s">
        <v>405</v>
      </c>
      <c r="C408" s="234"/>
      <c r="D408" s="234"/>
      <c r="E408" s="235"/>
      <c r="F408" s="232" t="s">
        <v>406</v>
      </c>
      <c r="G408" s="231"/>
      <c r="H408" s="242"/>
      <c r="I408" s="59" t="s">
        <v>10</v>
      </c>
    </row>
    <row r="409" spans="2:9" ht="15.75" customHeight="1" x14ac:dyDescent="0.25">
      <c r="B409" s="90" t="s">
        <v>407</v>
      </c>
      <c r="C409" s="234"/>
      <c r="D409" s="234"/>
      <c r="E409" s="235">
        <v>87</v>
      </c>
      <c r="F409" s="232"/>
      <c r="G409" s="231"/>
      <c r="H409" s="242"/>
      <c r="I409" s="171"/>
    </row>
    <row r="410" spans="2:9" ht="25.5" customHeight="1" x14ac:dyDescent="0.25">
      <c r="B410" s="89" t="s">
        <v>24</v>
      </c>
      <c r="C410" s="234"/>
      <c r="D410" s="234"/>
      <c r="E410" s="235"/>
      <c r="F410" s="232" t="s">
        <v>408</v>
      </c>
      <c r="G410" s="231"/>
      <c r="H410" s="242"/>
      <c r="I410" s="171" t="s">
        <v>10</v>
      </c>
    </row>
    <row r="411" spans="2:9" ht="15.75" customHeight="1" x14ac:dyDescent="0.25">
      <c r="B411" s="120" t="s">
        <v>26</v>
      </c>
      <c r="C411" s="234"/>
      <c r="D411" s="234"/>
      <c r="E411" s="235"/>
      <c r="F411" s="232">
        <v>0</v>
      </c>
      <c r="G411" s="231"/>
      <c r="H411" s="242"/>
      <c r="I411" s="58" t="s">
        <v>10</v>
      </c>
    </row>
    <row r="412" spans="2:9" ht="15.75" customHeight="1" x14ac:dyDescent="0.25">
      <c r="B412" s="106" t="s">
        <v>359</v>
      </c>
      <c r="C412" s="234"/>
      <c r="D412" s="234"/>
      <c r="E412" s="235">
        <v>88</v>
      </c>
      <c r="F412" s="232"/>
      <c r="G412" s="231"/>
      <c r="H412" s="242"/>
      <c r="I412" s="59" t="s">
        <v>10</v>
      </c>
    </row>
    <row r="413" spans="2:9" ht="25.5" customHeight="1" x14ac:dyDescent="0.25">
      <c r="B413" s="120" t="s">
        <v>180</v>
      </c>
      <c r="C413" s="234"/>
      <c r="D413" s="234"/>
      <c r="E413" s="235"/>
      <c r="F413" s="232" t="s">
        <v>409</v>
      </c>
      <c r="G413" s="231"/>
      <c r="H413" s="242"/>
      <c r="I413" s="58" t="s">
        <v>10</v>
      </c>
    </row>
    <row r="414" spans="2:9" ht="15.75" customHeight="1" x14ac:dyDescent="0.25">
      <c r="B414" s="106" t="s">
        <v>410</v>
      </c>
      <c r="C414" s="234"/>
      <c r="D414" s="234"/>
      <c r="E414" s="235"/>
      <c r="F414" s="232" t="s">
        <v>411</v>
      </c>
      <c r="G414" s="231"/>
      <c r="H414" s="242"/>
      <c r="I414" s="59" t="s">
        <v>10</v>
      </c>
    </row>
    <row r="415" spans="2:9" ht="15.75" customHeight="1" x14ac:dyDescent="0.25">
      <c r="B415" s="106" t="s">
        <v>412</v>
      </c>
      <c r="C415" s="234"/>
      <c r="D415" s="234"/>
      <c r="E415" s="235"/>
      <c r="F415" s="232" t="s">
        <v>413</v>
      </c>
      <c r="G415" s="231"/>
      <c r="H415" s="242"/>
      <c r="I415" s="59" t="s">
        <v>10</v>
      </c>
    </row>
    <row r="416" spans="2:9" ht="15.75" customHeight="1" x14ac:dyDescent="0.25">
      <c r="B416" s="106" t="s">
        <v>52</v>
      </c>
      <c r="C416" s="234"/>
      <c r="D416" s="234"/>
      <c r="E416" s="235"/>
      <c r="F416" s="232" t="s">
        <v>414</v>
      </c>
      <c r="G416" s="231"/>
      <c r="H416" s="242"/>
      <c r="I416" s="59" t="s">
        <v>10</v>
      </c>
    </row>
    <row r="417" spans="2:9" ht="15.75" customHeight="1" x14ac:dyDescent="0.25">
      <c r="B417" s="76" t="s">
        <v>85</v>
      </c>
      <c r="C417" s="234"/>
      <c r="D417" s="234"/>
      <c r="E417" s="235"/>
      <c r="F417" s="232" t="s">
        <v>415</v>
      </c>
      <c r="G417" s="231"/>
      <c r="H417" s="242"/>
      <c r="I417" s="59" t="s">
        <v>10</v>
      </c>
    </row>
    <row r="418" spans="2:9" ht="15.75" customHeight="1" x14ac:dyDescent="0.25">
      <c r="B418" s="76"/>
      <c r="C418" s="234"/>
      <c r="D418" s="234"/>
      <c r="E418" s="235">
        <v>89</v>
      </c>
      <c r="F418" s="232"/>
      <c r="G418" s="231"/>
      <c r="H418" s="242"/>
      <c r="I418" s="171"/>
    </row>
    <row r="419" spans="2:9" ht="15.75" customHeight="1" x14ac:dyDescent="0.25">
      <c r="B419" s="88" t="s">
        <v>416</v>
      </c>
      <c r="C419" s="234"/>
      <c r="D419" s="234"/>
      <c r="E419" s="235">
        <v>90</v>
      </c>
      <c r="F419" s="232"/>
      <c r="G419" s="231"/>
      <c r="H419" s="242"/>
      <c r="I419" s="171"/>
    </row>
    <row r="420" spans="2:9" ht="15.75" customHeight="1" x14ac:dyDescent="0.25">
      <c r="B420" s="88" t="s">
        <v>417</v>
      </c>
      <c r="C420" s="234"/>
      <c r="D420" s="234"/>
      <c r="E420" s="235">
        <v>91</v>
      </c>
      <c r="F420" s="232"/>
      <c r="G420" s="231"/>
      <c r="H420" s="242"/>
      <c r="I420" s="171"/>
    </row>
    <row r="421" spans="2:9" ht="51" customHeight="1" x14ac:dyDescent="0.25">
      <c r="B421" s="89" t="s">
        <v>95</v>
      </c>
      <c r="C421" s="234"/>
      <c r="D421" s="234"/>
      <c r="E421" s="235"/>
      <c r="F421" s="232" t="s">
        <v>418</v>
      </c>
      <c r="G421" s="231"/>
      <c r="H421" s="242"/>
      <c r="I421" s="171" t="s">
        <v>10</v>
      </c>
    </row>
    <row r="422" spans="2:9" ht="15.75" customHeight="1" x14ac:dyDescent="0.25">
      <c r="B422" s="120" t="s">
        <v>26</v>
      </c>
      <c r="C422" s="234"/>
      <c r="D422" s="234"/>
      <c r="E422" s="235"/>
      <c r="F422" s="232" t="s">
        <v>419</v>
      </c>
      <c r="G422" s="231"/>
      <c r="H422" s="242"/>
      <c r="I422" s="58" t="s">
        <v>10</v>
      </c>
    </row>
    <row r="423" spans="2:9" ht="38.25" customHeight="1" x14ac:dyDescent="0.25">
      <c r="B423" s="120" t="s">
        <v>28</v>
      </c>
      <c r="C423" s="234"/>
      <c r="D423" s="234"/>
      <c r="E423" s="235"/>
      <c r="F423" s="232" t="s">
        <v>420</v>
      </c>
      <c r="G423" s="231"/>
      <c r="H423" s="242"/>
      <c r="I423" s="58" t="s">
        <v>10</v>
      </c>
    </row>
    <row r="424" spans="2:9" ht="15.75" customHeight="1" x14ac:dyDescent="0.25">
      <c r="B424" s="120" t="s">
        <v>149</v>
      </c>
      <c r="C424" s="234"/>
      <c r="D424" s="234"/>
      <c r="E424" s="235"/>
      <c r="F424" s="232" t="s">
        <v>421</v>
      </c>
      <c r="G424" s="231"/>
      <c r="H424" s="242"/>
      <c r="I424" s="58" t="s">
        <v>10</v>
      </c>
    </row>
    <row r="425" spans="2:9" ht="15.75" customHeight="1" x14ac:dyDescent="0.25">
      <c r="B425" s="120" t="s">
        <v>422</v>
      </c>
      <c r="C425" s="234"/>
      <c r="D425" s="234"/>
      <c r="E425" s="235"/>
      <c r="F425" s="232" t="s">
        <v>423</v>
      </c>
      <c r="G425" s="231"/>
      <c r="H425" s="242"/>
      <c r="I425" s="58" t="s">
        <v>10</v>
      </c>
    </row>
    <row r="426" spans="2:9" ht="15.75" customHeight="1" x14ac:dyDescent="0.25">
      <c r="B426" s="90" t="s">
        <v>186</v>
      </c>
      <c r="C426" s="234"/>
      <c r="D426" s="234"/>
      <c r="E426" s="235">
        <v>92</v>
      </c>
      <c r="F426" s="232"/>
      <c r="G426" s="231"/>
      <c r="H426" s="242"/>
      <c r="I426" s="171"/>
    </row>
    <row r="427" spans="2:9" ht="51" customHeight="1" x14ac:dyDescent="0.25">
      <c r="B427" s="89" t="s">
        <v>95</v>
      </c>
      <c r="C427" s="234"/>
      <c r="D427" s="234"/>
      <c r="E427" s="235"/>
      <c r="F427" s="232" t="s">
        <v>418</v>
      </c>
      <c r="G427" s="231"/>
      <c r="H427" s="242"/>
      <c r="I427" s="171" t="s">
        <v>10</v>
      </c>
    </row>
    <row r="428" spans="2:9" ht="15.75" customHeight="1" x14ac:dyDescent="0.25">
      <c r="B428" s="120" t="s">
        <v>26</v>
      </c>
      <c r="C428" s="234"/>
      <c r="D428" s="234"/>
      <c r="E428" s="235"/>
      <c r="F428" s="232" t="s">
        <v>419</v>
      </c>
      <c r="G428" s="231"/>
      <c r="H428" s="242"/>
      <c r="I428" s="58" t="s">
        <v>10</v>
      </c>
    </row>
    <row r="429" spans="2:9" ht="15.75" customHeight="1" x14ac:dyDescent="0.25">
      <c r="B429" s="106" t="s">
        <v>276</v>
      </c>
      <c r="C429" s="234"/>
      <c r="D429" s="234"/>
      <c r="E429" s="235"/>
      <c r="F429" s="232" t="s">
        <v>277</v>
      </c>
      <c r="G429" s="231"/>
      <c r="H429" s="242"/>
      <c r="I429" s="59" t="s">
        <v>10</v>
      </c>
    </row>
    <row r="430" spans="2:9" ht="38.25" customHeight="1" x14ac:dyDescent="0.25">
      <c r="B430" s="120" t="s">
        <v>180</v>
      </c>
      <c r="C430" s="234"/>
      <c r="D430" s="234"/>
      <c r="E430" s="235"/>
      <c r="F430" s="232" t="s">
        <v>420</v>
      </c>
      <c r="G430" s="231"/>
      <c r="H430" s="242"/>
      <c r="I430" s="58" t="s">
        <v>10</v>
      </c>
    </row>
    <row r="431" spans="2:9" ht="15.75" customHeight="1" x14ac:dyDescent="0.25">
      <c r="B431" s="106" t="s">
        <v>82</v>
      </c>
      <c r="C431" s="234"/>
      <c r="D431" s="234"/>
      <c r="E431" s="235"/>
      <c r="F431" s="232" t="s">
        <v>424</v>
      </c>
      <c r="G431" s="231"/>
      <c r="H431" s="242"/>
      <c r="I431" s="59" t="s">
        <v>10</v>
      </c>
    </row>
    <row r="432" spans="2:9" ht="15.75" customHeight="1" x14ac:dyDescent="0.25">
      <c r="B432" s="106" t="s">
        <v>52</v>
      </c>
      <c r="C432" s="234"/>
      <c r="D432" s="234"/>
      <c r="E432" s="235"/>
      <c r="F432" s="232" t="s">
        <v>425</v>
      </c>
      <c r="G432" s="231"/>
      <c r="H432" s="242"/>
      <c r="I432" s="59" t="s">
        <v>10</v>
      </c>
    </row>
    <row r="433" spans="2:9" ht="15.75" customHeight="1" x14ac:dyDescent="0.25">
      <c r="B433" s="76" t="s">
        <v>85</v>
      </c>
      <c r="C433" s="234"/>
      <c r="D433" s="234"/>
      <c r="E433" s="235"/>
      <c r="F433" s="232" t="s">
        <v>426</v>
      </c>
      <c r="G433" s="231"/>
      <c r="H433" s="242"/>
      <c r="I433" s="59" t="s">
        <v>10</v>
      </c>
    </row>
    <row r="434" spans="2:9" ht="15.75" customHeight="1" x14ac:dyDescent="0.25">
      <c r="B434" s="120" t="s">
        <v>147</v>
      </c>
      <c r="C434" s="234"/>
      <c r="D434" s="234"/>
      <c r="E434" s="235"/>
      <c r="F434" s="232" t="s">
        <v>421</v>
      </c>
      <c r="G434" s="231"/>
      <c r="H434" s="242"/>
      <c r="I434" s="58" t="s">
        <v>10</v>
      </c>
    </row>
    <row r="435" spans="2:9" ht="15.75" customHeight="1" x14ac:dyDescent="0.25">
      <c r="B435" s="120" t="s">
        <v>422</v>
      </c>
      <c r="C435" s="234"/>
      <c r="D435" s="234"/>
      <c r="E435" s="235"/>
      <c r="F435" s="232" t="s">
        <v>423</v>
      </c>
      <c r="G435" s="231"/>
      <c r="H435" s="242"/>
      <c r="I435" s="58" t="s">
        <v>10</v>
      </c>
    </row>
    <row r="436" spans="2:9" ht="15.75" customHeight="1" x14ac:dyDescent="0.25">
      <c r="B436" s="90" t="s">
        <v>192</v>
      </c>
      <c r="C436" s="234"/>
      <c r="D436" s="234"/>
      <c r="E436" s="235"/>
      <c r="F436" s="232">
        <v>0</v>
      </c>
      <c r="G436" s="231"/>
      <c r="H436" s="242"/>
      <c r="I436" s="171" t="s">
        <v>10</v>
      </c>
    </row>
    <row r="437" spans="2:9" ht="15.75" customHeight="1" x14ac:dyDescent="0.25">
      <c r="B437" s="88"/>
      <c r="C437" s="234"/>
      <c r="D437" s="234"/>
      <c r="E437" s="235">
        <v>93</v>
      </c>
      <c r="F437" s="232"/>
      <c r="G437" s="231"/>
      <c r="H437" s="242"/>
      <c r="I437" s="171"/>
    </row>
    <row r="438" spans="2:9" ht="102" customHeight="1" x14ac:dyDescent="0.25">
      <c r="B438" s="88" t="s">
        <v>427</v>
      </c>
      <c r="C438" s="234"/>
      <c r="D438" s="234"/>
      <c r="E438" s="235"/>
      <c r="F438" s="232" t="s">
        <v>428</v>
      </c>
      <c r="G438" s="231"/>
      <c r="H438" s="242"/>
      <c r="I438" s="171" t="s">
        <v>10</v>
      </c>
    </row>
    <row r="439" spans="2:9" ht="63.75" customHeight="1" x14ac:dyDescent="0.25">
      <c r="B439" s="89" t="s">
        <v>95</v>
      </c>
      <c r="C439" s="234"/>
      <c r="D439" s="234"/>
      <c r="E439" s="235"/>
      <c r="F439" s="232" t="s">
        <v>429</v>
      </c>
      <c r="G439" s="231"/>
      <c r="H439" s="242"/>
      <c r="I439" s="171" t="s">
        <v>10</v>
      </c>
    </row>
    <row r="440" spans="2:9" ht="15.75" customHeight="1" x14ac:dyDescent="0.25">
      <c r="B440" s="120" t="s">
        <v>430</v>
      </c>
      <c r="C440" s="234"/>
      <c r="D440" s="234"/>
      <c r="E440" s="235"/>
      <c r="F440" s="232" t="s">
        <v>431</v>
      </c>
      <c r="G440" s="231"/>
      <c r="H440" s="242"/>
      <c r="I440" s="58" t="s">
        <v>10</v>
      </c>
    </row>
    <row r="441" spans="2:9" ht="38.25" customHeight="1" x14ac:dyDescent="0.25">
      <c r="B441" s="120" t="s">
        <v>28</v>
      </c>
      <c r="C441" s="234"/>
      <c r="D441" s="234"/>
      <c r="E441" s="235"/>
      <c r="F441" s="232" t="s">
        <v>432</v>
      </c>
      <c r="G441" s="231"/>
      <c r="H441" s="242"/>
      <c r="I441" s="58" t="s">
        <v>10</v>
      </c>
    </row>
    <row r="442" spans="2:9" ht="25.5" customHeight="1" x14ac:dyDescent="0.25">
      <c r="B442" s="102" t="s">
        <v>433</v>
      </c>
      <c r="C442" s="234"/>
      <c r="D442" s="234"/>
      <c r="E442" s="235"/>
      <c r="F442" s="232" t="s">
        <v>434</v>
      </c>
      <c r="G442" s="231"/>
      <c r="H442" s="242"/>
      <c r="I442" s="59" t="s">
        <v>10</v>
      </c>
    </row>
    <row r="443" spans="2:9" ht="25.5" customHeight="1" x14ac:dyDescent="0.25">
      <c r="B443" s="102" t="s">
        <v>435</v>
      </c>
      <c r="C443" s="234"/>
      <c r="D443" s="234"/>
      <c r="E443" s="235"/>
      <c r="F443" s="232" t="s">
        <v>436</v>
      </c>
      <c r="G443" s="231"/>
      <c r="H443" s="242"/>
      <c r="I443" s="59" t="s">
        <v>10</v>
      </c>
    </row>
    <row r="444" spans="2:9" ht="15.75" customHeight="1" x14ac:dyDescent="0.25">
      <c r="B444" s="120" t="s">
        <v>437</v>
      </c>
      <c r="C444" s="234"/>
      <c r="D444" s="234"/>
      <c r="E444" s="235"/>
      <c r="F444" s="232" t="s">
        <v>438</v>
      </c>
      <c r="G444" s="231"/>
      <c r="H444" s="242"/>
      <c r="I444" s="58" t="s">
        <v>10</v>
      </c>
    </row>
    <row r="445" spans="2:9" ht="15.75" customHeight="1" x14ac:dyDescent="0.25">
      <c r="B445" s="120" t="s">
        <v>147</v>
      </c>
      <c r="C445" s="234"/>
      <c r="D445" s="234"/>
      <c r="E445" s="235"/>
      <c r="F445" s="232" t="s">
        <v>439</v>
      </c>
      <c r="G445" s="231"/>
      <c r="H445" s="242"/>
      <c r="I445" s="58" t="s">
        <v>10</v>
      </c>
    </row>
    <row r="446" spans="2:9" ht="15.75" customHeight="1" x14ac:dyDescent="0.25">
      <c r="B446" s="120" t="s">
        <v>235</v>
      </c>
      <c r="C446" s="234"/>
      <c r="D446" s="234"/>
      <c r="E446" s="235"/>
      <c r="F446" s="232" t="s">
        <v>440</v>
      </c>
      <c r="G446" s="231"/>
      <c r="H446" s="242"/>
      <c r="I446" s="58" t="s">
        <v>10</v>
      </c>
    </row>
    <row r="447" spans="2:9" ht="25.5" customHeight="1" x14ac:dyDescent="0.25">
      <c r="B447" s="89" t="s">
        <v>315</v>
      </c>
      <c r="C447" s="234"/>
      <c r="D447" s="234"/>
      <c r="E447" s="235"/>
      <c r="F447" s="232" t="s">
        <v>441</v>
      </c>
      <c r="G447" s="231"/>
      <c r="H447" s="242"/>
      <c r="I447" s="171" t="s">
        <v>10</v>
      </c>
    </row>
    <row r="448" spans="2:9" ht="25.5" customHeight="1" x14ac:dyDescent="0.25">
      <c r="B448" s="120" t="s">
        <v>317</v>
      </c>
      <c r="C448" s="234"/>
      <c r="D448" s="234"/>
      <c r="E448" s="235"/>
      <c r="F448" s="232" t="s">
        <v>441</v>
      </c>
      <c r="G448" s="231"/>
      <c r="H448" s="242"/>
      <c r="I448" s="58" t="s">
        <v>10</v>
      </c>
    </row>
    <row r="449" spans="2:9" ht="15.75" customHeight="1" x14ac:dyDescent="0.25">
      <c r="B449" s="89" t="s">
        <v>102</v>
      </c>
      <c r="C449" s="234"/>
      <c r="D449" s="234"/>
      <c r="E449" s="235"/>
      <c r="F449" s="232" t="s">
        <v>442</v>
      </c>
      <c r="G449" s="231"/>
      <c r="H449" s="242"/>
      <c r="I449" s="171" t="s">
        <v>10</v>
      </c>
    </row>
    <row r="450" spans="2:9" ht="15.75" customHeight="1" x14ac:dyDescent="0.25">
      <c r="B450" s="89" t="s">
        <v>443</v>
      </c>
      <c r="C450" s="234"/>
      <c r="D450" s="234"/>
      <c r="E450" s="235"/>
      <c r="F450" s="232" t="s">
        <v>444</v>
      </c>
      <c r="G450" s="231"/>
      <c r="H450" s="242"/>
      <c r="I450" s="171" t="s">
        <v>10</v>
      </c>
    </row>
    <row r="451" spans="2:9" ht="63.75" customHeight="1" x14ac:dyDescent="0.25">
      <c r="B451" s="90" t="s">
        <v>216</v>
      </c>
      <c r="C451" s="234"/>
      <c r="D451" s="234"/>
      <c r="E451" s="235"/>
      <c r="F451" s="232" t="s">
        <v>445</v>
      </c>
      <c r="G451" s="231"/>
      <c r="H451" s="242"/>
      <c r="I451" s="171" t="s">
        <v>10</v>
      </c>
    </row>
    <row r="452" spans="2:9" ht="38.25" customHeight="1" x14ac:dyDescent="0.25">
      <c r="B452" s="89" t="s">
        <v>95</v>
      </c>
      <c r="C452" s="234"/>
      <c r="D452" s="234"/>
      <c r="E452" s="235"/>
      <c r="F452" s="232" t="s">
        <v>446</v>
      </c>
      <c r="G452" s="231"/>
      <c r="H452" s="242"/>
      <c r="I452" s="171" t="s">
        <v>10</v>
      </c>
    </row>
    <row r="453" spans="2:9" ht="15.75" customHeight="1" x14ac:dyDescent="0.25">
      <c r="B453" s="120" t="s">
        <v>447</v>
      </c>
      <c r="C453" s="234"/>
      <c r="D453" s="234"/>
      <c r="E453" s="235"/>
      <c r="F453" s="232" t="s">
        <v>431</v>
      </c>
      <c r="G453" s="231"/>
      <c r="H453" s="242"/>
      <c r="I453" s="58" t="s">
        <v>10</v>
      </c>
    </row>
    <row r="454" spans="2:9" ht="25.5" customHeight="1" x14ac:dyDescent="0.25">
      <c r="B454" s="120" t="s">
        <v>448</v>
      </c>
      <c r="C454" s="234"/>
      <c r="D454" s="234"/>
      <c r="E454" s="235"/>
      <c r="F454" s="232" t="s">
        <v>449</v>
      </c>
      <c r="G454" s="231"/>
      <c r="H454" s="242"/>
      <c r="I454" s="58" t="s">
        <v>10</v>
      </c>
    </row>
    <row r="455" spans="2:9" ht="15.75" customHeight="1" x14ac:dyDescent="0.25">
      <c r="B455" s="106" t="s">
        <v>82</v>
      </c>
      <c r="C455" s="234"/>
      <c r="D455" s="234"/>
      <c r="E455" s="235"/>
      <c r="F455" s="232" t="s">
        <v>450</v>
      </c>
      <c r="G455" s="231"/>
      <c r="H455" s="242"/>
      <c r="I455" s="59" t="s">
        <v>10</v>
      </c>
    </row>
    <row r="456" spans="2:9" ht="15.75" customHeight="1" x14ac:dyDescent="0.25">
      <c r="B456" s="106" t="s">
        <v>451</v>
      </c>
      <c r="C456" s="234"/>
      <c r="D456" s="234"/>
      <c r="E456" s="235"/>
      <c r="F456" s="232" t="s">
        <v>452</v>
      </c>
      <c r="G456" s="231"/>
      <c r="H456" s="242"/>
      <c r="I456" s="59" t="s">
        <v>10</v>
      </c>
    </row>
    <row r="457" spans="2:9" ht="15.75" customHeight="1" x14ac:dyDescent="0.25">
      <c r="B457" s="106" t="s">
        <v>453</v>
      </c>
      <c r="C457" s="234"/>
      <c r="D457" s="234"/>
      <c r="E457" s="235">
        <v>94</v>
      </c>
      <c r="F457" s="232"/>
      <c r="G457" s="231"/>
      <c r="H457" s="242"/>
      <c r="I457" s="59" t="s">
        <v>10</v>
      </c>
    </row>
    <row r="458" spans="2:9" ht="15.75" customHeight="1" x14ac:dyDescent="0.25">
      <c r="B458" s="106" t="s">
        <v>52</v>
      </c>
      <c r="C458" s="234"/>
      <c r="D458" s="234"/>
      <c r="E458" s="235"/>
      <c r="F458" s="232" t="s">
        <v>454</v>
      </c>
      <c r="G458" s="231"/>
      <c r="H458" s="242"/>
      <c r="I458" s="59" t="s">
        <v>10</v>
      </c>
    </row>
    <row r="459" spans="2:9" ht="15.75" customHeight="1" x14ac:dyDescent="0.25">
      <c r="B459" s="106" t="s">
        <v>451</v>
      </c>
      <c r="C459" s="234"/>
      <c r="D459" s="234"/>
      <c r="E459" s="235"/>
      <c r="F459" s="232" t="s">
        <v>455</v>
      </c>
      <c r="G459" s="231"/>
      <c r="H459" s="242"/>
      <c r="I459" s="59" t="s">
        <v>10</v>
      </c>
    </row>
    <row r="460" spans="2:9" ht="15.75" customHeight="1" x14ac:dyDescent="0.25">
      <c r="B460" s="106" t="s">
        <v>453</v>
      </c>
      <c r="C460" s="234"/>
      <c r="D460" s="234"/>
      <c r="E460" s="235">
        <v>95</v>
      </c>
      <c r="F460" s="232"/>
      <c r="G460" s="231"/>
      <c r="H460" s="242"/>
      <c r="I460" s="59" t="s">
        <v>10</v>
      </c>
    </row>
    <row r="461" spans="2:9" ht="15.75" customHeight="1" x14ac:dyDescent="0.25">
      <c r="B461" s="76" t="s">
        <v>85</v>
      </c>
      <c r="C461" s="234"/>
      <c r="D461" s="234"/>
      <c r="E461" s="235"/>
      <c r="F461" s="232" t="s">
        <v>456</v>
      </c>
      <c r="G461" s="231"/>
      <c r="H461" s="242"/>
      <c r="I461" s="59" t="s">
        <v>10</v>
      </c>
    </row>
    <row r="462" spans="2:9" ht="15.75" customHeight="1" x14ac:dyDescent="0.25">
      <c r="B462" s="106" t="s">
        <v>451</v>
      </c>
      <c r="C462" s="234"/>
      <c r="D462" s="234"/>
      <c r="E462" s="235"/>
      <c r="F462" s="232" t="s">
        <v>456</v>
      </c>
      <c r="G462" s="231"/>
      <c r="H462" s="242"/>
      <c r="I462" s="59" t="s">
        <v>10</v>
      </c>
    </row>
    <row r="463" spans="2:9" ht="15.75" customHeight="1" x14ac:dyDescent="0.25">
      <c r="B463" s="120" t="s">
        <v>457</v>
      </c>
      <c r="C463" s="234"/>
      <c r="D463" s="234"/>
      <c r="E463" s="235"/>
      <c r="F463" s="232" t="s">
        <v>458</v>
      </c>
      <c r="G463" s="231"/>
      <c r="H463" s="242"/>
      <c r="I463" s="58" t="s">
        <v>10</v>
      </c>
    </row>
    <row r="464" spans="2:9" ht="15.75" customHeight="1" x14ac:dyDescent="0.25">
      <c r="B464" s="120" t="s">
        <v>147</v>
      </c>
      <c r="C464" s="234"/>
      <c r="D464" s="234"/>
      <c r="E464" s="235"/>
      <c r="F464" s="232" t="s">
        <v>439</v>
      </c>
      <c r="G464" s="231"/>
      <c r="H464" s="242"/>
      <c r="I464" s="58" t="s">
        <v>10</v>
      </c>
    </row>
    <row r="465" spans="2:9" ht="15.75" customHeight="1" x14ac:dyDescent="0.25">
      <c r="B465" s="106" t="s">
        <v>459</v>
      </c>
      <c r="C465" s="234"/>
      <c r="D465" s="234"/>
      <c r="E465" s="235"/>
      <c r="F465" s="232" t="s">
        <v>460</v>
      </c>
      <c r="G465" s="231"/>
      <c r="H465" s="242"/>
      <c r="I465" s="59" t="s">
        <v>10</v>
      </c>
    </row>
    <row r="466" spans="2:9" ht="15.75" customHeight="1" x14ac:dyDescent="0.25">
      <c r="B466" s="106" t="s">
        <v>461</v>
      </c>
      <c r="C466" s="234"/>
      <c r="D466" s="234"/>
      <c r="E466" s="235"/>
      <c r="F466" s="232" t="s">
        <v>462</v>
      </c>
      <c r="G466" s="231"/>
      <c r="H466" s="242"/>
      <c r="I466" s="59" t="s">
        <v>10</v>
      </c>
    </row>
    <row r="467" spans="2:9" ht="15.75" customHeight="1" x14ac:dyDescent="0.25">
      <c r="B467" s="120" t="s">
        <v>235</v>
      </c>
      <c r="C467" s="234"/>
      <c r="D467" s="234"/>
      <c r="E467" s="235"/>
      <c r="F467" s="232" t="s">
        <v>440</v>
      </c>
      <c r="G467" s="231"/>
      <c r="H467" s="242"/>
      <c r="I467" s="58" t="s">
        <v>10</v>
      </c>
    </row>
    <row r="468" spans="2:9" ht="15.75" customHeight="1" x14ac:dyDescent="0.25">
      <c r="B468" s="106" t="s">
        <v>463</v>
      </c>
      <c r="C468" s="234"/>
      <c r="D468" s="234"/>
      <c r="E468" s="235"/>
      <c r="F468" s="232" t="s">
        <v>464</v>
      </c>
      <c r="G468" s="231"/>
      <c r="H468" s="242"/>
      <c r="I468" s="59" t="s">
        <v>10</v>
      </c>
    </row>
    <row r="469" spans="2:9" ht="15.75" customHeight="1" x14ac:dyDescent="0.25">
      <c r="B469" s="106" t="s">
        <v>465</v>
      </c>
      <c r="C469" s="234"/>
      <c r="D469" s="234"/>
      <c r="E469" s="235"/>
      <c r="F469" s="232" t="s">
        <v>466</v>
      </c>
      <c r="G469" s="231"/>
      <c r="H469" s="242"/>
      <c r="I469" s="59" t="s">
        <v>10</v>
      </c>
    </row>
    <row r="470" spans="2:9" ht="15.75" customHeight="1" x14ac:dyDescent="0.25">
      <c r="B470" s="106" t="s">
        <v>467</v>
      </c>
      <c r="C470" s="234"/>
      <c r="D470" s="234"/>
      <c r="E470" s="235"/>
      <c r="F470" s="232" t="s">
        <v>468</v>
      </c>
      <c r="G470" s="231"/>
      <c r="H470" s="242"/>
      <c r="I470" s="59" t="s">
        <v>10</v>
      </c>
    </row>
    <row r="471" spans="2:9" ht="25.5" customHeight="1" x14ac:dyDescent="0.25">
      <c r="B471" s="89" t="s">
        <v>315</v>
      </c>
      <c r="C471" s="234"/>
      <c r="D471" s="234"/>
      <c r="E471" s="235"/>
      <c r="F471" s="232" t="s">
        <v>441</v>
      </c>
      <c r="G471" s="231"/>
      <c r="H471" s="242"/>
      <c r="I471" s="171" t="s">
        <v>10</v>
      </c>
    </row>
    <row r="472" spans="2:9" ht="25.5" customHeight="1" x14ac:dyDescent="0.25">
      <c r="B472" s="120" t="s">
        <v>317</v>
      </c>
      <c r="C472" s="234"/>
      <c r="D472" s="234"/>
      <c r="E472" s="235"/>
      <c r="F472" s="232" t="s">
        <v>441</v>
      </c>
      <c r="G472" s="231"/>
      <c r="H472" s="242"/>
      <c r="I472" s="58" t="s">
        <v>10</v>
      </c>
    </row>
    <row r="473" spans="2:9" ht="15.75" customHeight="1" x14ac:dyDescent="0.25">
      <c r="B473" s="106" t="s">
        <v>469</v>
      </c>
      <c r="C473" s="234"/>
      <c r="D473" s="234"/>
      <c r="E473" s="235"/>
      <c r="F473" s="232" t="s">
        <v>470</v>
      </c>
      <c r="G473" s="231"/>
      <c r="H473" s="242"/>
      <c r="I473" s="59" t="s">
        <v>10</v>
      </c>
    </row>
    <row r="474" spans="2:9" ht="15.75" customHeight="1" x14ac:dyDescent="0.25">
      <c r="B474" s="106" t="s">
        <v>467</v>
      </c>
      <c r="C474" s="234"/>
      <c r="D474" s="234"/>
      <c r="E474" s="235"/>
      <c r="F474" s="232" t="s">
        <v>471</v>
      </c>
      <c r="G474" s="231"/>
      <c r="H474" s="242"/>
      <c r="I474" s="59" t="s">
        <v>10</v>
      </c>
    </row>
    <row r="475" spans="2:9" ht="15.75" customHeight="1" x14ac:dyDescent="0.25">
      <c r="B475" s="106" t="s">
        <v>472</v>
      </c>
      <c r="C475" s="234"/>
      <c r="D475" s="234"/>
      <c r="E475" s="235"/>
      <c r="F475" s="232" t="s">
        <v>473</v>
      </c>
      <c r="G475" s="231"/>
      <c r="H475" s="242"/>
      <c r="I475" s="59" t="s">
        <v>10</v>
      </c>
    </row>
    <row r="476" spans="2:9" ht="15.75" customHeight="1" x14ac:dyDescent="0.25">
      <c r="B476" s="89" t="s">
        <v>474</v>
      </c>
      <c r="C476" s="234"/>
      <c r="D476" s="234"/>
      <c r="E476" s="235"/>
      <c r="F476" s="232" t="s">
        <v>444</v>
      </c>
      <c r="G476" s="231"/>
      <c r="H476" s="242"/>
      <c r="I476" s="171" t="s">
        <v>10</v>
      </c>
    </row>
    <row r="477" spans="2:9" ht="15.75" customHeight="1" x14ac:dyDescent="0.25">
      <c r="B477" s="106" t="s">
        <v>475</v>
      </c>
      <c r="C477" s="234"/>
      <c r="D477" s="234"/>
      <c r="E477" s="235"/>
      <c r="F477" s="232" t="s">
        <v>444</v>
      </c>
      <c r="G477" s="231"/>
      <c r="H477" s="242"/>
      <c r="I477" s="59" t="s">
        <v>10</v>
      </c>
    </row>
    <row r="478" spans="2:9" ht="38.25" customHeight="1" x14ac:dyDescent="0.25">
      <c r="B478" s="90" t="s">
        <v>217</v>
      </c>
      <c r="C478" s="234"/>
      <c r="D478" s="234"/>
      <c r="E478" s="235"/>
      <c r="F478" s="232" t="s">
        <v>476</v>
      </c>
      <c r="G478" s="231"/>
      <c r="H478" s="242"/>
      <c r="I478" s="171" t="s">
        <v>10</v>
      </c>
    </row>
    <row r="479" spans="2:9" ht="25.5" customHeight="1" x14ac:dyDescent="0.25">
      <c r="B479" s="89" t="s">
        <v>95</v>
      </c>
      <c r="C479" s="234"/>
      <c r="D479" s="234"/>
      <c r="E479" s="235"/>
      <c r="F479" s="232" t="s">
        <v>477</v>
      </c>
      <c r="G479" s="231"/>
      <c r="H479" s="242"/>
      <c r="I479" s="171" t="s">
        <v>10</v>
      </c>
    </row>
    <row r="480" spans="2:9" ht="25.5" customHeight="1" x14ac:dyDescent="0.25">
      <c r="B480" s="120" t="s">
        <v>448</v>
      </c>
      <c r="C480" s="234"/>
      <c r="D480" s="234"/>
      <c r="E480" s="235"/>
      <c r="F480" s="232" t="s">
        <v>477</v>
      </c>
      <c r="G480" s="231"/>
      <c r="H480" s="242"/>
      <c r="I480" s="58" t="s">
        <v>10</v>
      </c>
    </row>
    <row r="481" spans="2:9" ht="15.75" customHeight="1" x14ac:dyDescent="0.25">
      <c r="B481" s="106" t="s">
        <v>412</v>
      </c>
      <c r="C481" s="234"/>
      <c r="D481" s="234"/>
      <c r="E481" s="235"/>
      <c r="F481" s="232" t="s">
        <v>478</v>
      </c>
      <c r="G481" s="231"/>
      <c r="H481" s="242"/>
      <c r="I481" s="59" t="s">
        <v>10</v>
      </c>
    </row>
    <row r="482" spans="2:9" ht="15.75" customHeight="1" x14ac:dyDescent="0.25">
      <c r="B482" s="106" t="s">
        <v>479</v>
      </c>
      <c r="C482" s="234"/>
      <c r="D482" s="234"/>
      <c r="E482" s="235"/>
      <c r="F482" s="232" t="s">
        <v>480</v>
      </c>
      <c r="G482" s="231"/>
      <c r="H482" s="242"/>
      <c r="I482" s="59" t="s">
        <v>10</v>
      </c>
    </row>
    <row r="483" spans="2:9" ht="15.75" customHeight="1" x14ac:dyDescent="0.25">
      <c r="B483" s="106" t="s">
        <v>481</v>
      </c>
      <c r="C483" s="234"/>
      <c r="D483" s="234"/>
      <c r="E483" s="235"/>
      <c r="F483" s="232">
        <v>0</v>
      </c>
      <c r="G483" s="231"/>
      <c r="H483" s="242"/>
      <c r="I483" s="59" t="s">
        <v>10</v>
      </c>
    </row>
    <row r="484" spans="2:9" ht="15.75" customHeight="1" x14ac:dyDescent="0.25">
      <c r="B484" s="106" t="s">
        <v>52</v>
      </c>
      <c r="C484" s="234"/>
      <c r="D484" s="234"/>
      <c r="E484" s="235"/>
      <c r="F484" s="232" t="s">
        <v>482</v>
      </c>
      <c r="G484" s="231"/>
      <c r="H484" s="242"/>
      <c r="I484" s="59" t="s">
        <v>10</v>
      </c>
    </row>
    <row r="485" spans="2:9" ht="15.75" customHeight="1" x14ac:dyDescent="0.25">
      <c r="B485" s="76" t="s">
        <v>85</v>
      </c>
      <c r="C485" s="234"/>
      <c r="D485" s="234"/>
      <c r="E485" s="235"/>
      <c r="F485" s="232" t="s">
        <v>483</v>
      </c>
      <c r="G485" s="231"/>
      <c r="H485" s="242"/>
      <c r="I485" s="59" t="s">
        <v>10</v>
      </c>
    </row>
    <row r="486" spans="2:9" ht="15.75" customHeight="1" x14ac:dyDescent="0.25">
      <c r="B486" s="89" t="s">
        <v>102</v>
      </c>
      <c r="C486" s="234"/>
      <c r="D486" s="234"/>
      <c r="E486" s="235"/>
      <c r="F486" s="232" t="s">
        <v>442</v>
      </c>
      <c r="G486" s="231"/>
      <c r="H486" s="242"/>
      <c r="I486" s="171" t="s">
        <v>10</v>
      </c>
    </row>
    <row r="487" spans="2:9" ht="15.75" customHeight="1" x14ac:dyDescent="0.25">
      <c r="B487" s="106" t="s">
        <v>484</v>
      </c>
      <c r="C487" s="234"/>
      <c r="D487" s="234"/>
      <c r="E487" s="235"/>
      <c r="F487" s="232" t="s">
        <v>442</v>
      </c>
      <c r="G487" s="231"/>
      <c r="H487" s="242"/>
      <c r="I487" s="59" t="s">
        <v>10</v>
      </c>
    </row>
    <row r="488" spans="2:9" ht="15.75" customHeight="1" x14ac:dyDescent="0.25">
      <c r="B488" s="89" t="s">
        <v>56</v>
      </c>
      <c r="C488" s="234"/>
      <c r="D488" s="234"/>
      <c r="E488" s="235"/>
      <c r="F488" s="232" t="s">
        <v>485</v>
      </c>
      <c r="G488" s="231"/>
      <c r="H488" s="242"/>
      <c r="I488" s="171" t="s">
        <v>10</v>
      </c>
    </row>
    <row r="489" spans="2:9" ht="15.75" customHeight="1" x14ac:dyDescent="0.25">
      <c r="B489" s="120" t="s">
        <v>28</v>
      </c>
      <c r="C489" s="234"/>
      <c r="D489" s="234"/>
      <c r="E489" s="235"/>
      <c r="F489" s="232" t="s">
        <v>485</v>
      </c>
      <c r="G489" s="231"/>
      <c r="H489" s="242"/>
      <c r="I489" s="58" t="s">
        <v>10</v>
      </c>
    </row>
    <row r="490" spans="2:9" ht="15.75" customHeight="1" x14ac:dyDescent="0.25">
      <c r="B490" s="89" t="s">
        <v>64</v>
      </c>
      <c r="C490" s="234"/>
      <c r="D490" s="234"/>
      <c r="E490" s="235"/>
      <c r="F490" s="232" t="s">
        <v>486</v>
      </c>
      <c r="G490" s="231"/>
      <c r="H490" s="242"/>
      <c r="I490" s="107" t="s">
        <v>10</v>
      </c>
    </row>
    <row r="491" spans="2:9" ht="15.75" customHeight="1" x14ac:dyDescent="0.25">
      <c r="B491" s="120" t="s">
        <v>30</v>
      </c>
      <c r="C491" s="234"/>
      <c r="D491" s="234"/>
      <c r="E491" s="235"/>
      <c r="F491" s="232" t="s">
        <v>486</v>
      </c>
      <c r="G491" s="231"/>
      <c r="H491" s="242"/>
      <c r="I491" s="58" t="s">
        <v>10</v>
      </c>
    </row>
    <row r="492" spans="2:9" ht="15.75" customHeight="1" x14ac:dyDescent="0.25">
      <c r="B492" s="106" t="s">
        <v>375</v>
      </c>
      <c r="C492" s="234"/>
      <c r="D492" s="234"/>
      <c r="E492" s="235"/>
      <c r="F492" s="232" t="s">
        <v>486</v>
      </c>
      <c r="G492" s="231"/>
      <c r="H492" s="242"/>
      <c r="I492" s="59" t="s">
        <v>10</v>
      </c>
    </row>
    <row r="493" spans="2:9" ht="15.75" customHeight="1" x14ac:dyDescent="0.25">
      <c r="B493" s="106"/>
      <c r="C493" s="234"/>
      <c r="D493" s="234"/>
      <c r="E493" s="235">
        <v>96</v>
      </c>
      <c r="F493" s="232"/>
      <c r="G493" s="231"/>
      <c r="H493" s="242"/>
      <c r="I493" s="171"/>
    </row>
    <row r="494" spans="2:9" ht="38.25" customHeight="1" x14ac:dyDescent="0.25">
      <c r="B494" s="88" t="s">
        <v>487</v>
      </c>
      <c r="C494" s="234"/>
      <c r="D494" s="234"/>
      <c r="E494" s="235"/>
      <c r="F494" s="232" t="s">
        <v>488</v>
      </c>
      <c r="G494" s="231"/>
      <c r="H494" s="242"/>
      <c r="I494" s="171" t="s">
        <v>10</v>
      </c>
    </row>
    <row r="495" spans="2:9" ht="25.5" customHeight="1" x14ac:dyDescent="0.25">
      <c r="B495" s="89" t="s">
        <v>95</v>
      </c>
      <c r="C495" s="234"/>
      <c r="D495" s="234"/>
      <c r="E495" s="235"/>
      <c r="F495" s="232" t="s">
        <v>489</v>
      </c>
      <c r="G495" s="231"/>
      <c r="H495" s="242"/>
      <c r="I495" s="171" t="s">
        <v>10</v>
      </c>
    </row>
    <row r="496" spans="2:9" ht="25.5" customHeight="1" x14ac:dyDescent="0.25">
      <c r="B496" s="120" t="s">
        <v>180</v>
      </c>
      <c r="C496" s="234"/>
      <c r="D496" s="234"/>
      <c r="E496" s="235"/>
      <c r="F496" s="232" t="s">
        <v>490</v>
      </c>
      <c r="G496" s="231"/>
      <c r="H496" s="242"/>
      <c r="I496" s="58" t="s">
        <v>10</v>
      </c>
    </row>
    <row r="497" spans="2:9" ht="15.75" customHeight="1" x14ac:dyDescent="0.25">
      <c r="B497" s="120" t="s">
        <v>491</v>
      </c>
      <c r="C497" s="234"/>
      <c r="D497" s="234"/>
      <c r="E497" s="235"/>
      <c r="F497" s="232" t="s">
        <v>492</v>
      </c>
      <c r="G497" s="231"/>
      <c r="H497" s="242"/>
      <c r="I497" s="58" t="s">
        <v>10</v>
      </c>
    </row>
    <row r="498" spans="2:9" ht="15.75" customHeight="1" x14ac:dyDescent="0.25">
      <c r="B498" s="89" t="s">
        <v>315</v>
      </c>
      <c r="C498" s="234"/>
      <c r="D498" s="234"/>
      <c r="E498" s="235"/>
      <c r="F498" s="232" t="s">
        <v>493</v>
      </c>
      <c r="G498" s="231"/>
      <c r="H498" s="242"/>
      <c r="I498" s="171" t="s">
        <v>10</v>
      </c>
    </row>
    <row r="499" spans="2:9" ht="15.75" customHeight="1" x14ac:dyDescent="0.25">
      <c r="B499" s="120" t="s">
        <v>317</v>
      </c>
      <c r="C499" s="234"/>
      <c r="D499" s="234"/>
      <c r="E499" s="235"/>
      <c r="F499" s="232" t="s">
        <v>493</v>
      </c>
      <c r="G499" s="231"/>
      <c r="H499" s="242"/>
      <c r="I499" s="58" t="s">
        <v>10</v>
      </c>
    </row>
    <row r="500" spans="2:9" ht="25.5" customHeight="1" x14ac:dyDescent="0.25">
      <c r="B500" s="90" t="s">
        <v>238</v>
      </c>
      <c r="C500" s="234"/>
      <c r="D500" s="234"/>
      <c r="E500" s="235"/>
      <c r="F500" s="232" t="s">
        <v>494</v>
      </c>
      <c r="G500" s="231"/>
      <c r="H500" s="242"/>
      <c r="I500" s="171" t="s">
        <v>10</v>
      </c>
    </row>
    <row r="501" spans="2:9" ht="25.5" customHeight="1" x14ac:dyDescent="0.25">
      <c r="B501" s="89" t="s">
        <v>95</v>
      </c>
      <c r="C501" s="234"/>
      <c r="D501" s="234"/>
      <c r="E501" s="235"/>
      <c r="F501" s="232" t="s">
        <v>489</v>
      </c>
      <c r="G501" s="231"/>
      <c r="H501" s="242"/>
      <c r="I501" s="171" t="s">
        <v>10</v>
      </c>
    </row>
    <row r="502" spans="2:9" ht="25.5" customHeight="1" x14ac:dyDescent="0.25">
      <c r="B502" s="120" t="s">
        <v>180</v>
      </c>
      <c r="C502" s="234"/>
      <c r="D502" s="234"/>
      <c r="E502" s="235"/>
      <c r="F502" s="232" t="s">
        <v>490</v>
      </c>
      <c r="G502" s="231"/>
      <c r="H502" s="242"/>
      <c r="I502" s="58" t="s">
        <v>10</v>
      </c>
    </row>
    <row r="503" spans="2:9" ht="15.75" customHeight="1" x14ac:dyDescent="0.25">
      <c r="B503" s="106" t="s">
        <v>82</v>
      </c>
      <c r="C503" s="234"/>
      <c r="D503" s="234"/>
      <c r="E503" s="235"/>
      <c r="F503" s="232" t="s">
        <v>495</v>
      </c>
      <c r="G503" s="231"/>
      <c r="H503" s="242"/>
      <c r="I503" s="59" t="s">
        <v>10</v>
      </c>
    </row>
    <row r="504" spans="2:9" ht="15.75" customHeight="1" x14ac:dyDescent="0.25">
      <c r="B504" s="106" t="s">
        <v>52</v>
      </c>
      <c r="C504" s="234"/>
      <c r="D504" s="234"/>
      <c r="E504" s="235"/>
      <c r="F504" s="232" t="s">
        <v>496</v>
      </c>
      <c r="G504" s="231"/>
      <c r="H504" s="242"/>
      <c r="I504" s="59" t="s">
        <v>10</v>
      </c>
    </row>
    <row r="505" spans="2:9" ht="15.75" customHeight="1" x14ac:dyDescent="0.25">
      <c r="B505" s="76" t="s">
        <v>85</v>
      </c>
      <c r="C505" s="234"/>
      <c r="D505" s="234"/>
      <c r="E505" s="235"/>
      <c r="F505" s="232" t="s">
        <v>497</v>
      </c>
      <c r="G505" s="231"/>
      <c r="H505" s="242"/>
      <c r="I505" s="59" t="s">
        <v>10</v>
      </c>
    </row>
    <row r="506" spans="2:9" ht="15.75" customHeight="1" x14ac:dyDescent="0.25">
      <c r="B506" s="120" t="s">
        <v>498</v>
      </c>
      <c r="C506" s="234"/>
      <c r="D506" s="234"/>
      <c r="E506" s="235"/>
      <c r="F506" s="232" t="s">
        <v>492</v>
      </c>
      <c r="G506" s="231"/>
      <c r="H506" s="242"/>
      <c r="I506" s="58" t="s">
        <v>10</v>
      </c>
    </row>
    <row r="507" spans="2:9" ht="15.75" customHeight="1" x14ac:dyDescent="0.25">
      <c r="B507" s="89" t="s">
        <v>315</v>
      </c>
      <c r="C507" s="234"/>
      <c r="D507" s="234"/>
      <c r="E507" s="235"/>
      <c r="F507" s="232" t="s">
        <v>499</v>
      </c>
      <c r="G507" s="231"/>
      <c r="H507" s="242"/>
      <c r="I507" s="171" t="s">
        <v>10</v>
      </c>
    </row>
    <row r="508" spans="2:9" ht="15.75" customHeight="1" x14ac:dyDescent="0.25">
      <c r="B508" s="120" t="s">
        <v>317</v>
      </c>
      <c r="C508" s="234"/>
      <c r="D508" s="234"/>
      <c r="E508" s="235"/>
      <c r="F508" s="232" t="s">
        <v>499</v>
      </c>
      <c r="G508" s="231"/>
      <c r="H508" s="242"/>
      <c r="I508" s="58" t="s">
        <v>10</v>
      </c>
    </row>
    <row r="509" spans="2:9" ht="15.75" customHeight="1" x14ac:dyDescent="0.25">
      <c r="B509" s="90" t="s">
        <v>241</v>
      </c>
      <c r="C509" s="234"/>
      <c r="D509" s="234"/>
      <c r="E509" s="235"/>
      <c r="F509" s="232">
        <v>0</v>
      </c>
      <c r="G509" s="231"/>
      <c r="H509" s="242"/>
      <c r="I509" s="171" t="s">
        <v>10</v>
      </c>
    </row>
    <row r="510" spans="2:9" ht="15.75" customHeight="1" x14ac:dyDescent="0.25">
      <c r="B510" s="89" t="s">
        <v>315</v>
      </c>
      <c r="C510" s="234"/>
      <c r="D510" s="234"/>
      <c r="E510" s="235"/>
      <c r="F510" s="232" t="s">
        <v>500</v>
      </c>
      <c r="G510" s="231"/>
      <c r="H510" s="242"/>
      <c r="I510" s="171" t="s">
        <v>10</v>
      </c>
    </row>
    <row r="511" spans="2:9" ht="15.75" customHeight="1" x14ac:dyDescent="0.25">
      <c r="B511" s="120" t="s">
        <v>317</v>
      </c>
      <c r="C511" s="234"/>
      <c r="D511" s="234"/>
      <c r="E511" s="235"/>
      <c r="F511" s="232" t="s">
        <v>500</v>
      </c>
      <c r="G511" s="231"/>
      <c r="H511" s="242"/>
      <c r="I511" s="58" t="s">
        <v>10</v>
      </c>
    </row>
    <row r="512" spans="2:9" ht="76.5" customHeight="1" x14ac:dyDescent="0.25">
      <c r="B512" s="95" t="s">
        <v>501</v>
      </c>
      <c r="C512" s="234"/>
      <c r="D512" s="234"/>
      <c r="E512" s="235"/>
      <c r="F512" s="232" t="s">
        <v>502</v>
      </c>
      <c r="G512" s="231"/>
      <c r="H512" s="242"/>
      <c r="I512" s="100"/>
    </row>
    <row r="513" spans="2:9" ht="15.75" customHeight="1" x14ac:dyDescent="0.25">
      <c r="B513" s="95"/>
      <c r="C513" s="234"/>
      <c r="D513" s="234"/>
      <c r="E513" s="235">
        <v>97</v>
      </c>
      <c r="F513" s="232"/>
      <c r="G513" s="231"/>
      <c r="H513" s="242"/>
      <c r="I513" s="171"/>
    </row>
    <row r="514" spans="2:9" ht="15.75" customHeight="1" x14ac:dyDescent="0.25">
      <c r="B514" s="88" t="s">
        <v>503</v>
      </c>
      <c r="C514" s="234"/>
      <c r="D514" s="234"/>
      <c r="E514" s="235">
        <v>98</v>
      </c>
      <c r="F514" s="232"/>
      <c r="G514" s="231"/>
      <c r="H514" s="242"/>
      <c r="I514" s="171"/>
    </row>
    <row r="515" spans="2:9" ht="191.25" customHeight="1" x14ac:dyDescent="0.25">
      <c r="B515" s="88" t="s">
        <v>504</v>
      </c>
      <c r="C515" s="234"/>
      <c r="D515" s="234"/>
      <c r="E515" s="235"/>
      <c r="F515" s="232" t="s">
        <v>505</v>
      </c>
      <c r="G515" s="231"/>
      <c r="H515" s="242"/>
      <c r="I515" s="171" t="s">
        <v>10</v>
      </c>
    </row>
    <row r="516" spans="2:9" ht="76.5" customHeight="1" x14ac:dyDescent="0.25">
      <c r="B516" s="89" t="s">
        <v>95</v>
      </c>
      <c r="C516" s="234"/>
      <c r="D516" s="234"/>
      <c r="E516" s="235"/>
      <c r="F516" s="232" t="s">
        <v>506</v>
      </c>
      <c r="G516" s="231"/>
      <c r="H516" s="242"/>
      <c r="I516" s="171" t="s">
        <v>10</v>
      </c>
    </row>
    <row r="517" spans="2:9" ht="15.75" customHeight="1" x14ac:dyDescent="0.25">
      <c r="B517" s="120" t="s">
        <v>26</v>
      </c>
      <c r="C517" s="234"/>
      <c r="D517" s="234"/>
      <c r="E517" s="235"/>
      <c r="F517" s="232" t="s">
        <v>507</v>
      </c>
      <c r="G517" s="231"/>
      <c r="H517" s="242"/>
      <c r="I517" s="58" t="s">
        <v>10</v>
      </c>
    </row>
    <row r="518" spans="2:9" ht="38.25" customHeight="1" x14ac:dyDescent="0.25">
      <c r="B518" s="120" t="s">
        <v>28</v>
      </c>
      <c r="C518" s="234"/>
      <c r="D518" s="234"/>
      <c r="E518" s="235"/>
      <c r="F518" s="232" t="s">
        <v>508</v>
      </c>
      <c r="G518" s="231"/>
      <c r="H518" s="242"/>
      <c r="I518" s="58" t="s">
        <v>10</v>
      </c>
    </row>
    <row r="519" spans="2:9" ht="15.75" customHeight="1" x14ac:dyDescent="0.25">
      <c r="B519" s="120" t="s">
        <v>437</v>
      </c>
      <c r="C519" s="234"/>
      <c r="D519" s="234"/>
      <c r="E519" s="235"/>
      <c r="F519" s="232" t="s">
        <v>509</v>
      </c>
      <c r="G519" s="231"/>
      <c r="H519" s="242"/>
      <c r="I519" s="58" t="s">
        <v>10</v>
      </c>
    </row>
    <row r="520" spans="2:9" ht="25.5" customHeight="1" x14ac:dyDescent="0.25">
      <c r="B520" s="120" t="s">
        <v>233</v>
      </c>
      <c r="C520" s="234"/>
      <c r="D520" s="234"/>
      <c r="E520" s="235"/>
      <c r="F520" s="232" t="s">
        <v>510</v>
      </c>
      <c r="G520" s="231"/>
      <c r="H520" s="242"/>
      <c r="I520" s="58" t="s">
        <v>10</v>
      </c>
    </row>
    <row r="521" spans="2:9" ht="15.75" customHeight="1" x14ac:dyDescent="0.25">
      <c r="B521" s="120" t="s">
        <v>235</v>
      </c>
      <c r="C521" s="234"/>
      <c r="D521" s="234"/>
      <c r="E521" s="235"/>
      <c r="F521" s="232" t="s">
        <v>511</v>
      </c>
      <c r="G521" s="231"/>
      <c r="H521" s="242"/>
      <c r="I521" s="58" t="s">
        <v>10</v>
      </c>
    </row>
    <row r="522" spans="2:9" ht="38.25" customHeight="1" x14ac:dyDescent="0.25">
      <c r="B522" s="89" t="s">
        <v>127</v>
      </c>
      <c r="C522" s="234"/>
      <c r="D522" s="234"/>
      <c r="E522" s="235"/>
      <c r="F522" s="232" t="s">
        <v>512</v>
      </c>
      <c r="G522" s="231"/>
      <c r="H522" s="242"/>
      <c r="I522" s="171" t="s">
        <v>108</v>
      </c>
    </row>
    <row r="523" spans="2:9" ht="15.75" customHeight="1" x14ac:dyDescent="0.25">
      <c r="B523" s="89" t="s">
        <v>41</v>
      </c>
      <c r="C523" s="234"/>
      <c r="D523" s="234"/>
      <c r="E523" s="235"/>
      <c r="F523" s="232" t="s">
        <v>513</v>
      </c>
      <c r="G523" s="231"/>
      <c r="H523" s="242"/>
      <c r="I523" s="171" t="s">
        <v>10</v>
      </c>
    </row>
    <row r="524" spans="2:9" ht="15.75" customHeight="1" x14ac:dyDescent="0.25">
      <c r="B524" s="120" t="s">
        <v>514</v>
      </c>
      <c r="C524" s="234"/>
      <c r="D524" s="234"/>
      <c r="E524" s="235"/>
      <c r="F524" s="232" t="s">
        <v>515</v>
      </c>
      <c r="G524" s="231"/>
      <c r="H524" s="242"/>
      <c r="I524" s="58" t="s">
        <v>10</v>
      </c>
    </row>
    <row r="525" spans="2:9" ht="25.5" customHeight="1" x14ac:dyDescent="0.25">
      <c r="B525" s="89" t="s">
        <v>102</v>
      </c>
      <c r="C525" s="234"/>
      <c r="D525" s="234"/>
      <c r="E525" s="235"/>
      <c r="F525" s="232" t="s">
        <v>516</v>
      </c>
      <c r="G525" s="231"/>
      <c r="H525" s="242"/>
      <c r="I525" s="171" t="s">
        <v>10</v>
      </c>
    </row>
    <row r="526" spans="2:9" ht="15.75" customHeight="1" x14ac:dyDescent="0.25">
      <c r="B526" s="89" t="s">
        <v>104</v>
      </c>
      <c r="C526" s="234"/>
      <c r="D526" s="234"/>
      <c r="E526" s="235"/>
      <c r="F526" s="232" t="s">
        <v>517</v>
      </c>
      <c r="G526" s="231"/>
      <c r="H526" s="242"/>
      <c r="I526" s="171" t="s">
        <v>108</v>
      </c>
    </row>
    <row r="527" spans="2:9" ht="15.75" customHeight="1" x14ac:dyDescent="0.25">
      <c r="B527" s="89" t="s">
        <v>106</v>
      </c>
      <c r="C527" s="234"/>
      <c r="D527" s="234"/>
      <c r="E527" s="235"/>
      <c r="F527" s="232" t="s">
        <v>518</v>
      </c>
      <c r="G527" s="231"/>
      <c r="H527" s="242"/>
      <c r="I527" s="171" t="s">
        <v>108</v>
      </c>
    </row>
    <row r="528" spans="2:9" ht="38.25" customHeight="1" x14ac:dyDescent="0.25">
      <c r="B528" s="89" t="s">
        <v>109</v>
      </c>
      <c r="C528" s="234"/>
      <c r="D528" s="234"/>
      <c r="E528" s="235"/>
      <c r="F528" s="232" t="s">
        <v>519</v>
      </c>
      <c r="G528" s="231"/>
      <c r="H528" s="242"/>
      <c r="I528" s="171" t="s">
        <v>108</v>
      </c>
    </row>
    <row r="529" spans="2:9" ht="15.75" customHeight="1" x14ac:dyDescent="0.25">
      <c r="B529" s="89" t="s">
        <v>111</v>
      </c>
      <c r="C529" s="234"/>
      <c r="D529" s="234"/>
      <c r="E529" s="235"/>
      <c r="F529" s="232" t="s">
        <v>520</v>
      </c>
      <c r="G529" s="231"/>
      <c r="H529" s="242"/>
      <c r="I529" s="171" t="s">
        <v>108</v>
      </c>
    </row>
    <row r="530" spans="2:9" ht="15.75" customHeight="1" x14ac:dyDescent="0.25">
      <c r="B530" s="89" t="s">
        <v>35</v>
      </c>
      <c r="C530" s="234"/>
      <c r="D530" s="234"/>
      <c r="E530" s="235"/>
      <c r="F530" s="232" t="s">
        <v>521</v>
      </c>
      <c r="G530" s="231"/>
      <c r="H530" s="242"/>
      <c r="I530" s="171" t="s">
        <v>108</v>
      </c>
    </row>
    <row r="531" spans="2:9" ht="15.75" customHeight="1" x14ac:dyDescent="0.25">
      <c r="B531" s="120" t="s">
        <v>36</v>
      </c>
      <c r="C531" s="234"/>
      <c r="D531" s="234"/>
      <c r="E531" s="235"/>
      <c r="F531" s="232" t="s">
        <v>521</v>
      </c>
      <c r="G531" s="231"/>
      <c r="H531" s="242"/>
      <c r="I531" s="58" t="s">
        <v>108</v>
      </c>
    </row>
    <row r="532" spans="2:9" ht="15.75" customHeight="1" x14ac:dyDescent="0.25">
      <c r="B532" s="89" t="s">
        <v>522</v>
      </c>
      <c r="C532" s="234"/>
      <c r="D532" s="234"/>
      <c r="E532" s="235"/>
      <c r="F532" s="232">
        <v>0</v>
      </c>
      <c r="G532" s="231"/>
      <c r="H532" s="242"/>
      <c r="I532" s="171" t="s">
        <v>108</v>
      </c>
    </row>
    <row r="533" spans="2:9" ht="15.75" customHeight="1" x14ac:dyDescent="0.25">
      <c r="B533" s="89" t="s">
        <v>523</v>
      </c>
      <c r="C533" s="234"/>
      <c r="D533" s="234"/>
      <c r="E533" s="235"/>
      <c r="F533" s="232">
        <v>0</v>
      </c>
      <c r="G533" s="231"/>
      <c r="H533" s="242"/>
      <c r="I533" s="171" t="s">
        <v>108</v>
      </c>
    </row>
    <row r="534" spans="2:9" ht="89.25" customHeight="1" x14ac:dyDescent="0.25">
      <c r="B534" s="90" t="s">
        <v>524</v>
      </c>
      <c r="C534" s="234"/>
      <c r="D534" s="234"/>
      <c r="E534" s="235"/>
      <c r="F534" s="232" t="s">
        <v>525</v>
      </c>
      <c r="G534" s="231"/>
      <c r="H534" s="242"/>
      <c r="I534" s="171" t="s">
        <v>10</v>
      </c>
    </row>
    <row r="535" spans="2:9" ht="51" customHeight="1" x14ac:dyDescent="0.25">
      <c r="B535" s="89" t="s">
        <v>95</v>
      </c>
      <c r="C535" s="234"/>
      <c r="D535" s="234"/>
      <c r="E535" s="235"/>
      <c r="F535" s="232" t="s">
        <v>526</v>
      </c>
      <c r="G535" s="231"/>
      <c r="H535" s="242"/>
      <c r="I535" s="171" t="s">
        <v>10</v>
      </c>
    </row>
    <row r="536" spans="2:9" ht="15.75" customHeight="1" x14ac:dyDescent="0.25">
      <c r="B536" s="120" t="s">
        <v>26</v>
      </c>
      <c r="C536" s="234"/>
      <c r="D536" s="234"/>
      <c r="E536" s="235"/>
      <c r="F536" s="232" t="s">
        <v>507</v>
      </c>
      <c r="G536" s="231"/>
      <c r="H536" s="242"/>
      <c r="I536" s="58" t="s">
        <v>10</v>
      </c>
    </row>
    <row r="537" spans="2:9" ht="25.5" customHeight="1" x14ac:dyDescent="0.25">
      <c r="B537" s="120" t="s">
        <v>28</v>
      </c>
      <c r="C537" s="234"/>
      <c r="D537" s="234"/>
      <c r="E537" s="235"/>
      <c r="F537" s="232" t="s">
        <v>527</v>
      </c>
      <c r="G537" s="231"/>
      <c r="H537" s="242"/>
      <c r="I537" s="58" t="s">
        <v>10</v>
      </c>
    </row>
    <row r="538" spans="2:9" ht="15.75" customHeight="1" x14ac:dyDescent="0.25">
      <c r="B538" s="106" t="s">
        <v>82</v>
      </c>
      <c r="C538" s="234"/>
      <c r="D538" s="234"/>
      <c r="E538" s="235"/>
      <c r="F538" s="232" t="s">
        <v>528</v>
      </c>
      <c r="G538" s="231"/>
      <c r="H538" s="242"/>
      <c r="I538" s="59" t="s">
        <v>10</v>
      </c>
    </row>
    <row r="539" spans="2:9" ht="15.75" customHeight="1" x14ac:dyDescent="0.25">
      <c r="B539" s="106" t="s">
        <v>52</v>
      </c>
      <c r="C539" s="234"/>
      <c r="D539" s="234"/>
      <c r="E539" s="235"/>
      <c r="F539" s="232" t="s">
        <v>529</v>
      </c>
      <c r="G539" s="231"/>
      <c r="H539" s="242"/>
      <c r="I539" s="59" t="s">
        <v>10</v>
      </c>
    </row>
    <row r="540" spans="2:9" ht="15.75" customHeight="1" x14ac:dyDescent="0.25">
      <c r="B540" s="106" t="s">
        <v>85</v>
      </c>
      <c r="C540" s="234"/>
      <c r="D540" s="234"/>
      <c r="E540" s="235"/>
      <c r="F540" s="232" t="s">
        <v>530</v>
      </c>
      <c r="G540" s="231"/>
      <c r="H540" s="242"/>
      <c r="I540" s="59" t="s">
        <v>10</v>
      </c>
    </row>
    <row r="541" spans="2:9" ht="15.75" customHeight="1" x14ac:dyDescent="0.25">
      <c r="B541" s="120" t="s">
        <v>30</v>
      </c>
      <c r="C541" s="234"/>
      <c r="D541" s="234"/>
      <c r="E541" s="235"/>
      <c r="F541" s="232" t="s">
        <v>531</v>
      </c>
      <c r="G541" s="231"/>
      <c r="H541" s="242"/>
      <c r="I541" s="58" t="s">
        <v>10</v>
      </c>
    </row>
    <row r="542" spans="2:9" ht="15.75" customHeight="1" x14ac:dyDescent="0.25">
      <c r="B542" s="106" t="s">
        <v>41</v>
      </c>
      <c r="C542" s="234"/>
      <c r="D542" s="234"/>
      <c r="E542" s="235"/>
      <c r="F542" s="232" t="s">
        <v>531</v>
      </c>
      <c r="G542" s="231"/>
      <c r="H542" s="242"/>
      <c r="I542" s="59" t="s">
        <v>10</v>
      </c>
    </row>
    <row r="543" spans="2:9" ht="25.5" customHeight="1" x14ac:dyDescent="0.25">
      <c r="B543" s="120" t="s">
        <v>233</v>
      </c>
      <c r="C543" s="234"/>
      <c r="D543" s="234"/>
      <c r="E543" s="235"/>
      <c r="F543" s="232" t="s">
        <v>510</v>
      </c>
      <c r="G543" s="231"/>
      <c r="H543" s="242"/>
      <c r="I543" s="58" t="s">
        <v>10</v>
      </c>
    </row>
    <row r="544" spans="2:9" ht="15.75" customHeight="1" x14ac:dyDescent="0.25">
      <c r="B544" s="108" t="s">
        <v>532</v>
      </c>
      <c r="C544" s="234"/>
      <c r="D544" s="234"/>
      <c r="E544" s="235"/>
      <c r="F544" s="232" t="s">
        <v>533</v>
      </c>
      <c r="G544" s="231"/>
      <c r="H544" s="242"/>
      <c r="I544" s="59" t="s">
        <v>108</v>
      </c>
    </row>
    <row r="545" spans="2:9" ht="15.75" customHeight="1" x14ac:dyDescent="0.25">
      <c r="B545" s="108" t="s">
        <v>534</v>
      </c>
      <c r="C545" s="234"/>
      <c r="D545" s="234"/>
      <c r="E545" s="235"/>
      <c r="F545" s="232" t="s">
        <v>535</v>
      </c>
      <c r="G545" s="231"/>
      <c r="H545" s="242"/>
      <c r="I545" s="59" t="s">
        <v>108</v>
      </c>
    </row>
    <row r="546" spans="2:9" ht="15.75" customHeight="1" x14ac:dyDescent="0.25">
      <c r="B546" s="108" t="s">
        <v>536</v>
      </c>
      <c r="C546" s="234"/>
      <c r="D546" s="234"/>
      <c r="E546" s="235"/>
      <c r="F546" s="232" t="s">
        <v>537</v>
      </c>
      <c r="G546" s="231"/>
      <c r="H546" s="242"/>
      <c r="I546" s="59" t="s">
        <v>108</v>
      </c>
    </row>
    <row r="547" spans="2:9" ht="15.75" customHeight="1" x14ac:dyDescent="0.25">
      <c r="B547" s="120" t="s">
        <v>235</v>
      </c>
      <c r="C547" s="234"/>
      <c r="D547" s="234"/>
      <c r="E547" s="235"/>
      <c r="F547" s="232" t="s">
        <v>511</v>
      </c>
      <c r="G547" s="231"/>
      <c r="H547" s="242"/>
      <c r="I547" s="58" t="s">
        <v>10</v>
      </c>
    </row>
    <row r="548" spans="2:9" ht="15.75" customHeight="1" x14ac:dyDescent="0.25">
      <c r="B548" s="89" t="s">
        <v>127</v>
      </c>
      <c r="C548" s="234"/>
      <c r="D548" s="234"/>
      <c r="E548" s="235"/>
      <c r="F548" s="232">
        <v>0</v>
      </c>
      <c r="G548" s="231"/>
      <c r="H548" s="242"/>
      <c r="I548" s="171" t="s">
        <v>108</v>
      </c>
    </row>
    <row r="549" spans="2:9" ht="15.75" customHeight="1" x14ac:dyDescent="0.25">
      <c r="B549" s="106" t="s">
        <v>538</v>
      </c>
      <c r="C549" s="234"/>
      <c r="D549" s="234"/>
      <c r="E549" s="235"/>
      <c r="F549" s="232">
        <v>0</v>
      </c>
      <c r="G549" s="231"/>
      <c r="H549" s="242"/>
      <c r="I549" s="59" t="s">
        <v>10</v>
      </c>
    </row>
    <row r="550" spans="2:9" ht="15.75" customHeight="1" x14ac:dyDescent="0.25">
      <c r="B550" s="89" t="s">
        <v>104</v>
      </c>
      <c r="C550" s="234"/>
      <c r="D550" s="234"/>
      <c r="E550" s="235"/>
      <c r="F550" s="232" t="s">
        <v>517</v>
      </c>
      <c r="G550" s="231"/>
      <c r="H550" s="242"/>
      <c r="I550" s="171" t="s">
        <v>108</v>
      </c>
    </row>
    <row r="551" spans="2:9" ht="15.75" customHeight="1" x14ac:dyDescent="0.25">
      <c r="B551" s="106" t="s">
        <v>133</v>
      </c>
      <c r="C551" s="234"/>
      <c r="D551" s="234"/>
      <c r="E551" s="235"/>
      <c r="F551" s="232" t="s">
        <v>539</v>
      </c>
      <c r="G551" s="231"/>
      <c r="H551" s="242"/>
      <c r="I551" s="59" t="s">
        <v>10</v>
      </c>
    </row>
    <row r="552" spans="2:9" ht="15.75" customHeight="1" x14ac:dyDescent="0.25">
      <c r="B552" s="106" t="s">
        <v>135</v>
      </c>
      <c r="C552" s="234"/>
      <c r="D552" s="234"/>
      <c r="E552" s="235"/>
      <c r="F552" s="232">
        <v>0</v>
      </c>
      <c r="G552" s="231"/>
      <c r="H552" s="242"/>
      <c r="I552" s="59" t="s">
        <v>10</v>
      </c>
    </row>
    <row r="553" spans="2:9" ht="15.75" customHeight="1" x14ac:dyDescent="0.25">
      <c r="B553" s="89" t="s">
        <v>106</v>
      </c>
      <c r="C553" s="234"/>
      <c r="D553" s="234"/>
      <c r="E553" s="235"/>
      <c r="F553" s="232" t="s">
        <v>518</v>
      </c>
      <c r="G553" s="231"/>
      <c r="H553" s="242"/>
      <c r="I553" s="171" t="s">
        <v>108</v>
      </c>
    </row>
    <row r="554" spans="2:9" ht="15.75" customHeight="1" x14ac:dyDescent="0.25">
      <c r="B554" s="106" t="s">
        <v>540</v>
      </c>
      <c r="C554" s="234"/>
      <c r="D554" s="234"/>
      <c r="E554" s="235"/>
      <c r="F554" s="232" t="s">
        <v>518</v>
      </c>
      <c r="G554" s="231"/>
      <c r="H554" s="242"/>
      <c r="I554" s="59" t="s">
        <v>10</v>
      </c>
    </row>
    <row r="555" spans="2:9" ht="15.75" customHeight="1" x14ac:dyDescent="0.25">
      <c r="B555" s="89" t="s">
        <v>109</v>
      </c>
      <c r="C555" s="234"/>
      <c r="D555" s="234"/>
      <c r="E555" s="235"/>
      <c r="F555" s="232" t="s">
        <v>541</v>
      </c>
      <c r="G555" s="231"/>
      <c r="H555" s="242"/>
      <c r="I555" s="171" t="s">
        <v>108</v>
      </c>
    </row>
    <row r="556" spans="2:9" ht="15.75" customHeight="1" x14ac:dyDescent="0.25">
      <c r="B556" s="106" t="s">
        <v>542</v>
      </c>
      <c r="C556" s="234"/>
      <c r="D556" s="234"/>
      <c r="E556" s="235"/>
      <c r="F556" s="232" t="s">
        <v>543</v>
      </c>
      <c r="G556" s="231"/>
      <c r="H556" s="242"/>
      <c r="I556" s="59" t="s">
        <v>10</v>
      </c>
    </row>
    <row r="557" spans="2:9" ht="15.75" customHeight="1" x14ac:dyDescent="0.25">
      <c r="B557" s="106" t="s">
        <v>544</v>
      </c>
      <c r="C557" s="234"/>
      <c r="D557" s="234"/>
      <c r="E557" s="235"/>
      <c r="F557" s="232" t="s">
        <v>545</v>
      </c>
      <c r="G557" s="231"/>
      <c r="H557" s="242"/>
      <c r="I557" s="59" t="s">
        <v>10</v>
      </c>
    </row>
    <row r="558" spans="2:9" ht="15.75" customHeight="1" x14ac:dyDescent="0.25">
      <c r="B558" s="106" t="s">
        <v>546</v>
      </c>
      <c r="C558" s="234"/>
      <c r="D558" s="234"/>
      <c r="E558" s="235"/>
      <c r="F558" s="232" t="s">
        <v>547</v>
      </c>
      <c r="G558" s="231"/>
      <c r="H558" s="242"/>
      <c r="I558" s="59" t="s">
        <v>10</v>
      </c>
    </row>
    <row r="559" spans="2:9" ht="15.75" customHeight="1" x14ac:dyDescent="0.25">
      <c r="B559" s="89" t="s">
        <v>35</v>
      </c>
      <c r="C559" s="234"/>
      <c r="D559" s="234"/>
      <c r="E559" s="235"/>
      <c r="F559" s="232" t="s">
        <v>521</v>
      </c>
      <c r="G559" s="231"/>
      <c r="H559" s="242"/>
      <c r="I559" s="171" t="s">
        <v>108</v>
      </c>
    </row>
    <row r="560" spans="2:9" ht="15.75" customHeight="1" x14ac:dyDescent="0.25">
      <c r="B560" s="120" t="s">
        <v>36</v>
      </c>
      <c r="C560" s="234"/>
      <c r="D560" s="234"/>
      <c r="E560" s="235"/>
      <c r="F560" s="232" t="s">
        <v>521</v>
      </c>
      <c r="G560" s="231"/>
      <c r="H560" s="242"/>
      <c r="I560" s="58" t="s">
        <v>108</v>
      </c>
    </row>
    <row r="561" spans="2:9" ht="15.75" customHeight="1" x14ac:dyDescent="0.25">
      <c r="B561" s="89" t="s">
        <v>522</v>
      </c>
      <c r="C561" s="234"/>
      <c r="D561" s="234"/>
      <c r="E561" s="235"/>
      <c r="F561" s="232">
        <v>0</v>
      </c>
      <c r="G561" s="231"/>
      <c r="H561" s="242"/>
      <c r="I561" s="171" t="s">
        <v>10</v>
      </c>
    </row>
    <row r="562" spans="2:9" ht="15.75" customHeight="1" x14ac:dyDescent="0.25">
      <c r="B562" s="89" t="s">
        <v>523</v>
      </c>
      <c r="C562" s="234"/>
      <c r="D562" s="234"/>
      <c r="E562" s="235"/>
      <c r="F562" s="232">
        <v>0</v>
      </c>
      <c r="G562" s="231"/>
      <c r="H562" s="242"/>
      <c r="I562" s="171" t="s">
        <v>108</v>
      </c>
    </row>
    <row r="563" spans="2:9" ht="102" customHeight="1" x14ac:dyDescent="0.25">
      <c r="B563" s="90" t="s">
        <v>548</v>
      </c>
      <c r="C563" s="234"/>
      <c r="D563" s="234"/>
      <c r="E563" s="235"/>
      <c r="F563" s="232" t="s">
        <v>549</v>
      </c>
      <c r="G563" s="231"/>
      <c r="H563" s="242"/>
      <c r="I563" s="171" t="s">
        <v>10</v>
      </c>
    </row>
    <row r="564" spans="2:9" ht="15.75" customHeight="1" x14ac:dyDescent="0.25">
      <c r="B564" s="89" t="s">
        <v>48</v>
      </c>
      <c r="C564" s="234"/>
      <c r="D564" s="234"/>
      <c r="E564" s="235">
        <v>99</v>
      </c>
      <c r="F564" s="232"/>
      <c r="G564" s="231"/>
      <c r="H564" s="242"/>
      <c r="I564" s="171" t="s">
        <v>10</v>
      </c>
    </row>
    <row r="565" spans="2:9" ht="15.75" customHeight="1" x14ac:dyDescent="0.25">
      <c r="B565" s="120" t="s">
        <v>26</v>
      </c>
      <c r="C565" s="234"/>
      <c r="D565" s="234"/>
      <c r="E565" s="235">
        <v>100</v>
      </c>
      <c r="F565" s="232"/>
      <c r="G565" s="231"/>
      <c r="H565" s="242"/>
      <c r="I565" s="58" t="s">
        <v>10</v>
      </c>
    </row>
    <row r="566" spans="2:9" ht="25.5" customHeight="1" x14ac:dyDescent="0.25">
      <c r="B566" s="89" t="s">
        <v>95</v>
      </c>
      <c r="C566" s="234"/>
      <c r="D566" s="234"/>
      <c r="E566" s="235"/>
      <c r="F566" s="232" t="s">
        <v>550</v>
      </c>
      <c r="G566" s="231"/>
      <c r="H566" s="242"/>
      <c r="I566" s="171" t="s">
        <v>10</v>
      </c>
    </row>
    <row r="567" spans="2:9" ht="25.5" customHeight="1" x14ac:dyDescent="0.25">
      <c r="B567" s="120" t="s">
        <v>180</v>
      </c>
      <c r="C567" s="234"/>
      <c r="D567" s="234"/>
      <c r="E567" s="235"/>
      <c r="F567" s="232" t="s">
        <v>550</v>
      </c>
      <c r="G567" s="231"/>
      <c r="H567" s="242"/>
      <c r="I567" s="58" t="s">
        <v>10</v>
      </c>
    </row>
    <row r="568" spans="2:9" ht="15.75" customHeight="1" x14ac:dyDescent="0.25">
      <c r="B568" s="106" t="s">
        <v>82</v>
      </c>
      <c r="C568" s="234"/>
      <c r="D568" s="234"/>
      <c r="E568" s="235"/>
      <c r="F568" s="232" t="s">
        <v>551</v>
      </c>
      <c r="G568" s="231"/>
      <c r="H568" s="242"/>
      <c r="I568" s="59" t="s">
        <v>10</v>
      </c>
    </row>
    <row r="569" spans="2:9" ht="15.75" customHeight="1" x14ac:dyDescent="0.25">
      <c r="B569" s="106" t="s">
        <v>479</v>
      </c>
      <c r="C569" s="234"/>
      <c r="D569" s="234"/>
      <c r="E569" s="235"/>
      <c r="F569" s="232">
        <v>0</v>
      </c>
      <c r="G569" s="231"/>
      <c r="H569" s="242"/>
      <c r="I569" s="59" t="s">
        <v>10</v>
      </c>
    </row>
    <row r="570" spans="2:9" ht="15.75" customHeight="1" x14ac:dyDescent="0.25">
      <c r="B570" s="106" t="s">
        <v>481</v>
      </c>
      <c r="C570" s="234"/>
      <c r="D570" s="234"/>
      <c r="E570" s="235"/>
      <c r="F570" s="232" t="s">
        <v>552</v>
      </c>
      <c r="G570" s="231"/>
      <c r="H570" s="242"/>
      <c r="I570" s="59" t="s">
        <v>10</v>
      </c>
    </row>
    <row r="571" spans="2:9" ht="15.75" customHeight="1" x14ac:dyDescent="0.25">
      <c r="B571" s="106" t="s">
        <v>52</v>
      </c>
      <c r="C571" s="234"/>
      <c r="D571" s="234"/>
      <c r="E571" s="235"/>
      <c r="F571" s="232" t="s">
        <v>553</v>
      </c>
      <c r="G571" s="231"/>
      <c r="H571" s="242"/>
      <c r="I571" s="59" t="s">
        <v>10</v>
      </c>
    </row>
    <row r="572" spans="2:9" ht="15.75" customHeight="1" x14ac:dyDescent="0.25">
      <c r="B572" s="106" t="s">
        <v>85</v>
      </c>
      <c r="C572" s="234"/>
      <c r="D572" s="234"/>
      <c r="E572" s="235"/>
      <c r="F572" s="232" t="s">
        <v>554</v>
      </c>
      <c r="G572" s="231"/>
      <c r="H572" s="242"/>
      <c r="I572" s="59" t="s">
        <v>10</v>
      </c>
    </row>
    <row r="573" spans="2:9" ht="25.5" customHeight="1" x14ac:dyDescent="0.25">
      <c r="B573" s="89" t="s">
        <v>127</v>
      </c>
      <c r="C573" s="234"/>
      <c r="D573" s="234"/>
      <c r="E573" s="235"/>
      <c r="F573" s="232" t="s">
        <v>555</v>
      </c>
      <c r="G573" s="231"/>
      <c r="H573" s="242"/>
      <c r="I573" s="171" t="s">
        <v>108</v>
      </c>
    </row>
    <row r="574" spans="2:9" ht="15.75" customHeight="1" x14ac:dyDescent="0.25">
      <c r="B574" s="75" t="s">
        <v>556</v>
      </c>
      <c r="C574" s="234"/>
      <c r="D574" s="234"/>
      <c r="E574" s="235"/>
      <c r="F574" s="232" t="s">
        <v>557</v>
      </c>
      <c r="G574" s="231"/>
      <c r="H574" s="242"/>
      <c r="I574" s="58" t="s">
        <v>10</v>
      </c>
    </row>
    <row r="575" spans="2:9" ht="25.5" customHeight="1" x14ac:dyDescent="0.25">
      <c r="B575" s="109" t="s">
        <v>558</v>
      </c>
      <c r="C575" s="234"/>
      <c r="D575" s="234"/>
      <c r="E575" s="235"/>
      <c r="F575" s="232" t="s">
        <v>559</v>
      </c>
      <c r="G575" s="231"/>
      <c r="H575" s="242"/>
      <c r="I575" s="59" t="s">
        <v>10</v>
      </c>
    </row>
    <row r="576" spans="2:9" ht="15.75" customHeight="1" x14ac:dyDescent="0.25">
      <c r="B576" s="89" t="s">
        <v>41</v>
      </c>
      <c r="C576" s="234"/>
      <c r="D576" s="234"/>
      <c r="E576" s="235"/>
      <c r="F576" s="232" t="s">
        <v>513</v>
      </c>
      <c r="G576" s="231"/>
      <c r="H576" s="242"/>
      <c r="I576" s="171" t="s">
        <v>10</v>
      </c>
    </row>
    <row r="577" spans="2:9" ht="15.75" customHeight="1" x14ac:dyDescent="0.25">
      <c r="B577" s="106" t="s">
        <v>514</v>
      </c>
      <c r="C577" s="234"/>
      <c r="D577" s="234"/>
      <c r="E577" s="235"/>
      <c r="F577" s="232" t="s">
        <v>515</v>
      </c>
      <c r="G577" s="231"/>
      <c r="H577" s="242"/>
      <c r="I577" s="59" t="s">
        <v>10</v>
      </c>
    </row>
    <row r="578" spans="2:9" ht="15.75" customHeight="1" x14ac:dyDescent="0.25">
      <c r="B578" s="106" t="s">
        <v>560</v>
      </c>
      <c r="C578" s="234"/>
      <c r="D578" s="234"/>
      <c r="E578" s="235"/>
      <c r="F578" s="232" t="s">
        <v>561</v>
      </c>
      <c r="G578" s="231"/>
      <c r="H578" s="242"/>
      <c r="I578" s="59" t="s">
        <v>10</v>
      </c>
    </row>
    <row r="579" spans="2:9" ht="25.5" customHeight="1" x14ac:dyDescent="0.25">
      <c r="B579" s="89" t="s">
        <v>102</v>
      </c>
      <c r="C579" s="234"/>
      <c r="D579" s="234"/>
      <c r="E579" s="235"/>
      <c r="F579" s="232" t="s">
        <v>516</v>
      </c>
      <c r="G579" s="231"/>
      <c r="H579" s="242"/>
      <c r="I579" s="171" t="s">
        <v>10</v>
      </c>
    </row>
    <row r="580" spans="2:9" ht="15.75" customHeight="1" x14ac:dyDescent="0.25">
      <c r="B580" s="110" t="s">
        <v>562</v>
      </c>
      <c r="C580" s="234"/>
      <c r="D580" s="234"/>
      <c r="E580" s="235"/>
      <c r="F580" s="232" t="s">
        <v>563</v>
      </c>
      <c r="G580" s="231"/>
      <c r="H580" s="242"/>
      <c r="I580" s="59" t="s">
        <v>10</v>
      </c>
    </row>
    <row r="581" spans="2:9" ht="15.75" customHeight="1" x14ac:dyDescent="0.25">
      <c r="B581" s="106" t="s">
        <v>564</v>
      </c>
      <c r="C581" s="234"/>
      <c r="D581" s="234"/>
      <c r="E581" s="235"/>
      <c r="F581" s="232" t="s">
        <v>183</v>
      </c>
      <c r="G581" s="231"/>
      <c r="H581" s="242"/>
      <c r="I581" s="59" t="s">
        <v>10</v>
      </c>
    </row>
    <row r="582" spans="2:9" ht="15.75" customHeight="1" x14ac:dyDescent="0.25">
      <c r="B582" s="89" t="s">
        <v>56</v>
      </c>
      <c r="C582" s="234"/>
      <c r="D582" s="234"/>
      <c r="E582" s="235"/>
      <c r="F582" s="232" t="s">
        <v>565</v>
      </c>
      <c r="G582" s="231"/>
      <c r="H582" s="242"/>
      <c r="I582" s="171" t="s">
        <v>10</v>
      </c>
    </row>
    <row r="583" spans="2:9" ht="15.75" customHeight="1" x14ac:dyDescent="0.25">
      <c r="B583" s="120" t="s">
        <v>28</v>
      </c>
      <c r="C583" s="234"/>
      <c r="D583" s="234"/>
      <c r="E583" s="235"/>
      <c r="F583" s="232" t="s">
        <v>565</v>
      </c>
      <c r="G583" s="231"/>
      <c r="H583" s="242"/>
      <c r="I583" s="58" t="s">
        <v>10</v>
      </c>
    </row>
    <row r="584" spans="2:9" ht="25.5" customHeight="1" x14ac:dyDescent="0.25">
      <c r="B584" s="89" t="s">
        <v>109</v>
      </c>
      <c r="C584" s="234"/>
      <c r="D584" s="234"/>
      <c r="E584" s="235"/>
      <c r="F584" s="232" t="s">
        <v>566</v>
      </c>
      <c r="G584" s="231"/>
      <c r="H584" s="242"/>
      <c r="I584" s="171" t="s">
        <v>108</v>
      </c>
    </row>
    <row r="585" spans="2:9" ht="15.75" customHeight="1" x14ac:dyDescent="0.25">
      <c r="B585" s="111" t="s">
        <v>151</v>
      </c>
      <c r="C585" s="234"/>
      <c r="D585" s="234"/>
      <c r="E585" s="235"/>
      <c r="F585" s="232" t="s">
        <v>567</v>
      </c>
      <c r="G585" s="231"/>
      <c r="H585" s="242"/>
      <c r="I585" s="59" t="s">
        <v>10</v>
      </c>
    </row>
    <row r="586" spans="2:9" ht="15.75" customHeight="1" x14ac:dyDescent="0.25">
      <c r="B586" s="106" t="s">
        <v>568</v>
      </c>
      <c r="C586" s="234"/>
      <c r="D586" s="234"/>
      <c r="E586" s="235"/>
      <c r="F586" s="232" t="s">
        <v>206</v>
      </c>
      <c r="G586" s="231"/>
      <c r="H586" s="242"/>
      <c r="I586" s="59" t="s">
        <v>10</v>
      </c>
    </row>
    <row r="587" spans="2:9" ht="15.75" customHeight="1" x14ac:dyDescent="0.25">
      <c r="B587" s="106" t="s">
        <v>569</v>
      </c>
      <c r="C587" s="234"/>
      <c r="D587" s="234"/>
      <c r="E587" s="235"/>
      <c r="F587" s="232" t="s">
        <v>570</v>
      </c>
      <c r="G587" s="231"/>
      <c r="H587" s="242"/>
      <c r="I587" s="59" t="s">
        <v>10</v>
      </c>
    </row>
    <row r="588" spans="2:9" ht="15.75" customHeight="1" x14ac:dyDescent="0.25">
      <c r="B588" s="89" t="s">
        <v>111</v>
      </c>
      <c r="C588" s="234"/>
      <c r="D588" s="234"/>
      <c r="E588" s="235"/>
      <c r="F588" s="232" t="s">
        <v>520</v>
      </c>
      <c r="G588" s="231"/>
      <c r="H588" s="242"/>
      <c r="I588" s="171" t="s">
        <v>108</v>
      </c>
    </row>
    <row r="589" spans="2:9" ht="15.75" customHeight="1" x14ac:dyDescent="0.25">
      <c r="B589" s="102" t="s">
        <v>571</v>
      </c>
      <c r="C589" s="234"/>
      <c r="D589" s="234"/>
      <c r="E589" s="235"/>
      <c r="F589" s="232" t="s">
        <v>572</v>
      </c>
      <c r="G589" s="231"/>
      <c r="H589" s="242"/>
      <c r="I589" s="59" t="s">
        <v>10</v>
      </c>
    </row>
    <row r="590" spans="2:9" ht="15.75" customHeight="1" x14ac:dyDescent="0.25">
      <c r="B590" s="102" t="s">
        <v>573</v>
      </c>
      <c r="C590" s="234"/>
      <c r="D590" s="234"/>
      <c r="E590" s="235"/>
      <c r="F590" s="232" t="s">
        <v>574</v>
      </c>
      <c r="G590" s="231"/>
      <c r="H590" s="242"/>
      <c r="I590" s="59" t="s">
        <v>10</v>
      </c>
    </row>
    <row r="591" spans="2:9" ht="15.75" customHeight="1" x14ac:dyDescent="0.25">
      <c r="B591" s="102" t="s">
        <v>152</v>
      </c>
      <c r="C591" s="234"/>
      <c r="D591" s="234"/>
      <c r="E591" s="235"/>
      <c r="F591" s="232" t="s">
        <v>575</v>
      </c>
      <c r="G591" s="231"/>
      <c r="H591" s="242"/>
      <c r="I591" s="59" t="s">
        <v>10</v>
      </c>
    </row>
    <row r="592" spans="2:9" ht="15.75" customHeight="1" x14ac:dyDescent="0.25">
      <c r="B592" s="102" t="s">
        <v>576</v>
      </c>
      <c r="C592" s="234"/>
      <c r="D592" s="234"/>
      <c r="E592" s="235"/>
      <c r="F592" s="232" t="s">
        <v>577</v>
      </c>
      <c r="G592" s="231"/>
      <c r="H592" s="242"/>
      <c r="I592" s="59" t="s">
        <v>10</v>
      </c>
    </row>
    <row r="593" spans="2:9" ht="15.75" customHeight="1" x14ac:dyDescent="0.25">
      <c r="B593" s="89" t="s">
        <v>64</v>
      </c>
      <c r="C593" s="234"/>
      <c r="D593" s="234"/>
      <c r="E593" s="235"/>
      <c r="F593" s="232" t="s">
        <v>578</v>
      </c>
      <c r="G593" s="231"/>
      <c r="H593" s="242"/>
      <c r="I593" s="171" t="s">
        <v>10</v>
      </c>
    </row>
    <row r="594" spans="2:9" ht="15.75" customHeight="1" x14ac:dyDescent="0.25">
      <c r="B594" s="120" t="s">
        <v>30</v>
      </c>
      <c r="C594" s="234"/>
      <c r="D594" s="234"/>
      <c r="E594" s="235"/>
      <c r="F594" s="232" t="s">
        <v>578</v>
      </c>
      <c r="G594" s="231"/>
      <c r="H594" s="242"/>
      <c r="I594" s="58" t="s">
        <v>10</v>
      </c>
    </row>
    <row r="595" spans="2:9" ht="15.75" customHeight="1" x14ac:dyDescent="0.25">
      <c r="B595" s="106" t="s">
        <v>375</v>
      </c>
      <c r="C595" s="234"/>
      <c r="D595" s="234"/>
      <c r="E595" s="235"/>
      <c r="F595" s="232" t="s">
        <v>578</v>
      </c>
      <c r="G595" s="231"/>
      <c r="H595" s="242"/>
      <c r="I595" s="59" t="s">
        <v>10</v>
      </c>
    </row>
    <row r="596" spans="2:9" ht="15.75" customHeight="1" x14ac:dyDescent="0.25">
      <c r="B596" s="106"/>
      <c r="C596" s="234"/>
      <c r="D596" s="234"/>
      <c r="E596" s="235">
        <v>101</v>
      </c>
      <c r="F596" s="232"/>
      <c r="G596" s="231"/>
      <c r="H596" s="242"/>
      <c r="I596" s="171"/>
    </row>
    <row r="597" spans="2:9" ht="15.75" customHeight="1" x14ac:dyDescent="0.25">
      <c r="B597" s="88" t="s">
        <v>579</v>
      </c>
      <c r="C597" s="234"/>
      <c r="D597" s="234"/>
      <c r="E597" s="235">
        <v>102</v>
      </c>
      <c r="F597" s="232"/>
      <c r="G597" s="231"/>
      <c r="H597" s="242"/>
      <c r="I597" s="171"/>
    </row>
    <row r="598" spans="2:9" ht="191.25" customHeight="1" x14ac:dyDescent="0.25">
      <c r="B598" s="88" t="s">
        <v>580</v>
      </c>
      <c r="C598" s="234"/>
      <c r="D598" s="234"/>
      <c r="E598" s="235"/>
      <c r="F598" s="232" t="s">
        <v>581</v>
      </c>
      <c r="G598" s="231"/>
      <c r="H598" s="242"/>
      <c r="I598" s="171" t="s">
        <v>10</v>
      </c>
    </row>
    <row r="599" spans="2:9" ht="76.5" customHeight="1" x14ac:dyDescent="0.25">
      <c r="B599" s="89" t="s">
        <v>95</v>
      </c>
      <c r="C599" s="234"/>
      <c r="D599" s="234"/>
      <c r="E599" s="235"/>
      <c r="F599" s="232" t="s">
        <v>582</v>
      </c>
      <c r="G599" s="231"/>
      <c r="H599" s="242"/>
      <c r="I599" s="171" t="s">
        <v>10</v>
      </c>
    </row>
    <row r="600" spans="2:9" ht="15.75" customHeight="1" x14ac:dyDescent="0.25">
      <c r="B600" s="120" t="s">
        <v>26</v>
      </c>
      <c r="C600" s="234"/>
      <c r="D600" s="234"/>
      <c r="E600" s="235"/>
      <c r="F600" s="232" t="s">
        <v>583</v>
      </c>
      <c r="G600" s="231"/>
      <c r="H600" s="242"/>
      <c r="I600" s="58" t="s">
        <v>10</v>
      </c>
    </row>
    <row r="601" spans="2:9" ht="25.5" customHeight="1" x14ac:dyDescent="0.25">
      <c r="B601" s="112" t="s">
        <v>584</v>
      </c>
      <c r="C601" s="234"/>
      <c r="D601" s="234"/>
      <c r="E601" s="235"/>
      <c r="F601" s="232" t="s">
        <v>585</v>
      </c>
      <c r="G601" s="231"/>
      <c r="H601" s="242"/>
      <c r="I601" s="100"/>
    </row>
    <row r="602" spans="2:9" ht="38.25" customHeight="1" x14ac:dyDescent="0.25">
      <c r="B602" s="120" t="s">
        <v>28</v>
      </c>
      <c r="C602" s="234"/>
      <c r="D602" s="234"/>
      <c r="E602" s="235"/>
      <c r="F602" s="232" t="s">
        <v>586</v>
      </c>
      <c r="G602" s="231"/>
      <c r="H602" s="242"/>
      <c r="I602" s="58" t="s">
        <v>10</v>
      </c>
    </row>
    <row r="603" spans="2:9" ht="15.75" customHeight="1" x14ac:dyDescent="0.25">
      <c r="B603" s="120" t="s">
        <v>30</v>
      </c>
      <c r="C603" s="234"/>
      <c r="D603" s="234"/>
      <c r="E603" s="235"/>
      <c r="F603" s="232" t="s">
        <v>509</v>
      </c>
      <c r="G603" s="231"/>
      <c r="H603" s="242"/>
      <c r="I603" s="58" t="s">
        <v>10</v>
      </c>
    </row>
    <row r="604" spans="2:9" ht="15.75" customHeight="1" x14ac:dyDescent="0.25">
      <c r="B604" s="120" t="s">
        <v>233</v>
      </c>
      <c r="C604" s="234"/>
      <c r="D604" s="234"/>
      <c r="E604" s="235"/>
      <c r="F604" s="232" t="s">
        <v>587</v>
      </c>
      <c r="G604" s="231"/>
      <c r="H604" s="242"/>
      <c r="I604" s="58" t="s">
        <v>10</v>
      </c>
    </row>
    <row r="605" spans="2:9" ht="15.75" customHeight="1" x14ac:dyDescent="0.25">
      <c r="B605" s="120" t="s">
        <v>235</v>
      </c>
      <c r="C605" s="234"/>
      <c r="D605" s="234"/>
      <c r="E605" s="235"/>
      <c r="F605" s="232" t="s">
        <v>588</v>
      </c>
      <c r="G605" s="231"/>
      <c r="H605" s="242"/>
      <c r="I605" s="58" t="s">
        <v>10</v>
      </c>
    </row>
    <row r="606" spans="2:9" ht="25.5" customHeight="1" x14ac:dyDescent="0.25">
      <c r="B606" s="89" t="s">
        <v>127</v>
      </c>
      <c r="C606" s="234"/>
      <c r="D606" s="234"/>
      <c r="E606" s="235"/>
      <c r="F606" s="232" t="s">
        <v>589</v>
      </c>
      <c r="G606" s="231"/>
      <c r="H606" s="242"/>
      <c r="I606" s="171" t="s">
        <v>108</v>
      </c>
    </row>
    <row r="607" spans="2:9" ht="15.75" customHeight="1" x14ac:dyDescent="0.25">
      <c r="B607" s="89" t="s">
        <v>41</v>
      </c>
      <c r="C607" s="234"/>
      <c r="D607" s="234"/>
      <c r="E607" s="235"/>
      <c r="F607" s="232" t="s">
        <v>590</v>
      </c>
      <c r="G607" s="231"/>
      <c r="H607" s="242"/>
      <c r="I607" s="171" t="s">
        <v>10</v>
      </c>
    </row>
    <row r="608" spans="2:9" ht="15.75" customHeight="1" x14ac:dyDescent="0.25">
      <c r="B608" s="106" t="s">
        <v>514</v>
      </c>
      <c r="C608" s="234"/>
      <c r="D608" s="234"/>
      <c r="E608" s="235"/>
      <c r="F608" s="232" t="s">
        <v>591</v>
      </c>
      <c r="G608" s="231"/>
      <c r="H608" s="242"/>
      <c r="I608" s="59" t="s">
        <v>10</v>
      </c>
    </row>
    <row r="609" spans="2:9" ht="15.75" customHeight="1" x14ac:dyDescent="0.25">
      <c r="B609" s="106" t="s">
        <v>560</v>
      </c>
      <c r="C609" s="234"/>
      <c r="D609" s="234"/>
      <c r="E609" s="235"/>
      <c r="F609" s="232" t="s">
        <v>592</v>
      </c>
      <c r="G609" s="231"/>
      <c r="H609" s="242"/>
      <c r="I609" s="59" t="s">
        <v>10</v>
      </c>
    </row>
    <row r="610" spans="2:9" ht="25.5" customHeight="1" x14ac:dyDescent="0.25">
      <c r="B610" s="89" t="s">
        <v>102</v>
      </c>
      <c r="C610" s="234"/>
      <c r="D610" s="234"/>
      <c r="E610" s="235"/>
      <c r="F610" s="232" t="s">
        <v>593</v>
      </c>
      <c r="G610" s="231"/>
      <c r="H610" s="242"/>
      <c r="I610" s="171" t="s">
        <v>10</v>
      </c>
    </row>
    <row r="611" spans="2:9" ht="63.75" customHeight="1" x14ac:dyDescent="0.25">
      <c r="B611" s="112" t="s">
        <v>584</v>
      </c>
      <c r="C611" s="234"/>
      <c r="D611" s="234"/>
      <c r="E611" s="235"/>
      <c r="F611" s="232" t="s">
        <v>594</v>
      </c>
      <c r="G611" s="231"/>
      <c r="H611" s="242"/>
      <c r="I611" s="100"/>
    </row>
    <row r="612" spans="2:9" ht="25.5" customHeight="1" x14ac:dyDescent="0.25">
      <c r="B612" s="89" t="s">
        <v>104</v>
      </c>
      <c r="C612" s="234"/>
      <c r="D612" s="234"/>
      <c r="E612" s="235"/>
      <c r="F612" s="232" t="s">
        <v>595</v>
      </c>
      <c r="G612" s="231"/>
      <c r="H612" s="242"/>
      <c r="I612" s="171" t="s">
        <v>108</v>
      </c>
    </row>
    <row r="613" spans="2:9" ht="15.75" customHeight="1" x14ac:dyDescent="0.25">
      <c r="B613" s="89" t="s">
        <v>106</v>
      </c>
      <c r="C613" s="234"/>
      <c r="D613" s="234"/>
      <c r="E613" s="235"/>
      <c r="F613" s="232" t="s">
        <v>518</v>
      </c>
      <c r="G613" s="231"/>
      <c r="H613" s="242"/>
      <c r="I613" s="171" t="s">
        <v>108</v>
      </c>
    </row>
    <row r="614" spans="2:9" ht="25.5" customHeight="1" x14ac:dyDescent="0.25">
      <c r="B614" s="89" t="s">
        <v>109</v>
      </c>
      <c r="C614" s="234"/>
      <c r="D614" s="234"/>
      <c r="E614" s="235"/>
      <c r="F614" s="232" t="s">
        <v>596</v>
      </c>
      <c r="G614" s="231"/>
      <c r="H614" s="242"/>
      <c r="I614" s="171" t="s">
        <v>108</v>
      </c>
    </row>
    <row r="615" spans="2:9" ht="15.75" customHeight="1" x14ac:dyDescent="0.25">
      <c r="B615" s="89" t="s">
        <v>111</v>
      </c>
      <c r="C615" s="234"/>
      <c r="D615" s="234"/>
      <c r="E615" s="235"/>
      <c r="F615" s="232" t="s">
        <v>520</v>
      </c>
      <c r="G615" s="231"/>
      <c r="H615" s="242"/>
      <c r="I615" s="171" t="s">
        <v>108</v>
      </c>
    </row>
    <row r="616" spans="2:9" ht="15.75" customHeight="1" x14ac:dyDescent="0.25">
      <c r="B616" s="89" t="s">
        <v>35</v>
      </c>
      <c r="C616" s="234"/>
      <c r="D616" s="234"/>
      <c r="E616" s="235"/>
      <c r="F616" s="232" t="s">
        <v>521</v>
      </c>
      <c r="G616" s="231"/>
      <c r="H616" s="242"/>
      <c r="I616" s="171" t="s">
        <v>108</v>
      </c>
    </row>
    <row r="617" spans="2:9" ht="15.75" customHeight="1" x14ac:dyDescent="0.25">
      <c r="B617" s="120" t="s">
        <v>36</v>
      </c>
      <c r="C617" s="234"/>
      <c r="D617" s="234"/>
      <c r="E617" s="235"/>
      <c r="F617" s="232" t="s">
        <v>521</v>
      </c>
      <c r="G617" s="231"/>
      <c r="H617" s="242"/>
      <c r="I617" s="58" t="s">
        <v>108</v>
      </c>
    </row>
    <row r="618" spans="2:9" ht="15.75" customHeight="1" x14ac:dyDescent="0.25">
      <c r="B618" s="89" t="s">
        <v>522</v>
      </c>
      <c r="C618" s="234"/>
      <c r="D618" s="234"/>
      <c r="E618" s="235"/>
      <c r="F618" s="232">
        <v>0</v>
      </c>
      <c r="G618" s="231"/>
      <c r="H618" s="242"/>
      <c r="I618" s="171" t="s">
        <v>108</v>
      </c>
    </row>
    <row r="619" spans="2:9" ht="15.75" customHeight="1" x14ac:dyDescent="0.25">
      <c r="B619" s="89" t="s">
        <v>523</v>
      </c>
      <c r="C619" s="234"/>
      <c r="D619" s="234"/>
      <c r="E619" s="235"/>
      <c r="F619" s="232">
        <v>0</v>
      </c>
      <c r="G619" s="231"/>
      <c r="H619" s="242"/>
      <c r="I619" s="171" t="s">
        <v>108</v>
      </c>
    </row>
    <row r="620" spans="2:9" ht="114.75" customHeight="1" x14ac:dyDescent="0.25">
      <c r="B620" s="90" t="s">
        <v>597</v>
      </c>
      <c r="C620" s="234"/>
      <c r="D620" s="234"/>
      <c r="E620" s="235"/>
      <c r="F620" s="232" t="s">
        <v>598</v>
      </c>
      <c r="G620" s="231"/>
      <c r="H620" s="242"/>
      <c r="I620" s="171" t="s">
        <v>10</v>
      </c>
    </row>
    <row r="621" spans="2:9" ht="63.75" customHeight="1" x14ac:dyDescent="0.25">
      <c r="B621" s="89" t="s">
        <v>95</v>
      </c>
      <c r="C621" s="234"/>
      <c r="D621" s="234"/>
      <c r="E621" s="235"/>
      <c r="F621" s="232" t="s">
        <v>599</v>
      </c>
      <c r="G621" s="231"/>
      <c r="H621" s="242"/>
      <c r="I621" s="171" t="s">
        <v>10</v>
      </c>
    </row>
    <row r="622" spans="2:9" ht="15.75" customHeight="1" x14ac:dyDescent="0.25">
      <c r="B622" s="120" t="s">
        <v>26</v>
      </c>
      <c r="C622" s="234"/>
      <c r="D622" s="234"/>
      <c r="E622" s="235"/>
      <c r="F622" s="232" t="s">
        <v>600</v>
      </c>
      <c r="G622" s="231"/>
      <c r="H622" s="242"/>
      <c r="I622" s="58" t="s">
        <v>10</v>
      </c>
    </row>
    <row r="623" spans="2:9" ht="15.75" customHeight="1" x14ac:dyDescent="0.25">
      <c r="B623" s="120" t="s">
        <v>601</v>
      </c>
      <c r="C623" s="234"/>
      <c r="D623" s="234"/>
      <c r="E623" s="235"/>
      <c r="F623" s="232" t="s">
        <v>602</v>
      </c>
      <c r="G623" s="231"/>
      <c r="H623" s="242"/>
      <c r="I623" s="171" t="s">
        <v>10</v>
      </c>
    </row>
    <row r="624" spans="2:9" ht="25.5" customHeight="1" x14ac:dyDescent="0.25">
      <c r="B624" s="120" t="s">
        <v>28</v>
      </c>
      <c r="C624" s="234"/>
      <c r="D624" s="234"/>
      <c r="E624" s="235"/>
      <c r="F624" s="232" t="s">
        <v>603</v>
      </c>
      <c r="G624" s="231"/>
      <c r="H624" s="242"/>
      <c r="I624" s="58" t="s">
        <v>10</v>
      </c>
    </row>
    <row r="625" spans="2:9" ht="15.75" customHeight="1" x14ac:dyDescent="0.25">
      <c r="B625" s="106" t="s">
        <v>82</v>
      </c>
      <c r="C625" s="234"/>
      <c r="D625" s="234"/>
      <c r="E625" s="235"/>
      <c r="F625" s="232" t="s">
        <v>604</v>
      </c>
      <c r="G625" s="231"/>
      <c r="H625" s="242"/>
      <c r="I625" s="59" t="s">
        <v>10</v>
      </c>
    </row>
    <row r="626" spans="2:9" ht="15.75" customHeight="1" x14ac:dyDescent="0.25">
      <c r="B626" s="106" t="s">
        <v>52</v>
      </c>
      <c r="C626" s="234"/>
      <c r="D626" s="234"/>
      <c r="E626" s="235"/>
      <c r="F626" s="232" t="s">
        <v>605</v>
      </c>
      <c r="G626" s="231"/>
      <c r="H626" s="242"/>
      <c r="I626" s="59" t="s">
        <v>10</v>
      </c>
    </row>
    <row r="627" spans="2:9" ht="15.75" customHeight="1" x14ac:dyDescent="0.25">
      <c r="B627" s="76" t="s">
        <v>85</v>
      </c>
      <c r="C627" s="234"/>
      <c r="D627" s="234"/>
      <c r="E627" s="235"/>
      <c r="F627" s="232" t="s">
        <v>606</v>
      </c>
      <c r="G627" s="231"/>
      <c r="H627" s="242"/>
      <c r="I627" s="59" t="s">
        <v>10</v>
      </c>
    </row>
    <row r="628" spans="2:9" ht="15.75" customHeight="1" x14ac:dyDescent="0.25">
      <c r="B628" s="120" t="s">
        <v>437</v>
      </c>
      <c r="C628" s="234"/>
      <c r="D628" s="234"/>
      <c r="E628" s="235"/>
      <c r="F628" s="232" t="s">
        <v>531</v>
      </c>
      <c r="G628" s="231"/>
      <c r="H628" s="242"/>
      <c r="I628" s="58" t="s">
        <v>10</v>
      </c>
    </row>
    <row r="629" spans="2:9" ht="15.75" customHeight="1" x14ac:dyDescent="0.25">
      <c r="B629" s="120" t="s">
        <v>233</v>
      </c>
      <c r="C629" s="234"/>
      <c r="D629" s="234"/>
      <c r="E629" s="235"/>
      <c r="F629" s="232" t="s">
        <v>587</v>
      </c>
      <c r="G629" s="231"/>
      <c r="H629" s="242"/>
      <c r="I629" s="58" t="s">
        <v>10</v>
      </c>
    </row>
    <row r="630" spans="2:9" ht="15.75" customHeight="1" x14ac:dyDescent="0.25">
      <c r="B630" s="108" t="s">
        <v>607</v>
      </c>
      <c r="C630" s="234"/>
      <c r="D630" s="234"/>
      <c r="E630" s="235"/>
      <c r="F630" s="232" t="s">
        <v>608</v>
      </c>
      <c r="G630" s="231"/>
      <c r="H630" s="242"/>
      <c r="I630" s="59" t="s">
        <v>10</v>
      </c>
    </row>
    <row r="631" spans="2:9" ht="15.75" customHeight="1" x14ac:dyDescent="0.25">
      <c r="B631" s="108" t="s">
        <v>534</v>
      </c>
      <c r="C631" s="234"/>
      <c r="D631" s="234"/>
      <c r="E631" s="235"/>
      <c r="F631" s="232" t="s">
        <v>609</v>
      </c>
      <c r="G631" s="231"/>
      <c r="H631" s="242"/>
      <c r="I631" s="59" t="s">
        <v>10</v>
      </c>
    </row>
    <row r="632" spans="2:9" ht="15.75" customHeight="1" x14ac:dyDescent="0.25">
      <c r="B632" s="120" t="s">
        <v>235</v>
      </c>
      <c r="C632" s="234"/>
      <c r="D632" s="234"/>
      <c r="E632" s="235"/>
      <c r="F632" s="232" t="s">
        <v>588</v>
      </c>
      <c r="G632" s="231"/>
      <c r="H632" s="242"/>
      <c r="I632" s="58" t="s">
        <v>10</v>
      </c>
    </row>
    <row r="633" spans="2:9" ht="15.75" customHeight="1" x14ac:dyDescent="0.25">
      <c r="B633" s="89" t="s">
        <v>127</v>
      </c>
      <c r="C633" s="234"/>
      <c r="D633" s="234"/>
      <c r="E633" s="235"/>
      <c r="F633" s="232">
        <v>0</v>
      </c>
      <c r="G633" s="231"/>
      <c r="H633" s="242"/>
      <c r="I633" s="171" t="s">
        <v>108</v>
      </c>
    </row>
    <row r="634" spans="2:9" ht="15.75" customHeight="1" x14ac:dyDescent="0.25">
      <c r="B634" s="120" t="s">
        <v>538</v>
      </c>
      <c r="C634" s="234"/>
      <c r="D634" s="234"/>
      <c r="E634" s="235"/>
      <c r="F634" s="232">
        <v>0</v>
      </c>
      <c r="G634" s="231"/>
      <c r="H634" s="242"/>
      <c r="I634" s="58" t="s">
        <v>10</v>
      </c>
    </row>
    <row r="635" spans="2:9" ht="25.5" customHeight="1" x14ac:dyDescent="0.25">
      <c r="B635" s="89" t="s">
        <v>104</v>
      </c>
      <c r="C635" s="234"/>
      <c r="D635" s="234"/>
      <c r="E635" s="235"/>
      <c r="F635" s="232" t="s">
        <v>595</v>
      </c>
      <c r="G635" s="231"/>
      <c r="H635" s="242"/>
      <c r="I635" s="171" t="s">
        <v>108</v>
      </c>
    </row>
    <row r="636" spans="2:9" ht="25.5" customHeight="1" x14ac:dyDescent="0.25">
      <c r="B636" s="106" t="s">
        <v>610</v>
      </c>
      <c r="C636" s="234"/>
      <c r="D636" s="234"/>
      <c r="E636" s="235"/>
      <c r="F636" s="232" t="s">
        <v>611</v>
      </c>
      <c r="G636" s="231"/>
      <c r="H636" s="242"/>
      <c r="I636" s="171" t="s">
        <v>10</v>
      </c>
    </row>
    <row r="637" spans="2:9" ht="15.75" customHeight="1" x14ac:dyDescent="0.25">
      <c r="B637" s="106" t="s">
        <v>612</v>
      </c>
      <c r="C637" s="234"/>
      <c r="D637" s="234"/>
      <c r="E637" s="235"/>
      <c r="F637" s="232" t="s">
        <v>613</v>
      </c>
      <c r="G637" s="231"/>
      <c r="H637" s="242"/>
      <c r="I637" s="59" t="s">
        <v>10</v>
      </c>
    </row>
    <row r="638" spans="2:9" ht="15.75" customHeight="1" x14ac:dyDescent="0.25">
      <c r="B638" s="106" t="s">
        <v>614</v>
      </c>
      <c r="C638" s="234"/>
      <c r="D638" s="234"/>
      <c r="E638" s="235"/>
      <c r="F638" s="232" t="s">
        <v>615</v>
      </c>
      <c r="G638" s="231"/>
      <c r="H638" s="242"/>
      <c r="I638" s="59" t="s">
        <v>10</v>
      </c>
    </row>
    <row r="639" spans="2:9" ht="15.75" customHeight="1" x14ac:dyDescent="0.25">
      <c r="B639" s="106" t="s">
        <v>616</v>
      </c>
      <c r="C639" s="234"/>
      <c r="D639" s="234"/>
      <c r="E639" s="235"/>
      <c r="F639" s="232" t="s">
        <v>617</v>
      </c>
      <c r="G639" s="231"/>
      <c r="H639" s="242"/>
      <c r="I639" s="59" t="s">
        <v>10</v>
      </c>
    </row>
    <row r="640" spans="2:9" ht="15.75" customHeight="1" x14ac:dyDescent="0.25">
      <c r="B640" s="89" t="s">
        <v>106</v>
      </c>
      <c r="C640" s="234"/>
      <c r="D640" s="234"/>
      <c r="E640" s="235"/>
      <c r="F640" s="232" t="s">
        <v>518</v>
      </c>
      <c r="G640" s="231"/>
      <c r="H640" s="242"/>
      <c r="I640" s="171" t="s">
        <v>108</v>
      </c>
    </row>
    <row r="641" spans="2:9" ht="15.75" customHeight="1" x14ac:dyDescent="0.25">
      <c r="B641" s="106" t="s">
        <v>540</v>
      </c>
      <c r="C641" s="234"/>
      <c r="D641" s="234"/>
      <c r="E641" s="235"/>
      <c r="F641" s="232" t="s">
        <v>518</v>
      </c>
      <c r="G641" s="231"/>
      <c r="H641" s="242"/>
      <c r="I641" s="59" t="s">
        <v>10</v>
      </c>
    </row>
    <row r="642" spans="2:9" ht="15.75" customHeight="1" x14ac:dyDescent="0.25">
      <c r="B642" s="89" t="s">
        <v>618</v>
      </c>
      <c r="C642" s="234"/>
      <c r="D642" s="234"/>
      <c r="E642" s="235"/>
      <c r="F642" s="232" t="s">
        <v>619</v>
      </c>
      <c r="G642" s="231"/>
      <c r="H642" s="242"/>
      <c r="I642" s="171" t="s">
        <v>108</v>
      </c>
    </row>
    <row r="643" spans="2:9" ht="15.75" customHeight="1" x14ac:dyDescent="0.25">
      <c r="B643" s="106" t="s">
        <v>564</v>
      </c>
      <c r="C643" s="234"/>
      <c r="D643" s="234"/>
      <c r="E643" s="235"/>
      <c r="F643" s="232" t="s">
        <v>619</v>
      </c>
      <c r="G643" s="231"/>
      <c r="H643" s="242"/>
      <c r="I643" s="59" t="s">
        <v>10</v>
      </c>
    </row>
    <row r="644" spans="2:9" ht="15.75" customHeight="1" x14ac:dyDescent="0.25">
      <c r="B644" s="89" t="s">
        <v>109</v>
      </c>
      <c r="C644" s="234"/>
      <c r="D644" s="234"/>
      <c r="E644" s="235"/>
      <c r="F644" s="232" t="s">
        <v>620</v>
      </c>
      <c r="G644" s="231"/>
      <c r="H644" s="242"/>
      <c r="I644" s="171" t="s">
        <v>108</v>
      </c>
    </row>
    <row r="645" spans="2:9" ht="15.75" customHeight="1" x14ac:dyDescent="0.25">
      <c r="B645" s="106" t="s">
        <v>621</v>
      </c>
      <c r="C645" s="234"/>
      <c r="D645" s="234"/>
      <c r="E645" s="235"/>
      <c r="F645" s="232" t="s">
        <v>620</v>
      </c>
      <c r="G645" s="231"/>
      <c r="H645" s="242"/>
      <c r="I645" s="59" t="s">
        <v>10</v>
      </c>
    </row>
    <row r="646" spans="2:9" ht="15.75" customHeight="1" x14ac:dyDescent="0.25">
      <c r="B646" s="89" t="s">
        <v>35</v>
      </c>
      <c r="C646" s="234"/>
      <c r="D646" s="234"/>
      <c r="E646" s="235"/>
      <c r="F646" s="232" t="s">
        <v>521</v>
      </c>
      <c r="G646" s="231"/>
      <c r="H646" s="242"/>
      <c r="I646" s="171" t="s">
        <v>108</v>
      </c>
    </row>
    <row r="647" spans="2:9" ht="15.75" customHeight="1" x14ac:dyDescent="0.25">
      <c r="B647" s="120" t="s">
        <v>36</v>
      </c>
      <c r="C647" s="234"/>
      <c r="D647" s="234"/>
      <c r="E647" s="235"/>
      <c r="F647" s="232" t="s">
        <v>521</v>
      </c>
      <c r="G647" s="231"/>
      <c r="H647" s="242"/>
      <c r="I647" s="58" t="s">
        <v>108</v>
      </c>
    </row>
    <row r="648" spans="2:9" ht="15.75" customHeight="1" x14ac:dyDescent="0.25">
      <c r="B648" s="89" t="s">
        <v>522</v>
      </c>
      <c r="C648" s="234"/>
      <c r="D648" s="234"/>
      <c r="E648" s="235"/>
      <c r="F648" s="232">
        <v>0</v>
      </c>
      <c r="G648" s="231"/>
      <c r="H648" s="242"/>
      <c r="I648" s="171" t="s">
        <v>10</v>
      </c>
    </row>
    <row r="649" spans="2:9" ht="15.75" customHeight="1" x14ac:dyDescent="0.25">
      <c r="B649" s="89" t="s">
        <v>523</v>
      </c>
      <c r="C649" s="234"/>
      <c r="D649" s="234"/>
      <c r="E649" s="235"/>
      <c r="F649" s="232">
        <v>0</v>
      </c>
      <c r="G649" s="231"/>
      <c r="H649" s="242"/>
      <c r="I649" s="171" t="s">
        <v>108</v>
      </c>
    </row>
    <row r="650" spans="2:9" ht="89.25" customHeight="1" x14ac:dyDescent="0.25">
      <c r="B650" s="90" t="s">
        <v>622</v>
      </c>
      <c r="C650" s="234"/>
      <c r="D650" s="234"/>
      <c r="E650" s="235"/>
      <c r="F650" s="232" t="s">
        <v>623</v>
      </c>
      <c r="G650" s="231"/>
      <c r="H650" s="242"/>
      <c r="I650" s="171" t="s">
        <v>10</v>
      </c>
    </row>
    <row r="651" spans="2:9" ht="15.75" customHeight="1" x14ac:dyDescent="0.25">
      <c r="B651" s="89" t="s">
        <v>95</v>
      </c>
      <c r="C651" s="234"/>
      <c r="D651" s="234"/>
      <c r="E651" s="235"/>
      <c r="F651" s="232">
        <v>0</v>
      </c>
      <c r="G651" s="231"/>
      <c r="H651" s="242"/>
      <c r="I651" s="171" t="s">
        <v>10</v>
      </c>
    </row>
    <row r="652" spans="2:9" ht="15.75" customHeight="1" x14ac:dyDescent="0.25">
      <c r="B652" s="120" t="s">
        <v>26</v>
      </c>
      <c r="C652" s="234"/>
      <c r="D652" s="234"/>
      <c r="E652" s="235"/>
      <c r="F652" s="232">
        <v>0</v>
      </c>
      <c r="G652" s="231"/>
      <c r="H652" s="242"/>
      <c r="I652" s="58" t="s">
        <v>10</v>
      </c>
    </row>
    <row r="653" spans="2:9" ht="25.5" customHeight="1" x14ac:dyDescent="0.25">
      <c r="B653" s="89" t="s">
        <v>127</v>
      </c>
      <c r="C653" s="234"/>
      <c r="D653" s="234"/>
      <c r="E653" s="235"/>
      <c r="F653" s="232" t="s">
        <v>624</v>
      </c>
      <c r="G653" s="231"/>
      <c r="H653" s="242"/>
      <c r="I653" s="171" t="s">
        <v>108</v>
      </c>
    </row>
    <row r="654" spans="2:9" ht="25.5" customHeight="1" x14ac:dyDescent="0.25">
      <c r="B654" s="109" t="s">
        <v>558</v>
      </c>
      <c r="C654" s="234"/>
      <c r="D654" s="234"/>
      <c r="E654" s="235"/>
      <c r="F654" s="232" t="s">
        <v>559</v>
      </c>
      <c r="G654" s="231"/>
      <c r="H654" s="242"/>
      <c r="I654" s="59" t="s">
        <v>10</v>
      </c>
    </row>
    <row r="655" spans="2:9" ht="15.75" customHeight="1" x14ac:dyDescent="0.25">
      <c r="B655" s="89" t="s">
        <v>41</v>
      </c>
      <c r="C655" s="234"/>
      <c r="D655" s="234"/>
      <c r="E655" s="235"/>
      <c r="F655" s="232" t="s">
        <v>590</v>
      </c>
      <c r="G655" s="231"/>
      <c r="H655" s="242"/>
      <c r="I655" s="171" t="s">
        <v>10</v>
      </c>
    </row>
    <row r="656" spans="2:9" ht="15.75" customHeight="1" x14ac:dyDescent="0.25">
      <c r="B656" s="106" t="s">
        <v>514</v>
      </c>
      <c r="C656" s="234"/>
      <c r="D656" s="234"/>
      <c r="E656" s="235"/>
      <c r="F656" s="232" t="s">
        <v>591</v>
      </c>
      <c r="G656" s="231"/>
      <c r="H656" s="242"/>
      <c r="I656" s="59" t="s">
        <v>10</v>
      </c>
    </row>
    <row r="657" spans="2:9" ht="15.75" customHeight="1" x14ac:dyDescent="0.25">
      <c r="B657" s="106" t="s">
        <v>560</v>
      </c>
      <c r="C657" s="234"/>
      <c r="D657" s="234"/>
      <c r="E657" s="235"/>
      <c r="F657" s="232" t="s">
        <v>592</v>
      </c>
      <c r="G657" s="231"/>
      <c r="H657" s="242"/>
      <c r="I657" s="59" t="s">
        <v>10</v>
      </c>
    </row>
    <row r="658" spans="2:9" ht="25.5" customHeight="1" x14ac:dyDescent="0.25">
      <c r="B658" s="89" t="s">
        <v>102</v>
      </c>
      <c r="C658" s="234"/>
      <c r="D658" s="234"/>
      <c r="E658" s="235"/>
      <c r="F658" s="232" t="s">
        <v>625</v>
      </c>
      <c r="G658" s="231"/>
      <c r="H658" s="242"/>
      <c r="I658" s="171" t="s">
        <v>10</v>
      </c>
    </row>
    <row r="659" spans="2:9" ht="15.75" customHeight="1" x14ac:dyDescent="0.25">
      <c r="B659" s="110" t="s">
        <v>562</v>
      </c>
      <c r="C659" s="234"/>
      <c r="D659" s="234"/>
      <c r="E659" s="235"/>
      <c r="F659" s="232" t="s">
        <v>626</v>
      </c>
      <c r="G659" s="231"/>
      <c r="H659" s="242"/>
      <c r="I659" s="59" t="s">
        <v>10</v>
      </c>
    </row>
    <row r="660" spans="2:9" ht="15.75" customHeight="1" x14ac:dyDescent="0.25">
      <c r="B660" s="106" t="s">
        <v>564</v>
      </c>
      <c r="C660" s="234"/>
      <c r="D660" s="234"/>
      <c r="E660" s="235"/>
      <c r="F660" s="232" t="s">
        <v>183</v>
      </c>
      <c r="G660" s="231"/>
      <c r="H660" s="242"/>
      <c r="I660" s="59" t="s">
        <v>10</v>
      </c>
    </row>
    <row r="661" spans="2:9" ht="15.75" customHeight="1" x14ac:dyDescent="0.25">
      <c r="B661" s="89" t="s">
        <v>56</v>
      </c>
      <c r="C661" s="234"/>
      <c r="D661" s="234"/>
      <c r="E661" s="235"/>
      <c r="F661" s="232" t="s">
        <v>565</v>
      </c>
      <c r="G661" s="231"/>
      <c r="H661" s="242"/>
      <c r="I661" s="171" t="s">
        <v>10</v>
      </c>
    </row>
    <row r="662" spans="2:9" ht="15.75" customHeight="1" x14ac:dyDescent="0.25">
      <c r="B662" s="120" t="s">
        <v>28</v>
      </c>
      <c r="C662" s="234"/>
      <c r="D662" s="234"/>
      <c r="E662" s="235"/>
      <c r="F662" s="232" t="s">
        <v>565</v>
      </c>
      <c r="G662" s="231"/>
      <c r="H662" s="242"/>
      <c r="I662" s="58" t="s">
        <v>10</v>
      </c>
    </row>
    <row r="663" spans="2:9" ht="15.75" customHeight="1" x14ac:dyDescent="0.25">
      <c r="B663" s="89" t="s">
        <v>111</v>
      </c>
      <c r="C663" s="234"/>
      <c r="D663" s="234"/>
      <c r="E663" s="235"/>
      <c r="F663" s="232" t="s">
        <v>520</v>
      </c>
      <c r="G663" s="231"/>
      <c r="H663" s="242"/>
      <c r="I663" s="171" t="s">
        <v>108</v>
      </c>
    </row>
    <row r="664" spans="2:9" ht="15.75" customHeight="1" x14ac:dyDescent="0.25">
      <c r="B664" s="102" t="s">
        <v>571</v>
      </c>
      <c r="C664" s="234"/>
      <c r="D664" s="234"/>
      <c r="E664" s="235"/>
      <c r="F664" s="232" t="s">
        <v>572</v>
      </c>
      <c r="G664" s="231"/>
      <c r="H664" s="242"/>
      <c r="I664" s="59" t="s">
        <v>10</v>
      </c>
    </row>
    <row r="665" spans="2:9" ht="15.75" customHeight="1" x14ac:dyDescent="0.25">
      <c r="B665" s="102" t="s">
        <v>573</v>
      </c>
      <c r="C665" s="234"/>
      <c r="D665" s="234"/>
      <c r="E665" s="235"/>
      <c r="F665" s="232" t="s">
        <v>574</v>
      </c>
      <c r="G665" s="231"/>
      <c r="H665" s="242"/>
      <c r="I665" s="59" t="s">
        <v>10</v>
      </c>
    </row>
    <row r="666" spans="2:9" ht="15.75" customHeight="1" x14ac:dyDescent="0.25">
      <c r="B666" s="102" t="s">
        <v>152</v>
      </c>
      <c r="C666" s="234"/>
      <c r="D666" s="234"/>
      <c r="E666" s="235"/>
      <c r="F666" s="232" t="s">
        <v>575</v>
      </c>
      <c r="G666" s="231"/>
      <c r="H666" s="242"/>
      <c r="I666" s="59" t="s">
        <v>10</v>
      </c>
    </row>
    <row r="667" spans="2:9" ht="15.75" customHeight="1" x14ac:dyDescent="0.25">
      <c r="B667" s="102" t="s">
        <v>576</v>
      </c>
      <c r="C667" s="234"/>
      <c r="D667" s="234"/>
      <c r="E667" s="235"/>
      <c r="F667" s="232" t="s">
        <v>577</v>
      </c>
      <c r="G667" s="231"/>
      <c r="H667" s="242"/>
      <c r="I667" s="59" t="s">
        <v>10</v>
      </c>
    </row>
    <row r="668" spans="2:9" ht="25.5" customHeight="1" x14ac:dyDescent="0.25">
      <c r="B668" s="89" t="s">
        <v>109</v>
      </c>
      <c r="C668" s="234"/>
      <c r="D668" s="234"/>
      <c r="E668" s="235"/>
      <c r="F668" s="232" t="s">
        <v>566</v>
      </c>
      <c r="G668" s="231"/>
      <c r="H668" s="242"/>
      <c r="I668" s="171" t="s">
        <v>108</v>
      </c>
    </row>
    <row r="669" spans="2:9" ht="15.75" customHeight="1" x14ac:dyDescent="0.25">
      <c r="B669" s="113" t="s">
        <v>627</v>
      </c>
      <c r="C669" s="234"/>
      <c r="D669" s="234"/>
      <c r="E669" s="235"/>
      <c r="F669" s="232" t="s">
        <v>567</v>
      </c>
      <c r="G669" s="231"/>
      <c r="H669" s="242"/>
      <c r="I669" s="59" t="s">
        <v>10</v>
      </c>
    </row>
    <row r="670" spans="2:9" ht="15.75" customHeight="1" x14ac:dyDescent="0.25">
      <c r="B670" s="106" t="s">
        <v>568</v>
      </c>
      <c r="C670" s="234"/>
      <c r="D670" s="234"/>
      <c r="E670" s="235"/>
      <c r="F670" s="232" t="s">
        <v>206</v>
      </c>
      <c r="G670" s="231"/>
      <c r="H670" s="242"/>
      <c r="I670" s="59" t="s">
        <v>10</v>
      </c>
    </row>
    <row r="671" spans="2:9" ht="15.75" customHeight="1" x14ac:dyDescent="0.25">
      <c r="B671" s="102" t="s">
        <v>569</v>
      </c>
      <c r="C671" s="234"/>
      <c r="D671" s="234"/>
      <c r="E671" s="235"/>
      <c r="F671" s="232" t="s">
        <v>570</v>
      </c>
      <c r="G671" s="231"/>
      <c r="H671" s="242"/>
      <c r="I671" s="59" t="s">
        <v>10</v>
      </c>
    </row>
    <row r="672" spans="2:9" ht="15.75" customHeight="1" x14ac:dyDescent="0.25">
      <c r="B672" s="89" t="s">
        <v>64</v>
      </c>
      <c r="C672" s="234"/>
      <c r="D672" s="234"/>
      <c r="E672" s="235"/>
      <c r="F672" s="232" t="s">
        <v>578</v>
      </c>
      <c r="G672" s="231"/>
      <c r="H672" s="242"/>
      <c r="I672" s="171" t="s">
        <v>10</v>
      </c>
    </row>
    <row r="673" spans="2:9" ht="15.75" customHeight="1" x14ac:dyDescent="0.25">
      <c r="B673" s="120" t="s">
        <v>30</v>
      </c>
      <c r="C673" s="234"/>
      <c r="D673" s="234"/>
      <c r="E673" s="235"/>
      <c r="F673" s="232" t="s">
        <v>578</v>
      </c>
      <c r="G673" s="231"/>
      <c r="H673" s="242"/>
      <c r="I673" s="58" t="s">
        <v>10</v>
      </c>
    </row>
    <row r="674" spans="2:9" ht="15.75" customHeight="1" x14ac:dyDescent="0.25">
      <c r="B674" s="106" t="s">
        <v>375</v>
      </c>
      <c r="C674" s="234"/>
      <c r="D674" s="234"/>
      <c r="E674" s="235"/>
      <c r="F674" s="232" t="s">
        <v>578</v>
      </c>
      <c r="G674" s="231"/>
      <c r="H674" s="242"/>
      <c r="I674" s="59" t="s">
        <v>10</v>
      </c>
    </row>
    <row r="675" spans="2:9" ht="15.75" customHeight="1" x14ac:dyDescent="0.25">
      <c r="B675" s="89"/>
      <c r="C675" s="234"/>
      <c r="D675" s="234"/>
      <c r="E675" s="235">
        <v>103</v>
      </c>
      <c r="F675" s="232"/>
      <c r="G675" s="231"/>
      <c r="H675" s="242"/>
      <c r="I675" s="171"/>
    </row>
    <row r="676" spans="2:9" ht="38.25" customHeight="1" x14ac:dyDescent="0.25">
      <c r="B676" s="88" t="s">
        <v>628</v>
      </c>
      <c r="C676" s="234"/>
      <c r="D676" s="234"/>
      <c r="E676" s="235"/>
      <c r="F676" s="232" t="s">
        <v>629</v>
      </c>
      <c r="G676" s="231"/>
      <c r="H676" s="242"/>
      <c r="I676" s="171" t="s">
        <v>10</v>
      </c>
    </row>
    <row r="677" spans="2:9" ht="38.25" customHeight="1" x14ac:dyDescent="0.25">
      <c r="B677" s="89" t="s">
        <v>95</v>
      </c>
      <c r="C677" s="234"/>
      <c r="D677" s="234"/>
      <c r="E677" s="235"/>
      <c r="F677" s="232" t="s">
        <v>629</v>
      </c>
      <c r="G677" s="231"/>
      <c r="H677" s="242"/>
      <c r="I677" s="171" t="s">
        <v>10</v>
      </c>
    </row>
    <row r="678" spans="2:9" ht="25.5" customHeight="1" x14ac:dyDescent="0.25">
      <c r="B678" s="120" t="s">
        <v>26</v>
      </c>
      <c r="C678" s="234"/>
      <c r="D678" s="234"/>
      <c r="E678" s="235"/>
      <c r="F678" s="232" t="s">
        <v>630</v>
      </c>
      <c r="G678" s="231"/>
      <c r="H678" s="242"/>
      <c r="I678" s="58" t="s">
        <v>10</v>
      </c>
    </row>
    <row r="679" spans="2:9" ht="15.75" customHeight="1" x14ac:dyDescent="0.25">
      <c r="B679" s="120" t="s">
        <v>235</v>
      </c>
      <c r="C679" s="234"/>
      <c r="D679" s="234"/>
      <c r="E679" s="235"/>
      <c r="F679" s="232" t="s">
        <v>631</v>
      </c>
      <c r="G679" s="231"/>
      <c r="H679" s="242"/>
      <c r="I679" s="58" t="s">
        <v>10</v>
      </c>
    </row>
    <row r="680" spans="2:9" ht="15.75" customHeight="1" x14ac:dyDescent="0.25">
      <c r="B680" s="90" t="s">
        <v>632</v>
      </c>
      <c r="C680" s="234"/>
      <c r="D680" s="234"/>
      <c r="E680" s="235">
        <v>104</v>
      </c>
      <c r="F680" s="232"/>
      <c r="G680" s="231"/>
      <c r="H680" s="242"/>
      <c r="I680" s="171"/>
    </row>
    <row r="681" spans="2:9" ht="25.5" customHeight="1" x14ac:dyDescent="0.25">
      <c r="B681" s="89" t="s">
        <v>95</v>
      </c>
      <c r="C681" s="234"/>
      <c r="D681" s="234"/>
      <c r="E681" s="235"/>
      <c r="F681" s="232" t="s">
        <v>633</v>
      </c>
      <c r="G681" s="231"/>
      <c r="H681" s="242"/>
      <c r="I681" s="171" t="s">
        <v>10</v>
      </c>
    </row>
    <row r="682" spans="2:9" ht="25.5" customHeight="1" x14ac:dyDescent="0.25">
      <c r="B682" s="120" t="s">
        <v>26</v>
      </c>
      <c r="C682" s="234"/>
      <c r="D682" s="234"/>
      <c r="E682" s="235"/>
      <c r="F682" s="232" t="s">
        <v>634</v>
      </c>
      <c r="G682" s="231"/>
      <c r="H682" s="242"/>
      <c r="I682" s="58" t="s">
        <v>10</v>
      </c>
    </row>
    <row r="683" spans="2:9" ht="15.75" customHeight="1" x14ac:dyDescent="0.25">
      <c r="B683" s="106" t="s">
        <v>635</v>
      </c>
      <c r="C683" s="234"/>
      <c r="D683" s="234"/>
      <c r="E683" s="235"/>
      <c r="F683" s="232" t="s">
        <v>636</v>
      </c>
      <c r="G683" s="231"/>
      <c r="H683" s="242"/>
      <c r="I683" s="59" t="s">
        <v>10</v>
      </c>
    </row>
    <row r="684" spans="2:9" ht="15.75" customHeight="1" x14ac:dyDescent="0.25">
      <c r="B684" s="106" t="s">
        <v>637</v>
      </c>
      <c r="C684" s="234"/>
      <c r="D684" s="234"/>
      <c r="E684" s="235"/>
      <c r="F684" s="232" t="s">
        <v>638</v>
      </c>
      <c r="G684" s="231"/>
      <c r="H684" s="242"/>
      <c r="I684" s="59" t="s">
        <v>10</v>
      </c>
    </row>
    <row r="685" spans="2:9" ht="15.75" customHeight="1" x14ac:dyDescent="0.25">
      <c r="B685" s="106" t="s">
        <v>639</v>
      </c>
      <c r="C685" s="234"/>
      <c r="D685" s="234"/>
      <c r="E685" s="235"/>
      <c r="F685" s="232" t="s">
        <v>640</v>
      </c>
      <c r="G685" s="231"/>
      <c r="H685" s="242"/>
      <c r="I685" s="59" t="s">
        <v>10</v>
      </c>
    </row>
    <row r="686" spans="2:9" ht="15.75" customHeight="1" x14ac:dyDescent="0.25">
      <c r="B686" s="120" t="s">
        <v>235</v>
      </c>
      <c r="C686" s="234"/>
      <c r="D686" s="234"/>
      <c r="E686" s="235"/>
      <c r="F686" s="232" t="s">
        <v>631</v>
      </c>
      <c r="G686" s="231"/>
      <c r="H686" s="242"/>
      <c r="I686" s="58" t="s">
        <v>10</v>
      </c>
    </row>
    <row r="687" spans="2:9" ht="15.75" customHeight="1" x14ac:dyDescent="0.25">
      <c r="B687" s="106" t="s">
        <v>641</v>
      </c>
      <c r="C687" s="234"/>
      <c r="D687" s="234"/>
      <c r="E687" s="235"/>
      <c r="F687" s="232" t="s">
        <v>642</v>
      </c>
      <c r="G687" s="231"/>
      <c r="H687" s="242"/>
      <c r="I687" s="59" t="s">
        <v>10</v>
      </c>
    </row>
    <row r="688" spans="2:9" ht="15.75" customHeight="1" x14ac:dyDescent="0.25">
      <c r="B688" s="106" t="s">
        <v>639</v>
      </c>
      <c r="C688" s="234"/>
      <c r="D688" s="234"/>
      <c r="E688" s="235"/>
      <c r="F688" s="232" t="s">
        <v>643</v>
      </c>
      <c r="G688" s="231"/>
      <c r="H688" s="242"/>
      <c r="I688" s="59" t="s">
        <v>10</v>
      </c>
    </row>
    <row r="689" spans="2:9" ht="15.75" customHeight="1" x14ac:dyDescent="0.25">
      <c r="B689" s="90" t="s">
        <v>644</v>
      </c>
      <c r="C689" s="234"/>
      <c r="D689" s="234"/>
      <c r="E689" s="235"/>
      <c r="F689" s="232" t="s">
        <v>645</v>
      </c>
      <c r="G689" s="231"/>
      <c r="H689" s="242"/>
      <c r="I689" s="171" t="s">
        <v>10</v>
      </c>
    </row>
    <row r="690" spans="2:9" ht="15.75" customHeight="1" x14ac:dyDescent="0.25">
      <c r="B690" s="89" t="s">
        <v>95</v>
      </c>
      <c r="C690" s="234"/>
      <c r="D690" s="234"/>
      <c r="E690" s="235"/>
      <c r="F690" s="232" t="s">
        <v>645</v>
      </c>
      <c r="G690" s="231"/>
      <c r="H690" s="242"/>
      <c r="I690" s="171" t="s">
        <v>10</v>
      </c>
    </row>
    <row r="691" spans="2:9" ht="15.75" customHeight="1" x14ac:dyDescent="0.25">
      <c r="B691" s="120" t="s">
        <v>26</v>
      </c>
      <c r="C691" s="234"/>
      <c r="D691" s="234"/>
      <c r="E691" s="235"/>
      <c r="F691" s="232" t="s">
        <v>645</v>
      </c>
      <c r="G691" s="231"/>
      <c r="H691" s="242"/>
      <c r="I691" s="58" t="s">
        <v>10</v>
      </c>
    </row>
    <row r="692" spans="2:9" ht="15.75" customHeight="1" x14ac:dyDescent="0.25">
      <c r="B692" s="106" t="s">
        <v>637</v>
      </c>
      <c r="C692" s="234"/>
      <c r="D692" s="234"/>
      <c r="E692" s="235"/>
      <c r="F692" s="232">
        <v>0</v>
      </c>
      <c r="G692" s="231"/>
      <c r="H692" s="242"/>
      <c r="I692" s="59" t="s">
        <v>10</v>
      </c>
    </row>
    <row r="693" spans="2:9" ht="15.75" customHeight="1" x14ac:dyDescent="0.25">
      <c r="B693" s="106" t="s">
        <v>646</v>
      </c>
      <c r="C693" s="234"/>
      <c r="D693" s="234"/>
      <c r="E693" s="235"/>
      <c r="F693" s="232">
        <v>0</v>
      </c>
      <c r="G693" s="231"/>
      <c r="H693" s="242"/>
      <c r="I693" s="59" t="s">
        <v>10</v>
      </c>
    </row>
    <row r="694" spans="2:9" ht="15.75" customHeight="1" x14ac:dyDescent="0.25">
      <c r="B694" s="120"/>
      <c r="C694" s="234"/>
      <c r="D694" s="234"/>
      <c r="E694" s="235">
        <v>105</v>
      </c>
      <c r="F694" s="232"/>
      <c r="G694" s="231"/>
      <c r="H694" s="242"/>
      <c r="I694" s="171"/>
    </row>
    <row r="695" spans="2:9" ht="15.75" customHeight="1" x14ac:dyDescent="0.25">
      <c r="B695" s="88" t="s">
        <v>647</v>
      </c>
      <c r="C695" s="234"/>
      <c r="D695" s="234"/>
      <c r="E695" s="235">
        <v>106</v>
      </c>
      <c r="F695" s="232"/>
      <c r="G695" s="231"/>
      <c r="H695" s="242"/>
      <c r="I695" s="171"/>
    </row>
    <row r="696" spans="2:9" ht="15.75" customHeight="1" x14ac:dyDescent="0.25">
      <c r="B696" s="88" t="s">
        <v>648</v>
      </c>
      <c r="C696" s="234"/>
      <c r="D696" s="234"/>
      <c r="E696" s="235"/>
      <c r="F696" s="232" t="s">
        <v>649</v>
      </c>
      <c r="G696" s="231"/>
      <c r="H696" s="242"/>
      <c r="I696" s="171" t="s">
        <v>10</v>
      </c>
    </row>
    <row r="697" spans="2:9" ht="15.75" customHeight="1" x14ac:dyDescent="0.25">
      <c r="B697" s="89" t="s">
        <v>95</v>
      </c>
      <c r="C697" s="234"/>
      <c r="D697" s="234"/>
      <c r="E697" s="235"/>
      <c r="F697" s="232" t="s">
        <v>649</v>
      </c>
      <c r="G697" s="231"/>
      <c r="H697" s="242"/>
      <c r="I697" s="171" t="s">
        <v>10</v>
      </c>
    </row>
    <row r="698" spans="2:9" ht="15.75" customHeight="1" x14ac:dyDescent="0.25">
      <c r="B698" s="120" t="s">
        <v>650</v>
      </c>
      <c r="C698" s="234"/>
      <c r="D698" s="234"/>
      <c r="E698" s="235"/>
      <c r="F698" s="232" t="s">
        <v>651</v>
      </c>
      <c r="G698" s="231"/>
      <c r="H698" s="242"/>
      <c r="I698" s="58" t="s">
        <v>10</v>
      </c>
    </row>
    <row r="699" spans="2:9" ht="15.75" customHeight="1" x14ac:dyDescent="0.25">
      <c r="B699" s="120" t="s">
        <v>422</v>
      </c>
      <c r="C699" s="234"/>
      <c r="D699" s="234"/>
      <c r="E699" s="235"/>
      <c r="F699" s="232" t="s">
        <v>652</v>
      </c>
      <c r="G699" s="231"/>
      <c r="H699" s="242"/>
      <c r="I699" s="58" t="s">
        <v>10</v>
      </c>
    </row>
    <row r="700" spans="2:9" ht="15.75" customHeight="1" x14ac:dyDescent="0.25">
      <c r="B700" s="90" t="s">
        <v>653</v>
      </c>
      <c r="C700" s="234"/>
      <c r="D700" s="234"/>
      <c r="E700" s="235"/>
      <c r="F700" s="232" t="s">
        <v>649</v>
      </c>
      <c r="G700" s="231"/>
      <c r="H700" s="242"/>
      <c r="I700" s="171" t="s">
        <v>10</v>
      </c>
    </row>
    <row r="701" spans="2:9" ht="15.75" customHeight="1" x14ac:dyDescent="0.25">
      <c r="B701" s="89" t="s">
        <v>95</v>
      </c>
      <c r="C701" s="234"/>
      <c r="D701" s="234"/>
      <c r="E701" s="235"/>
      <c r="F701" s="232" t="s">
        <v>649</v>
      </c>
      <c r="G701" s="231"/>
      <c r="H701" s="242"/>
      <c r="I701" s="171" t="s">
        <v>10</v>
      </c>
    </row>
    <row r="702" spans="2:9" ht="15.75" customHeight="1" x14ac:dyDescent="0.25">
      <c r="B702" s="120" t="s">
        <v>147</v>
      </c>
      <c r="C702" s="234"/>
      <c r="D702" s="234"/>
      <c r="E702" s="235"/>
      <c r="F702" s="232" t="s">
        <v>651</v>
      </c>
      <c r="G702" s="231"/>
      <c r="H702" s="242"/>
      <c r="I702" s="58" t="s">
        <v>10</v>
      </c>
    </row>
    <row r="703" spans="2:9" ht="15.75" customHeight="1" x14ac:dyDescent="0.25">
      <c r="B703" s="120" t="s">
        <v>422</v>
      </c>
      <c r="C703" s="234"/>
      <c r="D703" s="234"/>
      <c r="E703" s="235"/>
      <c r="F703" s="232" t="s">
        <v>652</v>
      </c>
      <c r="G703" s="231"/>
      <c r="H703" s="242"/>
      <c r="I703" s="58" t="s">
        <v>10</v>
      </c>
    </row>
    <row r="704" spans="2:9" ht="15.75" customHeight="1" x14ac:dyDescent="0.25">
      <c r="B704" s="90" t="s">
        <v>654</v>
      </c>
      <c r="C704" s="234"/>
      <c r="D704" s="234"/>
      <c r="E704" s="235"/>
      <c r="F704" s="232">
        <v>0</v>
      </c>
      <c r="G704" s="231"/>
      <c r="H704" s="242"/>
      <c r="I704" s="171" t="s">
        <v>10</v>
      </c>
    </row>
    <row r="705" spans="2:9" ht="15.75" customHeight="1" x14ac:dyDescent="0.25">
      <c r="B705" s="88"/>
      <c r="C705" s="234"/>
      <c r="D705" s="234"/>
      <c r="E705" s="235">
        <v>107</v>
      </c>
      <c r="F705" s="232"/>
      <c r="G705" s="231"/>
      <c r="H705" s="242"/>
      <c r="I705" s="171"/>
    </row>
    <row r="706" spans="2:9" ht="25.5" customHeight="1" x14ac:dyDescent="0.25">
      <c r="B706" s="88" t="s">
        <v>655</v>
      </c>
      <c r="C706" s="234"/>
      <c r="D706" s="234"/>
      <c r="E706" s="235"/>
      <c r="F706" s="232" t="s">
        <v>656</v>
      </c>
      <c r="G706" s="231"/>
      <c r="H706" s="242"/>
      <c r="I706" s="171" t="s">
        <v>10</v>
      </c>
    </row>
    <row r="707" spans="2:9" ht="25.5" customHeight="1" x14ac:dyDescent="0.25">
      <c r="B707" s="89" t="s">
        <v>95</v>
      </c>
      <c r="C707" s="234"/>
      <c r="D707" s="234"/>
      <c r="E707" s="235"/>
      <c r="F707" s="232" t="s">
        <v>657</v>
      </c>
      <c r="G707" s="231"/>
      <c r="H707" s="242"/>
      <c r="I707" s="171" t="s">
        <v>10</v>
      </c>
    </row>
    <row r="708" spans="2:9" ht="15.75" customHeight="1" x14ac:dyDescent="0.25">
      <c r="B708" s="120" t="s">
        <v>26</v>
      </c>
      <c r="C708" s="234"/>
      <c r="D708" s="234"/>
      <c r="E708" s="235"/>
      <c r="F708" s="232" t="s">
        <v>658</v>
      </c>
      <c r="G708" s="231"/>
      <c r="H708" s="242"/>
      <c r="I708" s="58" t="s">
        <v>10</v>
      </c>
    </row>
    <row r="709" spans="2:9" ht="15.75" customHeight="1" x14ac:dyDescent="0.25">
      <c r="B709" s="120" t="s">
        <v>147</v>
      </c>
      <c r="C709" s="234"/>
      <c r="D709" s="234"/>
      <c r="E709" s="235"/>
      <c r="F709" s="232" t="s">
        <v>659</v>
      </c>
      <c r="G709" s="231"/>
      <c r="H709" s="242"/>
      <c r="I709" s="58" t="s">
        <v>10</v>
      </c>
    </row>
    <row r="710" spans="2:9" ht="15.75" customHeight="1" x14ac:dyDescent="0.25">
      <c r="B710" s="120" t="s">
        <v>235</v>
      </c>
      <c r="C710" s="234"/>
      <c r="D710" s="234"/>
      <c r="E710" s="235"/>
      <c r="F710" s="232" t="s">
        <v>660</v>
      </c>
      <c r="G710" s="231"/>
      <c r="H710" s="242"/>
      <c r="I710" s="58" t="s">
        <v>10</v>
      </c>
    </row>
    <row r="711" spans="2:9" ht="15.75" customHeight="1" x14ac:dyDescent="0.25">
      <c r="B711" s="89" t="s">
        <v>102</v>
      </c>
      <c r="C711" s="234"/>
      <c r="D711" s="234"/>
      <c r="E711" s="235"/>
      <c r="F711" s="232" t="s">
        <v>661</v>
      </c>
      <c r="G711" s="231"/>
      <c r="H711" s="242"/>
      <c r="I711" s="171" t="s">
        <v>10</v>
      </c>
    </row>
    <row r="712" spans="2:9" ht="25.5" customHeight="1" x14ac:dyDescent="0.25">
      <c r="B712" s="90" t="s">
        <v>662</v>
      </c>
      <c r="C712" s="234"/>
      <c r="D712" s="234"/>
      <c r="E712" s="235"/>
      <c r="F712" s="232" t="s">
        <v>663</v>
      </c>
      <c r="G712" s="231"/>
      <c r="H712" s="242"/>
      <c r="I712" s="171" t="s">
        <v>10</v>
      </c>
    </row>
    <row r="713" spans="2:9" ht="25.5" customHeight="1" x14ac:dyDescent="0.25">
      <c r="B713" s="89" t="s">
        <v>95</v>
      </c>
      <c r="C713" s="234"/>
      <c r="D713" s="234"/>
      <c r="E713" s="235"/>
      <c r="F713" s="232" t="s">
        <v>663</v>
      </c>
      <c r="G713" s="231"/>
      <c r="H713" s="242"/>
      <c r="I713" s="171" t="s">
        <v>10</v>
      </c>
    </row>
    <row r="714" spans="2:9" ht="15.75" customHeight="1" x14ac:dyDescent="0.25">
      <c r="B714" s="120" t="s">
        <v>26</v>
      </c>
      <c r="C714" s="234"/>
      <c r="D714" s="234"/>
      <c r="E714" s="235"/>
      <c r="F714" s="232" t="s">
        <v>664</v>
      </c>
      <c r="G714" s="231"/>
      <c r="H714" s="242"/>
      <c r="I714" s="58" t="s">
        <v>10</v>
      </c>
    </row>
    <row r="715" spans="2:9" ht="15.75" customHeight="1" x14ac:dyDescent="0.25">
      <c r="B715" s="120" t="s">
        <v>147</v>
      </c>
      <c r="C715" s="234"/>
      <c r="D715" s="234"/>
      <c r="E715" s="235"/>
      <c r="F715" s="232" t="s">
        <v>659</v>
      </c>
      <c r="G715" s="231"/>
      <c r="H715" s="242"/>
      <c r="I715" s="58" t="s">
        <v>10</v>
      </c>
    </row>
    <row r="716" spans="2:9" ht="15.75" customHeight="1" x14ac:dyDescent="0.25">
      <c r="B716" s="120" t="s">
        <v>235</v>
      </c>
      <c r="C716" s="234"/>
      <c r="D716" s="234"/>
      <c r="E716" s="235"/>
      <c r="F716" s="232" t="s">
        <v>660</v>
      </c>
      <c r="G716" s="231"/>
      <c r="H716" s="242"/>
      <c r="I716" s="58" t="s">
        <v>10</v>
      </c>
    </row>
    <row r="717" spans="2:9" ht="15.75" customHeight="1" x14ac:dyDescent="0.25">
      <c r="B717" s="90" t="s">
        <v>665</v>
      </c>
      <c r="C717" s="234"/>
      <c r="D717" s="234"/>
      <c r="E717" s="235"/>
      <c r="F717" s="232" t="s">
        <v>666</v>
      </c>
      <c r="G717" s="231"/>
      <c r="H717" s="242"/>
      <c r="I717" s="171" t="s">
        <v>10</v>
      </c>
    </row>
    <row r="718" spans="2:9" ht="15.75" customHeight="1" x14ac:dyDescent="0.25">
      <c r="B718" s="89" t="s">
        <v>95</v>
      </c>
      <c r="C718" s="234"/>
      <c r="D718" s="234"/>
      <c r="E718" s="235"/>
      <c r="F718" s="232">
        <v>0</v>
      </c>
      <c r="G718" s="231"/>
      <c r="H718" s="242"/>
      <c r="I718" s="171" t="s">
        <v>10</v>
      </c>
    </row>
    <row r="719" spans="2:9" ht="15.75" customHeight="1" x14ac:dyDescent="0.25">
      <c r="B719" s="120" t="s">
        <v>26</v>
      </c>
      <c r="C719" s="234"/>
      <c r="D719" s="234"/>
      <c r="E719" s="235"/>
      <c r="F719" s="232">
        <v>0</v>
      </c>
      <c r="G719" s="231"/>
      <c r="H719" s="242"/>
      <c r="I719" s="58" t="s">
        <v>10</v>
      </c>
    </row>
    <row r="720" spans="2:9" ht="15.75" customHeight="1" x14ac:dyDescent="0.25">
      <c r="B720" s="89" t="s">
        <v>102</v>
      </c>
      <c r="C720" s="234"/>
      <c r="D720" s="234"/>
      <c r="E720" s="235"/>
      <c r="F720" s="232" t="s">
        <v>661</v>
      </c>
      <c r="G720" s="231"/>
      <c r="H720" s="242"/>
      <c r="I720" s="171" t="s">
        <v>10</v>
      </c>
    </row>
    <row r="721" spans="2:9" ht="15.75" customHeight="1" x14ac:dyDescent="0.25">
      <c r="B721" s="89"/>
      <c r="C721" s="234"/>
      <c r="D721" s="234"/>
      <c r="E721" s="235">
        <v>108</v>
      </c>
      <c r="F721" s="232"/>
      <c r="G721" s="231"/>
      <c r="H721" s="242"/>
      <c r="I721" s="171"/>
    </row>
    <row r="722" spans="2:9" ht="15.75" customHeight="1" x14ac:dyDescent="0.25">
      <c r="B722" s="88" t="s">
        <v>667</v>
      </c>
      <c r="C722" s="234"/>
      <c r="D722" s="234"/>
      <c r="E722" s="235"/>
      <c r="F722" s="232" t="s">
        <v>668</v>
      </c>
      <c r="G722" s="231"/>
      <c r="H722" s="242"/>
      <c r="I722" s="171" t="s">
        <v>10</v>
      </c>
    </row>
    <row r="723" spans="2:9" ht="15.75" customHeight="1" x14ac:dyDescent="0.25">
      <c r="B723" s="89" t="s">
        <v>95</v>
      </c>
      <c r="C723" s="234"/>
      <c r="D723" s="234"/>
      <c r="E723" s="235"/>
      <c r="F723" s="232" t="s">
        <v>668</v>
      </c>
      <c r="G723" s="231"/>
      <c r="H723" s="242"/>
      <c r="I723" s="171" t="s">
        <v>10</v>
      </c>
    </row>
    <row r="724" spans="2:9" ht="15.75" customHeight="1" x14ac:dyDescent="0.25">
      <c r="B724" s="120" t="s">
        <v>26</v>
      </c>
      <c r="C724" s="234"/>
      <c r="D724" s="234"/>
      <c r="E724" s="235"/>
      <c r="F724" s="232" t="s">
        <v>668</v>
      </c>
      <c r="G724" s="231"/>
      <c r="H724" s="242"/>
      <c r="I724" s="58" t="s">
        <v>10</v>
      </c>
    </row>
    <row r="725" spans="2:9" ht="15.75" customHeight="1" x14ac:dyDescent="0.25">
      <c r="B725" s="90" t="s">
        <v>669</v>
      </c>
      <c r="C725" s="234"/>
      <c r="D725" s="234"/>
      <c r="E725" s="235"/>
      <c r="F725" s="232" t="s">
        <v>668</v>
      </c>
      <c r="G725" s="231"/>
      <c r="H725" s="242"/>
      <c r="I725" s="171" t="s">
        <v>10</v>
      </c>
    </row>
    <row r="726" spans="2:9" ht="15.75" customHeight="1" x14ac:dyDescent="0.25">
      <c r="B726" s="89" t="s">
        <v>95</v>
      </c>
      <c r="C726" s="234"/>
      <c r="D726" s="234"/>
      <c r="E726" s="235"/>
      <c r="F726" s="232" t="s">
        <v>668</v>
      </c>
      <c r="G726" s="231"/>
      <c r="H726" s="242"/>
      <c r="I726" s="171" t="s">
        <v>10</v>
      </c>
    </row>
    <row r="727" spans="2:9" ht="15.75" customHeight="1" x14ac:dyDescent="0.25">
      <c r="B727" s="120" t="s">
        <v>26</v>
      </c>
      <c r="C727" s="234"/>
      <c r="D727" s="234"/>
      <c r="E727" s="235"/>
      <c r="F727" s="232" t="s">
        <v>668</v>
      </c>
      <c r="G727" s="231"/>
      <c r="H727" s="242"/>
      <c r="I727" s="58" t="s">
        <v>10</v>
      </c>
    </row>
    <row r="728" spans="2:9" ht="15.75" customHeight="1" x14ac:dyDescent="0.25">
      <c r="B728" s="90" t="s">
        <v>670</v>
      </c>
      <c r="C728" s="234"/>
      <c r="D728" s="234"/>
      <c r="E728" s="235"/>
      <c r="F728" s="232">
        <v>0</v>
      </c>
      <c r="G728" s="231"/>
      <c r="H728" s="242"/>
      <c r="I728" s="171" t="s">
        <v>10</v>
      </c>
    </row>
    <row r="729" spans="2:9" ht="15.75" customHeight="1" x14ac:dyDescent="0.25">
      <c r="B729" s="88"/>
      <c r="C729" s="234"/>
      <c r="D729" s="234"/>
      <c r="E729" s="235">
        <v>109</v>
      </c>
      <c r="F729" s="232"/>
      <c r="G729" s="231"/>
      <c r="H729" s="242"/>
      <c r="I729" s="171"/>
    </row>
    <row r="730" spans="2:9" ht="25.5" customHeight="1" x14ac:dyDescent="0.25">
      <c r="B730" s="88" t="s">
        <v>671</v>
      </c>
      <c r="C730" s="234"/>
      <c r="D730" s="234"/>
      <c r="E730" s="235"/>
      <c r="F730" s="232" t="s">
        <v>672</v>
      </c>
      <c r="G730" s="231"/>
      <c r="H730" s="242"/>
      <c r="I730" s="171" t="s">
        <v>10</v>
      </c>
    </row>
    <row r="731" spans="2:9" ht="25.5" customHeight="1" x14ac:dyDescent="0.25">
      <c r="B731" s="89" t="s">
        <v>95</v>
      </c>
      <c r="C731" s="234"/>
      <c r="D731" s="234"/>
      <c r="E731" s="235"/>
      <c r="F731" s="232" t="s">
        <v>672</v>
      </c>
      <c r="G731" s="231"/>
      <c r="H731" s="242"/>
      <c r="I731" s="171" t="s">
        <v>10</v>
      </c>
    </row>
    <row r="732" spans="2:9" ht="15.75" customHeight="1" x14ac:dyDescent="0.25">
      <c r="B732" s="120" t="s">
        <v>26</v>
      </c>
      <c r="C732" s="234"/>
      <c r="D732" s="234"/>
      <c r="E732" s="235"/>
      <c r="F732" s="232" t="s">
        <v>673</v>
      </c>
      <c r="G732" s="231"/>
      <c r="H732" s="242"/>
      <c r="I732" s="58" t="s">
        <v>10</v>
      </c>
    </row>
    <row r="733" spans="2:9" ht="15.75" customHeight="1" x14ac:dyDescent="0.25">
      <c r="B733" s="120" t="s">
        <v>147</v>
      </c>
      <c r="C733" s="234"/>
      <c r="D733" s="234"/>
      <c r="E733" s="235"/>
      <c r="F733" s="232" t="s">
        <v>674</v>
      </c>
      <c r="G733" s="231"/>
      <c r="H733" s="242"/>
      <c r="I733" s="58" t="s">
        <v>10</v>
      </c>
    </row>
    <row r="734" spans="2:9" ht="15.75" customHeight="1" x14ac:dyDescent="0.25">
      <c r="B734" s="120" t="s">
        <v>235</v>
      </c>
      <c r="C734" s="234"/>
      <c r="D734" s="234"/>
      <c r="E734" s="235"/>
      <c r="F734" s="232" t="s">
        <v>675</v>
      </c>
      <c r="G734" s="231"/>
      <c r="H734" s="242"/>
      <c r="I734" s="58" t="s">
        <v>10</v>
      </c>
    </row>
    <row r="735" spans="2:9" ht="25.5" customHeight="1" x14ac:dyDescent="0.25">
      <c r="B735" s="90" t="s">
        <v>676</v>
      </c>
      <c r="C735" s="234"/>
      <c r="D735" s="234"/>
      <c r="E735" s="235"/>
      <c r="F735" s="232" t="s">
        <v>677</v>
      </c>
      <c r="G735" s="231"/>
      <c r="H735" s="242"/>
      <c r="I735" s="171" t="s">
        <v>10</v>
      </c>
    </row>
    <row r="736" spans="2:9" ht="25.5" customHeight="1" x14ac:dyDescent="0.25">
      <c r="B736" s="89" t="s">
        <v>95</v>
      </c>
      <c r="C736" s="234"/>
      <c r="D736" s="234"/>
      <c r="E736" s="235"/>
      <c r="F736" s="232" t="s">
        <v>677</v>
      </c>
      <c r="G736" s="231"/>
      <c r="H736" s="242"/>
      <c r="I736" s="171" t="s">
        <v>10</v>
      </c>
    </row>
    <row r="737" spans="2:9" ht="15.75" customHeight="1" x14ac:dyDescent="0.25">
      <c r="B737" s="120" t="s">
        <v>26</v>
      </c>
      <c r="C737" s="234"/>
      <c r="D737" s="234"/>
      <c r="E737" s="235"/>
      <c r="F737" s="232" t="s">
        <v>678</v>
      </c>
      <c r="G737" s="231"/>
      <c r="H737" s="242"/>
      <c r="I737" s="58" t="s">
        <v>10</v>
      </c>
    </row>
    <row r="738" spans="2:9" ht="15.75" customHeight="1" x14ac:dyDescent="0.25">
      <c r="B738" s="120" t="s">
        <v>147</v>
      </c>
      <c r="C738" s="234"/>
      <c r="D738" s="234"/>
      <c r="E738" s="235"/>
      <c r="F738" s="232" t="s">
        <v>679</v>
      </c>
      <c r="G738" s="231"/>
      <c r="H738" s="242"/>
      <c r="I738" s="58" t="s">
        <v>10</v>
      </c>
    </row>
    <row r="739" spans="2:9" ht="15.75" customHeight="1" x14ac:dyDescent="0.25">
      <c r="B739" s="120" t="s">
        <v>680</v>
      </c>
      <c r="C739" s="234"/>
      <c r="D739" s="234"/>
      <c r="E739" s="235"/>
      <c r="F739" s="232" t="s">
        <v>675</v>
      </c>
      <c r="G739" s="231"/>
      <c r="H739" s="242"/>
      <c r="I739" s="58" t="s">
        <v>10</v>
      </c>
    </row>
    <row r="740" spans="2:9" ht="15.75" customHeight="1" x14ac:dyDescent="0.25">
      <c r="B740" s="90" t="s">
        <v>681</v>
      </c>
      <c r="C740" s="234"/>
      <c r="D740" s="234"/>
      <c r="E740" s="235"/>
      <c r="F740" s="232" t="s">
        <v>645</v>
      </c>
      <c r="G740" s="231"/>
      <c r="H740" s="242"/>
      <c r="I740" s="171" t="s">
        <v>10</v>
      </c>
    </row>
    <row r="741" spans="2:9" ht="15.75" customHeight="1" x14ac:dyDescent="0.25">
      <c r="B741" s="89" t="s">
        <v>682</v>
      </c>
      <c r="C741" s="234"/>
      <c r="D741" s="234"/>
      <c r="E741" s="235"/>
      <c r="F741" s="232">
        <v>0</v>
      </c>
      <c r="G741" s="231"/>
      <c r="H741" s="242"/>
      <c r="I741" s="171" t="s">
        <v>10</v>
      </c>
    </row>
    <row r="742" spans="2:9" ht="15.75" customHeight="1" x14ac:dyDescent="0.25">
      <c r="B742" s="120" t="s">
        <v>147</v>
      </c>
      <c r="C742" s="234"/>
      <c r="D742" s="234"/>
      <c r="E742" s="235"/>
      <c r="F742" s="232">
        <v>0</v>
      </c>
      <c r="G742" s="231"/>
      <c r="H742" s="242"/>
      <c r="I742" s="58" t="s">
        <v>10</v>
      </c>
    </row>
    <row r="743" spans="2:9" ht="15.75" customHeight="1" x14ac:dyDescent="0.25">
      <c r="B743" s="89" t="s">
        <v>95</v>
      </c>
      <c r="C743" s="234"/>
      <c r="D743" s="234"/>
      <c r="E743" s="235"/>
      <c r="F743" s="232">
        <v>0</v>
      </c>
      <c r="G743" s="231"/>
      <c r="H743" s="242"/>
      <c r="I743" s="171" t="s">
        <v>10</v>
      </c>
    </row>
    <row r="744" spans="2:9" ht="15.75" customHeight="1" x14ac:dyDescent="0.25">
      <c r="B744" s="120" t="s">
        <v>26</v>
      </c>
      <c r="C744" s="234"/>
      <c r="D744" s="234"/>
      <c r="E744" s="235"/>
      <c r="F744" s="232">
        <v>0</v>
      </c>
      <c r="G744" s="231"/>
      <c r="H744" s="242"/>
      <c r="I744" s="58" t="s">
        <v>10</v>
      </c>
    </row>
    <row r="745" spans="2:9" ht="15.75" customHeight="1" x14ac:dyDescent="0.25">
      <c r="B745" s="89"/>
      <c r="C745" s="234"/>
      <c r="D745" s="234"/>
      <c r="E745" s="235">
        <v>110</v>
      </c>
      <c r="F745" s="232"/>
      <c r="G745" s="231"/>
      <c r="H745" s="242"/>
      <c r="I745" s="171"/>
    </row>
    <row r="746" spans="2:9" ht="15.75" customHeight="1" x14ac:dyDescent="0.25">
      <c r="B746" s="88" t="s">
        <v>683</v>
      </c>
      <c r="C746" s="234"/>
      <c r="D746" s="234"/>
      <c r="E746" s="235"/>
      <c r="F746" s="232" t="s">
        <v>684</v>
      </c>
      <c r="G746" s="231"/>
      <c r="H746" s="242"/>
      <c r="I746" s="171" t="s">
        <v>10</v>
      </c>
    </row>
    <row r="747" spans="2:9" ht="15.75" customHeight="1" x14ac:dyDescent="0.25">
      <c r="B747" s="89" t="s">
        <v>95</v>
      </c>
      <c r="C747" s="234"/>
      <c r="D747" s="234"/>
      <c r="E747" s="235"/>
      <c r="F747" s="232" t="s">
        <v>684</v>
      </c>
      <c r="G747" s="231"/>
      <c r="H747" s="242"/>
      <c r="I747" s="171" t="s">
        <v>10</v>
      </c>
    </row>
    <row r="748" spans="2:9" ht="15.75" customHeight="1" x14ac:dyDescent="0.25">
      <c r="B748" s="120" t="s">
        <v>26</v>
      </c>
      <c r="C748" s="234"/>
      <c r="D748" s="234"/>
      <c r="E748" s="235"/>
      <c r="F748" s="232" t="s">
        <v>684</v>
      </c>
      <c r="G748" s="231"/>
      <c r="H748" s="242"/>
      <c r="I748" s="58" t="s">
        <v>10</v>
      </c>
    </row>
    <row r="749" spans="2:9" ht="15.75" customHeight="1" x14ac:dyDescent="0.25">
      <c r="B749" s="90" t="s">
        <v>685</v>
      </c>
      <c r="C749" s="234"/>
      <c r="D749" s="234"/>
      <c r="E749" s="235"/>
      <c r="F749" s="232" t="s">
        <v>686</v>
      </c>
      <c r="G749" s="231"/>
      <c r="H749" s="242"/>
      <c r="I749" s="171" t="s">
        <v>10</v>
      </c>
    </row>
    <row r="750" spans="2:9" ht="15.75" customHeight="1" x14ac:dyDescent="0.25">
      <c r="B750" s="89" t="s">
        <v>95</v>
      </c>
      <c r="C750" s="234"/>
      <c r="D750" s="234"/>
      <c r="E750" s="235"/>
      <c r="F750" s="232" t="s">
        <v>686</v>
      </c>
      <c r="G750" s="231"/>
      <c r="H750" s="242"/>
      <c r="I750" s="171" t="s">
        <v>10</v>
      </c>
    </row>
    <row r="751" spans="2:9" ht="15.75" customHeight="1" x14ac:dyDescent="0.25">
      <c r="B751" s="120" t="s">
        <v>26</v>
      </c>
      <c r="C751" s="234"/>
      <c r="D751" s="234"/>
      <c r="E751" s="235"/>
      <c r="F751" s="232" t="s">
        <v>686</v>
      </c>
      <c r="G751" s="231"/>
      <c r="H751" s="242"/>
      <c r="I751" s="58" t="s">
        <v>10</v>
      </c>
    </row>
    <row r="752" spans="2:9" ht="15.75" customHeight="1" x14ac:dyDescent="0.25">
      <c r="B752" s="90" t="s">
        <v>687</v>
      </c>
      <c r="C752" s="234"/>
      <c r="D752" s="234"/>
      <c r="E752" s="235"/>
      <c r="F752" s="232">
        <v>0</v>
      </c>
      <c r="G752" s="231"/>
      <c r="H752" s="242"/>
      <c r="I752" s="171" t="s">
        <v>10</v>
      </c>
    </row>
    <row r="753" spans="2:9" ht="15.75" customHeight="1" x14ac:dyDescent="0.25">
      <c r="B753" s="89" t="s">
        <v>95</v>
      </c>
      <c r="C753" s="234"/>
      <c r="D753" s="234"/>
      <c r="E753" s="235"/>
      <c r="F753" s="232">
        <v>0</v>
      </c>
      <c r="G753" s="231"/>
      <c r="H753" s="242"/>
      <c r="I753" s="171" t="s">
        <v>10</v>
      </c>
    </row>
    <row r="754" spans="2:9" ht="15.75" customHeight="1" x14ac:dyDescent="0.25">
      <c r="B754" s="120" t="s">
        <v>26</v>
      </c>
      <c r="C754" s="234"/>
      <c r="D754" s="234"/>
      <c r="E754" s="235"/>
      <c r="F754" s="232">
        <v>0</v>
      </c>
      <c r="G754" s="231"/>
      <c r="H754" s="242"/>
      <c r="I754" s="58" t="s">
        <v>10</v>
      </c>
    </row>
    <row r="755" spans="2:9" ht="15.75" customHeight="1" x14ac:dyDescent="0.25">
      <c r="B755" s="89"/>
      <c r="C755" s="234"/>
      <c r="D755" s="234"/>
      <c r="E755" s="235">
        <v>111</v>
      </c>
      <c r="F755" s="232"/>
      <c r="G755" s="231"/>
      <c r="H755" s="242"/>
      <c r="I755" s="171"/>
    </row>
    <row r="756" spans="2:9" ht="15.75" customHeight="1" x14ac:dyDescent="0.25">
      <c r="B756" s="88" t="s">
        <v>688</v>
      </c>
      <c r="C756" s="234"/>
      <c r="D756" s="234"/>
      <c r="E756" s="235"/>
      <c r="F756" s="232" t="s">
        <v>689</v>
      </c>
      <c r="G756" s="231"/>
      <c r="H756" s="242"/>
      <c r="I756" s="171" t="s">
        <v>10</v>
      </c>
    </row>
    <row r="757" spans="2:9" ht="15.75" customHeight="1" x14ac:dyDescent="0.25">
      <c r="B757" s="89" t="s">
        <v>95</v>
      </c>
      <c r="C757" s="234"/>
      <c r="D757" s="234"/>
      <c r="E757" s="235"/>
      <c r="F757" s="232" t="s">
        <v>689</v>
      </c>
      <c r="G757" s="231"/>
      <c r="H757" s="242"/>
      <c r="I757" s="171" t="s">
        <v>10</v>
      </c>
    </row>
    <row r="758" spans="2:9" ht="15.75" customHeight="1" x14ac:dyDescent="0.25">
      <c r="B758" s="120" t="s">
        <v>26</v>
      </c>
      <c r="C758" s="234"/>
      <c r="D758" s="234"/>
      <c r="E758" s="235"/>
      <c r="F758" s="232" t="s">
        <v>689</v>
      </c>
      <c r="G758" s="231"/>
      <c r="H758" s="242"/>
      <c r="I758" s="58" t="s">
        <v>10</v>
      </c>
    </row>
    <row r="759" spans="2:9" ht="15.75" customHeight="1" x14ac:dyDescent="0.25">
      <c r="B759" s="90" t="s">
        <v>690</v>
      </c>
      <c r="C759" s="234"/>
      <c r="D759" s="234"/>
      <c r="E759" s="235"/>
      <c r="F759" s="232" t="s">
        <v>691</v>
      </c>
      <c r="G759" s="231"/>
      <c r="H759" s="242"/>
      <c r="I759" s="171" t="s">
        <v>10</v>
      </c>
    </row>
    <row r="760" spans="2:9" ht="15.75" customHeight="1" x14ac:dyDescent="0.25">
      <c r="B760" s="89" t="s">
        <v>95</v>
      </c>
      <c r="C760" s="234"/>
      <c r="D760" s="234"/>
      <c r="E760" s="235"/>
      <c r="F760" s="232" t="s">
        <v>691</v>
      </c>
      <c r="G760" s="231"/>
      <c r="H760" s="242"/>
      <c r="I760" s="171" t="s">
        <v>10</v>
      </c>
    </row>
    <row r="761" spans="2:9" ht="15.75" customHeight="1" x14ac:dyDescent="0.25">
      <c r="B761" s="120" t="s">
        <v>26</v>
      </c>
      <c r="C761" s="234"/>
      <c r="D761" s="234"/>
      <c r="E761" s="235"/>
      <c r="F761" s="232" t="s">
        <v>691</v>
      </c>
      <c r="G761" s="231"/>
      <c r="H761" s="242"/>
      <c r="I761" s="58" t="s">
        <v>10</v>
      </c>
    </row>
    <row r="762" spans="2:9" ht="15.75" customHeight="1" x14ac:dyDescent="0.25">
      <c r="B762" s="90" t="s">
        <v>692</v>
      </c>
      <c r="C762" s="234"/>
      <c r="D762" s="234"/>
      <c r="E762" s="235"/>
      <c r="F762" s="232">
        <v>0</v>
      </c>
      <c r="G762" s="231"/>
      <c r="H762" s="242"/>
      <c r="I762" s="171" t="s">
        <v>10</v>
      </c>
    </row>
    <row r="763" spans="2:9" ht="15.75" customHeight="1" x14ac:dyDescent="0.25">
      <c r="B763" s="89" t="s">
        <v>95</v>
      </c>
      <c r="C763" s="234"/>
      <c r="D763" s="234"/>
      <c r="E763" s="235"/>
      <c r="F763" s="232">
        <v>0</v>
      </c>
      <c r="G763" s="231"/>
      <c r="H763" s="242"/>
      <c r="I763" s="171" t="s">
        <v>10</v>
      </c>
    </row>
    <row r="764" spans="2:9" ht="15.75" customHeight="1" x14ac:dyDescent="0.25">
      <c r="B764" s="120" t="s">
        <v>26</v>
      </c>
      <c r="C764" s="234"/>
      <c r="D764" s="234"/>
      <c r="E764" s="235"/>
      <c r="F764" s="232">
        <v>0</v>
      </c>
      <c r="G764" s="231"/>
      <c r="H764" s="242"/>
      <c r="I764" s="58" t="s">
        <v>10</v>
      </c>
    </row>
    <row r="765" spans="2:9" ht="15.75" customHeight="1" x14ac:dyDescent="0.25">
      <c r="B765" s="202"/>
      <c r="C765" s="234"/>
      <c r="D765" s="234"/>
      <c r="E765" s="235">
        <v>112</v>
      </c>
      <c r="F765" s="232"/>
      <c r="G765" s="231"/>
      <c r="H765" s="242"/>
      <c r="I765" s="171"/>
    </row>
    <row r="766" spans="2:9" ht="25.5" customHeight="1" x14ac:dyDescent="0.25">
      <c r="B766" s="88" t="s">
        <v>693</v>
      </c>
      <c r="C766" s="234"/>
      <c r="D766" s="234"/>
      <c r="E766" s="235"/>
      <c r="F766" s="232" t="s">
        <v>694</v>
      </c>
      <c r="G766" s="231"/>
      <c r="H766" s="242"/>
      <c r="I766" s="171" t="s">
        <v>10</v>
      </c>
    </row>
    <row r="767" spans="2:9" ht="25.5" customHeight="1" x14ac:dyDescent="0.25">
      <c r="B767" s="89" t="s">
        <v>95</v>
      </c>
      <c r="C767" s="234"/>
      <c r="D767" s="234"/>
      <c r="E767" s="235"/>
      <c r="F767" s="232" t="s">
        <v>695</v>
      </c>
      <c r="G767" s="231"/>
      <c r="H767" s="242"/>
      <c r="I767" s="171" t="s">
        <v>10</v>
      </c>
    </row>
    <row r="768" spans="2:9" ht="25.5" customHeight="1" x14ac:dyDescent="0.25">
      <c r="B768" s="120" t="s">
        <v>28</v>
      </c>
      <c r="C768" s="234"/>
      <c r="D768" s="234"/>
      <c r="E768" s="235"/>
      <c r="F768" s="232" t="s">
        <v>695</v>
      </c>
      <c r="G768" s="231"/>
      <c r="H768" s="242"/>
      <c r="I768" s="171" t="s">
        <v>10</v>
      </c>
    </row>
    <row r="769" spans="2:9" ht="15.75" customHeight="1" x14ac:dyDescent="0.25">
      <c r="B769" s="89" t="s">
        <v>315</v>
      </c>
      <c r="C769" s="234"/>
      <c r="D769" s="234"/>
      <c r="E769" s="235"/>
      <c r="F769" s="232" t="s">
        <v>696</v>
      </c>
      <c r="G769" s="231"/>
      <c r="H769" s="242"/>
      <c r="I769" s="171" t="s">
        <v>10</v>
      </c>
    </row>
    <row r="770" spans="2:9" ht="15.75" customHeight="1" x14ac:dyDescent="0.25">
      <c r="B770" s="120" t="s">
        <v>317</v>
      </c>
      <c r="C770" s="234"/>
      <c r="D770" s="234"/>
      <c r="E770" s="235"/>
      <c r="F770" s="232" t="s">
        <v>696</v>
      </c>
      <c r="G770" s="231"/>
      <c r="H770" s="242"/>
      <c r="I770" s="171" t="s">
        <v>10</v>
      </c>
    </row>
    <row r="771" spans="2:9" ht="15.75" customHeight="1" x14ac:dyDescent="0.25">
      <c r="B771" s="90" t="s">
        <v>697</v>
      </c>
      <c r="C771" s="234"/>
      <c r="D771" s="234"/>
      <c r="E771" s="235"/>
      <c r="F771" s="232" t="s">
        <v>696</v>
      </c>
      <c r="G771" s="231"/>
      <c r="H771" s="242"/>
      <c r="I771" s="171" t="s">
        <v>10</v>
      </c>
    </row>
    <row r="772" spans="2:9" ht="15.75" customHeight="1" x14ac:dyDescent="0.25">
      <c r="B772" s="89" t="s">
        <v>315</v>
      </c>
      <c r="C772" s="234"/>
      <c r="D772" s="234"/>
      <c r="E772" s="235"/>
      <c r="F772" s="232" t="s">
        <v>696</v>
      </c>
      <c r="G772" s="231"/>
      <c r="H772" s="242"/>
      <c r="I772" s="171" t="s">
        <v>10</v>
      </c>
    </row>
    <row r="773" spans="2:9" ht="15.75" customHeight="1" x14ac:dyDescent="0.25">
      <c r="B773" s="120" t="s">
        <v>317</v>
      </c>
      <c r="C773" s="234"/>
      <c r="D773" s="234"/>
      <c r="E773" s="235"/>
      <c r="F773" s="232" t="s">
        <v>696</v>
      </c>
      <c r="G773" s="231"/>
      <c r="H773" s="242"/>
      <c r="I773" s="171" t="s">
        <v>10</v>
      </c>
    </row>
    <row r="774" spans="2:9" ht="15.75" customHeight="1" x14ac:dyDescent="0.25">
      <c r="B774" s="90" t="s">
        <v>698</v>
      </c>
      <c r="C774" s="234"/>
      <c r="D774" s="234"/>
      <c r="E774" s="235">
        <v>113</v>
      </c>
      <c r="F774" s="232"/>
      <c r="G774" s="231"/>
      <c r="H774" s="242"/>
      <c r="I774" s="171"/>
    </row>
    <row r="775" spans="2:9" ht="25.5" customHeight="1" x14ac:dyDescent="0.25">
      <c r="B775" s="89" t="s">
        <v>95</v>
      </c>
      <c r="C775" s="234"/>
      <c r="D775" s="234"/>
      <c r="E775" s="235"/>
      <c r="F775" s="232" t="s">
        <v>695</v>
      </c>
      <c r="G775" s="231"/>
      <c r="H775" s="242"/>
      <c r="I775" s="171" t="s">
        <v>10</v>
      </c>
    </row>
    <row r="776" spans="2:9" ht="25.5" customHeight="1" x14ac:dyDescent="0.25">
      <c r="B776" s="120" t="s">
        <v>28</v>
      </c>
      <c r="C776" s="234"/>
      <c r="D776" s="234"/>
      <c r="E776" s="235"/>
      <c r="F776" s="232" t="s">
        <v>695</v>
      </c>
      <c r="G776" s="231"/>
      <c r="H776" s="242"/>
      <c r="I776" s="58" t="s">
        <v>10</v>
      </c>
    </row>
    <row r="777" spans="2:9" ht="15.75" customHeight="1" x14ac:dyDescent="0.25">
      <c r="B777" s="106" t="s">
        <v>82</v>
      </c>
      <c r="C777" s="234"/>
      <c r="D777" s="234"/>
      <c r="E777" s="235"/>
      <c r="F777" s="232" t="s">
        <v>699</v>
      </c>
      <c r="G777" s="231"/>
      <c r="H777" s="242"/>
      <c r="I777" s="171" t="s">
        <v>10</v>
      </c>
    </row>
    <row r="778" spans="2:9" ht="15.75" customHeight="1" x14ac:dyDescent="0.25">
      <c r="B778" s="106" t="s">
        <v>52</v>
      </c>
      <c r="C778" s="234"/>
      <c r="D778" s="234"/>
      <c r="E778" s="235"/>
      <c r="F778" s="232" t="s">
        <v>700</v>
      </c>
      <c r="G778" s="231"/>
      <c r="H778" s="242"/>
      <c r="I778" s="171" t="s">
        <v>10</v>
      </c>
    </row>
    <row r="779" spans="2:9" ht="15.75" customHeight="1" x14ac:dyDescent="0.25">
      <c r="B779" s="76" t="s">
        <v>85</v>
      </c>
      <c r="C779" s="234"/>
      <c r="D779" s="234"/>
      <c r="E779" s="235"/>
      <c r="F779" s="232" t="s">
        <v>701</v>
      </c>
      <c r="G779" s="231"/>
      <c r="H779" s="242"/>
      <c r="I779" s="171" t="s">
        <v>10</v>
      </c>
    </row>
    <row r="780" spans="2:9" ht="15.75" customHeight="1" x14ac:dyDescent="0.25">
      <c r="B780" s="106"/>
      <c r="C780" s="234"/>
      <c r="D780" s="234"/>
      <c r="E780" s="235">
        <v>114</v>
      </c>
      <c r="F780" s="232"/>
      <c r="G780" s="231"/>
      <c r="H780" s="242"/>
      <c r="I780" s="171"/>
    </row>
    <row r="781" spans="2:9" ht="25.5" customHeight="1" x14ac:dyDescent="0.25">
      <c r="B781" s="114" t="s">
        <v>702</v>
      </c>
      <c r="C781" s="234"/>
      <c r="D781" s="234"/>
      <c r="E781" s="235"/>
      <c r="F781" s="232" t="s">
        <v>703</v>
      </c>
      <c r="G781" s="231"/>
      <c r="H781" s="242"/>
      <c r="I781" s="115" t="s">
        <v>704</v>
      </c>
    </row>
    <row r="782" spans="2:9" ht="25.5" customHeight="1" x14ac:dyDescent="0.25">
      <c r="B782" s="88"/>
      <c r="C782" s="234"/>
      <c r="D782" s="234"/>
      <c r="E782" s="235"/>
      <c r="F782" s="232" t="s">
        <v>705</v>
      </c>
      <c r="G782" s="231"/>
      <c r="H782" s="242"/>
      <c r="I782" s="171" t="s">
        <v>706</v>
      </c>
    </row>
    <row r="783" spans="2:9" ht="15.75" customHeight="1" x14ac:dyDescent="0.25">
      <c r="B783" s="89" t="s">
        <v>95</v>
      </c>
      <c r="C783" s="234"/>
      <c r="D783" s="234"/>
      <c r="E783" s="235"/>
      <c r="F783" s="232" t="s">
        <v>707</v>
      </c>
      <c r="G783" s="231"/>
      <c r="H783" s="242"/>
      <c r="I783" s="171" t="s">
        <v>704</v>
      </c>
    </row>
    <row r="784" spans="2:9" ht="15.75" customHeight="1" x14ac:dyDescent="0.25">
      <c r="B784" s="116" t="s">
        <v>28</v>
      </c>
      <c r="C784" s="234"/>
      <c r="D784" s="234"/>
      <c r="E784" s="235"/>
      <c r="F784" s="232" t="s">
        <v>707</v>
      </c>
      <c r="G784" s="231"/>
      <c r="H784" s="242"/>
      <c r="I784" s="117" t="s">
        <v>704</v>
      </c>
    </row>
    <row r="785" spans="2:9" ht="15.75" customHeight="1" x14ac:dyDescent="0.25">
      <c r="B785" s="120"/>
      <c r="C785" s="234"/>
      <c r="D785" s="234"/>
      <c r="E785" s="235"/>
      <c r="F785" s="232" t="s">
        <v>708</v>
      </c>
      <c r="G785" s="231"/>
      <c r="H785" s="242"/>
      <c r="I785" s="97" t="s">
        <v>706</v>
      </c>
    </row>
    <row r="786" spans="2:9" ht="15.75" customHeight="1" x14ac:dyDescent="0.25">
      <c r="B786" s="89" t="s">
        <v>32</v>
      </c>
      <c r="C786" s="234"/>
      <c r="D786" s="234"/>
      <c r="E786" s="235"/>
      <c r="F786" s="232" t="s">
        <v>709</v>
      </c>
      <c r="G786" s="231"/>
      <c r="H786" s="242"/>
      <c r="I786" s="171" t="s">
        <v>704</v>
      </c>
    </row>
    <row r="787" spans="2:9" ht="15.75" customHeight="1" x14ac:dyDescent="0.25">
      <c r="B787" s="116" t="s">
        <v>710</v>
      </c>
      <c r="C787" s="234"/>
      <c r="D787" s="234"/>
      <c r="E787" s="235"/>
      <c r="F787" s="232" t="s">
        <v>709</v>
      </c>
      <c r="G787" s="231"/>
      <c r="H787" s="242"/>
      <c r="I787" s="117" t="s">
        <v>704</v>
      </c>
    </row>
    <row r="788" spans="2:9" ht="15.75" customHeight="1" x14ac:dyDescent="0.25">
      <c r="B788" s="120"/>
      <c r="C788" s="234"/>
      <c r="D788" s="234"/>
      <c r="E788" s="235"/>
      <c r="F788" s="232" t="s">
        <v>711</v>
      </c>
      <c r="G788" s="231"/>
      <c r="H788" s="242"/>
      <c r="I788" s="97" t="s">
        <v>706</v>
      </c>
    </row>
    <row r="789" spans="2:9" ht="15.75" customHeight="1" x14ac:dyDescent="0.25">
      <c r="B789" s="90" t="s">
        <v>712</v>
      </c>
      <c r="C789" s="234"/>
      <c r="D789" s="234"/>
      <c r="E789" s="235"/>
      <c r="F789" s="232" t="s">
        <v>713</v>
      </c>
      <c r="G789" s="231"/>
      <c r="H789" s="242"/>
      <c r="I789" s="171" t="s">
        <v>704</v>
      </c>
    </row>
    <row r="790" spans="2:9" ht="15.75" customHeight="1" x14ac:dyDescent="0.25">
      <c r="B790" s="89" t="s">
        <v>32</v>
      </c>
      <c r="C790" s="234"/>
      <c r="D790" s="234"/>
      <c r="E790" s="235"/>
      <c r="F790" s="232" t="s">
        <v>713</v>
      </c>
      <c r="G790" s="231"/>
      <c r="H790" s="242"/>
      <c r="I790" s="171" t="s">
        <v>704</v>
      </c>
    </row>
    <row r="791" spans="2:9" ht="15.75" customHeight="1" x14ac:dyDescent="0.25">
      <c r="B791" s="120" t="s">
        <v>710</v>
      </c>
      <c r="C791" s="234"/>
      <c r="D791" s="234"/>
      <c r="E791" s="235"/>
      <c r="F791" s="232" t="s">
        <v>713</v>
      </c>
      <c r="G791" s="231"/>
      <c r="H791" s="242"/>
      <c r="I791" s="58" t="s">
        <v>704</v>
      </c>
    </row>
    <row r="792" spans="2:9" ht="15.75" customHeight="1" x14ac:dyDescent="0.25">
      <c r="B792" s="121" t="s">
        <v>714</v>
      </c>
      <c r="C792" s="234"/>
      <c r="D792" s="234"/>
      <c r="E792" s="235"/>
      <c r="F792" s="232" t="s">
        <v>713</v>
      </c>
      <c r="G792" s="231"/>
      <c r="H792" s="242"/>
      <c r="I792" s="118" t="s">
        <v>704</v>
      </c>
    </row>
    <row r="793" spans="2:9" ht="15.75" customHeight="1" x14ac:dyDescent="0.25">
      <c r="B793" s="121"/>
      <c r="C793" s="234"/>
      <c r="D793" s="234"/>
      <c r="E793" s="235"/>
      <c r="F793" s="232" t="s">
        <v>715</v>
      </c>
      <c r="G793" s="231"/>
      <c r="H793" s="242"/>
      <c r="I793" s="119" t="s">
        <v>706</v>
      </c>
    </row>
    <row r="794" spans="2:9" ht="25.5" customHeight="1" x14ac:dyDescent="0.25">
      <c r="B794" s="90" t="s">
        <v>716</v>
      </c>
      <c r="C794" s="234"/>
      <c r="D794" s="234"/>
      <c r="E794" s="235"/>
      <c r="F794" s="232" t="s">
        <v>717</v>
      </c>
      <c r="G794" s="231"/>
      <c r="H794" s="242"/>
      <c r="I794" s="171" t="s">
        <v>704</v>
      </c>
    </row>
    <row r="795" spans="2:9" ht="15.75" customHeight="1" x14ac:dyDescent="0.25">
      <c r="B795" s="89" t="s">
        <v>95</v>
      </c>
      <c r="C795" s="234"/>
      <c r="D795" s="234"/>
      <c r="E795" s="235"/>
      <c r="F795" s="232" t="s">
        <v>707</v>
      </c>
      <c r="G795" s="231"/>
      <c r="H795" s="242"/>
      <c r="I795" s="171" t="s">
        <v>704</v>
      </c>
    </row>
    <row r="796" spans="2:9" ht="15.75" customHeight="1" x14ac:dyDescent="0.25">
      <c r="B796" s="120" t="s">
        <v>28</v>
      </c>
      <c r="C796" s="234"/>
      <c r="D796" s="234"/>
      <c r="E796" s="235"/>
      <c r="F796" s="232" t="s">
        <v>707</v>
      </c>
      <c r="G796" s="231"/>
      <c r="H796" s="242"/>
      <c r="I796" s="58" t="s">
        <v>704</v>
      </c>
    </row>
    <row r="797" spans="2:9" ht="15.75" customHeight="1" x14ac:dyDescent="0.25">
      <c r="B797" s="121" t="s">
        <v>718</v>
      </c>
      <c r="C797" s="234"/>
      <c r="D797" s="234"/>
      <c r="E797" s="235"/>
      <c r="F797" s="232" t="s">
        <v>719</v>
      </c>
      <c r="G797" s="231"/>
      <c r="H797" s="242"/>
      <c r="I797" s="118" t="s">
        <v>704</v>
      </c>
    </row>
    <row r="798" spans="2:9" ht="15.75" customHeight="1" x14ac:dyDescent="0.25">
      <c r="B798" s="121"/>
      <c r="C798" s="234"/>
      <c r="D798" s="234"/>
      <c r="E798" s="235"/>
      <c r="F798" s="232" t="s">
        <v>720</v>
      </c>
      <c r="G798" s="231"/>
      <c r="H798" s="242"/>
      <c r="I798" s="119" t="s">
        <v>706</v>
      </c>
    </row>
    <row r="799" spans="2:9" ht="15.75" customHeight="1" x14ac:dyDescent="0.25">
      <c r="B799" s="106" t="s">
        <v>721</v>
      </c>
      <c r="C799" s="234"/>
      <c r="D799" s="234"/>
      <c r="E799" s="235"/>
      <c r="F799" s="232" t="s">
        <v>722</v>
      </c>
      <c r="G799" s="231"/>
      <c r="H799" s="242"/>
      <c r="I799" s="119" t="s">
        <v>704</v>
      </c>
    </row>
    <row r="800" spans="2:9" ht="15.75" customHeight="1" x14ac:dyDescent="0.25">
      <c r="B800" s="106" t="s">
        <v>481</v>
      </c>
      <c r="C800" s="234"/>
      <c r="D800" s="234"/>
      <c r="E800" s="235"/>
      <c r="F800" s="232">
        <v>0</v>
      </c>
      <c r="G800" s="231"/>
      <c r="H800" s="242"/>
      <c r="I800" s="119" t="s">
        <v>704</v>
      </c>
    </row>
    <row r="801" spans="2:9" ht="15.75" customHeight="1" x14ac:dyDescent="0.25">
      <c r="B801" s="121" t="s">
        <v>714</v>
      </c>
      <c r="C801" s="234"/>
      <c r="D801" s="234"/>
      <c r="E801" s="235"/>
      <c r="F801" s="232" t="s">
        <v>723</v>
      </c>
      <c r="G801" s="231"/>
      <c r="H801" s="242"/>
      <c r="I801" s="118" t="s">
        <v>704</v>
      </c>
    </row>
    <row r="802" spans="2:9" ht="15.75" customHeight="1" x14ac:dyDescent="0.25">
      <c r="B802" s="121"/>
      <c r="C802" s="234"/>
      <c r="D802" s="234"/>
      <c r="E802" s="235"/>
      <c r="F802" s="232" t="s">
        <v>724</v>
      </c>
      <c r="G802" s="231"/>
      <c r="H802" s="242"/>
      <c r="I802" s="119" t="s">
        <v>706</v>
      </c>
    </row>
    <row r="803" spans="2:9" ht="15.75" customHeight="1" x14ac:dyDescent="0.25">
      <c r="B803" s="89" t="s">
        <v>32</v>
      </c>
      <c r="C803" s="234"/>
      <c r="D803" s="234"/>
      <c r="E803" s="235"/>
      <c r="F803" s="232" t="s">
        <v>725</v>
      </c>
      <c r="G803" s="231"/>
      <c r="H803" s="242"/>
      <c r="I803" s="171" t="s">
        <v>704</v>
      </c>
    </row>
    <row r="804" spans="2:9" ht="15.75" customHeight="1" x14ac:dyDescent="0.25">
      <c r="B804" s="120" t="s">
        <v>710</v>
      </c>
      <c r="C804" s="234"/>
      <c r="D804" s="234"/>
      <c r="E804" s="235"/>
      <c r="F804" s="232" t="s">
        <v>725</v>
      </c>
      <c r="G804" s="231"/>
      <c r="H804" s="242"/>
      <c r="I804" s="58" t="s">
        <v>704</v>
      </c>
    </row>
    <row r="805" spans="2:9" ht="15.75" customHeight="1" x14ac:dyDescent="0.25">
      <c r="B805" s="121" t="s">
        <v>714</v>
      </c>
      <c r="C805" s="234"/>
      <c r="D805" s="234"/>
      <c r="E805" s="235"/>
      <c r="F805" s="232" t="s">
        <v>725</v>
      </c>
      <c r="G805" s="231"/>
      <c r="H805" s="242"/>
      <c r="I805" s="118" t="s">
        <v>704</v>
      </c>
    </row>
    <row r="806" spans="2:9" ht="15.75" customHeight="1" x14ac:dyDescent="0.25">
      <c r="B806" s="121"/>
      <c r="C806" s="234"/>
      <c r="D806" s="234"/>
      <c r="E806" s="235"/>
      <c r="F806" s="232" t="s">
        <v>726</v>
      </c>
      <c r="G806" s="231"/>
      <c r="H806" s="242"/>
      <c r="I806" s="119" t="s">
        <v>706</v>
      </c>
    </row>
    <row r="807" spans="2:9" ht="15.75" customHeight="1" x14ac:dyDescent="0.25">
      <c r="B807" s="106"/>
      <c r="C807" s="234"/>
      <c r="D807" s="234"/>
      <c r="E807" s="235">
        <v>115</v>
      </c>
      <c r="F807" s="232"/>
      <c r="G807" s="231"/>
      <c r="H807" s="242"/>
      <c r="I807" s="171"/>
    </row>
    <row r="808" spans="2:9" ht="15.75" customHeight="1" x14ac:dyDescent="0.25">
      <c r="B808" s="88" t="s">
        <v>727</v>
      </c>
      <c r="C808" s="234"/>
      <c r="D808" s="234"/>
      <c r="E808" s="235">
        <v>116</v>
      </c>
      <c r="F808" s="232"/>
      <c r="G808" s="231"/>
      <c r="H808" s="242"/>
      <c r="I808" s="171"/>
    </row>
    <row r="809" spans="2:9" ht="15.75" customHeight="1" x14ac:dyDescent="0.25">
      <c r="B809" s="89" t="s">
        <v>95</v>
      </c>
      <c r="C809" s="234"/>
      <c r="D809" s="234"/>
      <c r="E809" s="235"/>
      <c r="F809" s="232" t="s">
        <v>728</v>
      </c>
      <c r="G809" s="231"/>
      <c r="H809" s="242"/>
      <c r="I809" s="171" t="s">
        <v>706</v>
      </c>
    </row>
    <row r="810" spans="2:9" ht="15.75" customHeight="1" x14ac:dyDescent="0.25">
      <c r="B810" s="120" t="s">
        <v>28</v>
      </c>
      <c r="C810" s="234"/>
      <c r="D810" s="234"/>
      <c r="E810" s="235"/>
      <c r="F810" s="232" t="s">
        <v>728</v>
      </c>
      <c r="G810" s="231"/>
      <c r="H810" s="242"/>
      <c r="I810" s="58" t="s">
        <v>706</v>
      </c>
    </row>
    <row r="811" spans="2:9" ht="15.75" customHeight="1" x14ac:dyDescent="0.25">
      <c r="B811" s="90" t="s">
        <v>729</v>
      </c>
      <c r="C811" s="234"/>
      <c r="D811" s="234"/>
      <c r="E811" s="235"/>
      <c r="F811" s="232">
        <v>0</v>
      </c>
      <c r="G811" s="231"/>
      <c r="H811" s="242"/>
      <c r="I811" s="171" t="s">
        <v>706</v>
      </c>
    </row>
    <row r="812" spans="2:9" ht="15.75" customHeight="1" x14ac:dyDescent="0.25">
      <c r="B812" s="90" t="s">
        <v>730</v>
      </c>
      <c r="C812" s="234"/>
      <c r="D812" s="234"/>
      <c r="E812" s="235"/>
      <c r="F812" s="232" t="s">
        <v>728</v>
      </c>
      <c r="G812" s="231"/>
      <c r="H812" s="242"/>
      <c r="I812" s="171" t="s">
        <v>706</v>
      </c>
    </row>
    <row r="813" spans="2:9" ht="15.75" customHeight="1" x14ac:dyDescent="0.25">
      <c r="B813" s="89" t="s">
        <v>95</v>
      </c>
      <c r="C813" s="234"/>
      <c r="D813" s="234"/>
      <c r="E813" s="235"/>
      <c r="F813" s="232" t="s">
        <v>728</v>
      </c>
      <c r="G813" s="231"/>
      <c r="H813" s="242"/>
      <c r="I813" s="171" t="s">
        <v>706</v>
      </c>
    </row>
    <row r="814" spans="2:9" ht="15.75" customHeight="1" x14ac:dyDescent="0.25">
      <c r="B814" s="120" t="s">
        <v>28</v>
      </c>
      <c r="C814" s="234"/>
      <c r="D814" s="234"/>
      <c r="E814" s="235"/>
      <c r="F814" s="232" t="s">
        <v>728</v>
      </c>
      <c r="G814" s="231"/>
      <c r="H814" s="242"/>
      <c r="I814" s="58" t="s">
        <v>706</v>
      </c>
    </row>
    <row r="815" spans="2:9" ht="15.75" customHeight="1" x14ac:dyDescent="0.25">
      <c r="B815" s="106" t="s">
        <v>479</v>
      </c>
      <c r="C815" s="234"/>
      <c r="D815" s="234"/>
      <c r="E815" s="235"/>
      <c r="F815" s="232">
        <v>0</v>
      </c>
      <c r="G815" s="231"/>
      <c r="H815" s="242"/>
      <c r="I815" s="59" t="s">
        <v>706</v>
      </c>
    </row>
    <row r="816" spans="2:9" ht="15.75" customHeight="1" x14ac:dyDescent="0.25">
      <c r="B816" s="120"/>
      <c r="C816" s="234"/>
      <c r="D816" s="234"/>
      <c r="E816" s="235">
        <v>117</v>
      </c>
      <c r="F816" s="232"/>
      <c r="G816" s="231"/>
      <c r="H816" s="242"/>
      <c r="I816" s="171"/>
    </row>
    <row r="817" spans="2:9" ht="15.75" customHeight="1" x14ac:dyDescent="0.25">
      <c r="B817" s="88" t="s">
        <v>731</v>
      </c>
      <c r="C817" s="234"/>
      <c r="D817" s="234"/>
      <c r="E817" s="235">
        <v>118</v>
      </c>
      <c r="F817" s="232"/>
      <c r="G817" s="231"/>
      <c r="H817" s="242"/>
      <c r="I817" s="171"/>
    </row>
    <row r="818" spans="2:9" ht="15.75" customHeight="1" x14ac:dyDescent="0.25">
      <c r="B818" s="89" t="s">
        <v>95</v>
      </c>
      <c r="C818" s="234"/>
      <c r="D818" s="234"/>
      <c r="E818" s="235"/>
      <c r="F818" s="232" t="s">
        <v>732</v>
      </c>
      <c r="G818" s="231"/>
      <c r="H818" s="242"/>
      <c r="I818" s="171" t="s">
        <v>706</v>
      </c>
    </row>
    <row r="819" spans="2:9" ht="15.75" customHeight="1" x14ac:dyDescent="0.25">
      <c r="B819" s="120" t="s">
        <v>305</v>
      </c>
      <c r="C819" s="234"/>
      <c r="D819" s="234"/>
      <c r="E819" s="235"/>
      <c r="F819" s="232" t="s">
        <v>732</v>
      </c>
      <c r="G819" s="231"/>
      <c r="H819" s="242"/>
      <c r="I819" s="58" t="s">
        <v>706</v>
      </c>
    </row>
    <row r="820" spans="2:9" ht="15.75" customHeight="1" x14ac:dyDescent="0.25">
      <c r="B820" s="90" t="s">
        <v>733</v>
      </c>
      <c r="C820" s="234"/>
      <c r="D820" s="234"/>
      <c r="E820" s="235">
        <v>119</v>
      </c>
      <c r="F820" s="232"/>
      <c r="G820" s="231"/>
      <c r="H820" s="242"/>
      <c r="I820" s="171"/>
    </row>
    <row r="821" spans="2:9" ht="15.75" customHeight="1" x14ac:dyDescent="0.25">
      <c r="B821" s="89" t="s">
        <v>95</v>
      </c>
      <c r="C821" s="234"/>
      <c r="D821" s="234"/>
      <c r="E821" s="235"/>
      <c r="F821" s="232" t="s">
        <v>732</v>
      </c>
      <c r="G821" s="231"/>
      <c r="H821" s="242"/>
      <c r="I821" s="171" t="s">
        <v>706</v>
      </c>
    </row>
    <row r="822" spans="2:9" ht="15.75" customHeight="1" x14ac:dyDescent="0.25">
      <c r="B822" s="120" t="s">
        <v>327</v>
      </c>
      <c r="C822" s="234"/>
      <c r="D822" s="234"/>
      <c r="E822" s="235"/>
      <c r="F822" s="232" t="s">
        <v>732</v>
      </c>
      <c r="G822" s="231"/>
      <c r="H822" s="242"/>
      <c r="I822" s="58" t="s">
        <v>706</v>
      </c>
    </row>
    <row r="823" spans="2:9" ht="15.75" customHeight="1" x14ac:dyDescent="0.25">
      <c r="B823" s="106" t="s">
        <v>734</v>
      </c>
      <c r="C823" s="234"/>
      <c r="D823" s="234"/>
      <c r="E823" s="235"/>
      <c r="F823" s="232" t="s">
        <v>735</v>
      </c>
      <c r="G823" s="231"/>
      <c r="H823" s="242"/>
      <c r="I823" s="59" t="s">
        <v>706</v>
      </c>
    </row>
    <row r="824" spans="2:9" ht="15.75" customHeight="1" x14ac:dyDescent="0.25">
      <c r="B824" s="106" t="s">
        <v>736</v>
      </c>
      <c r="C824" s="234"/>
      <c r="D824" s="234"/>
      <c r="E824" s="235"/>
      <c r="F824" s="232" t="s">
        <v>737</v>
      </c>
      <c r="G824" s="231"/>
      <c r="H824" s="242"/>
      <c r="I824" s="59" t="s">
        <v>706</v>
      </c>
    </row>
    <row r="825" spans="2:9" ht="15.75" customHeight="1" x14ac:dyDescent="0.25">
      <c r="B825" s="90" t="s">
        <v>738</v>
      </c>
      <c r="C825" s="234"/>
      <c r="D825" s="234"/>
      <c r="E825" s="235"/>
      <c r="F825" s="232">
        <v>0</v>
      </c>
      <c r="G825" s="231"/>
      <c r="H825" s="242"/>
      <c r="I825" s="171" t="s">
        <v>706</v>
      </c>
    </row>
    <row r="826" spans="2:9" ht="15.75" customHeight="1" x14ac:dyDescent="0.25">
      <c r="B826" s="106"/>
      <c r="C826" s="234"/>
      <c r="D826" s="234"/>
      <c r="E826" s="235">
        <v>120</v>
      </c>
      <c r="F826" s="232"/>
      <c r="G826" s="231"/>
      <c r="H826" s="242"/>
      <c r="I826" s="171"/>
    </row>
    <row r="827" spans="2:9" ht="15.75" customHeight="1" x14ac:dyDescent="0.25">
      <c r="B827" s="88" t="s">
        <v>739</v>
      </c>
      <c r="C827" s="234"/>
      <c r="D827" s="234"/>
      <c r="E827" s="235">
        <v>121</v>
      </c>
      <c r="F827" s="232"/>
      <c r="G827" s="231"/>
      <c r="H827" s="242"/>
      <c r="I827" s="171"/>
    </row>
    <row r="828" spans="2:9" ht="15.75" customHeight="1" x14ac:dyDescent="0.25">
      <c r="B828" s="89" t="s">
        <v>24</v>
      </c>
      <c r="C828" s="234"/>
      <c r="D828" s="234"/>
      <c r="E828" s="235"/>
      <c r="F828" s="232" t="s">
        <v>740</v>
      </c>
      <c r="G828" s="231"/>
      <c r="H828" s="242"/>
      <c r="I828" s="115" t="s">
        <v>22</v>
      </c>
    </row>
    <row r="829" spans="2:9" ht="15.75" customHeight="1" x14ac:dyDescent="0.25">
      <c r="B829" s="89"/>
      <c r="C829" s="234"/>
      <c r="D829" s="234"/>
      <c r="E829" s="235"/>
      <c r="F829" s="232" t="s">
        <v>741</v>
      </c>
      <c r="G829" s="231"/>
      <c r="H829" s="242"/>
      <c r="I829" s="171" t="s">
        <v>10</v>
      </c>
    </row>
    <row r="830" spans="2:9" ht="15.75" customHeight="1" x14ac:dyDescent="0.25">
      <c r="B830" s="120" t="s">
        <v>26</v>
      </c>
      <c r="C830" s="234"/>
      <c r="D830" s="234"/>
      <c r="E830" s="235"/>
      <c r="F830" s="232" t="s">
        <v>740</v>
      </c>
      <c r="G830" s="231"/>
      <c r="H830" s="242"/>
      <c r="I830" s="115" t="s">
        <v>22</v>
      </c>
    </row>
    <row r="831" spans="2:9" ht="15.75" customHeight="1" x14ac:dyDescent="0.25">
      <c r="B831" s="88"/>
      <c r="C831" s="234"/>
      <c r="D831" s="234"/>
      <c r="E831" s="235"/>
      <c r="F831" s="232" t="s">
        <v>741</v>
      </c>
      <c r="G831" s="231"/>
      <c r="H831" s="242"/>
      <c r="I831" s="171" t="s">
        <v>10</v>
      </c>
    </row>
    <row r="832" spans="2:9" ht="15.75" customHeight="1" x14ac:dyDescent="0.25">
      <c r="B832" s="88"/>
      <c r="C832" s="234"/>
      <c r="D832" s="234"/>
      <c r="E832" s="235">
        <v>122</v>
      </c>
      <c r="F832" s="232"/>
      <c r="G832" s="231"/>
      <c r="H832" s="242"/>
      <c r="I832" s="171"/>
    </row>
    <row r="833" spans="2:9" ht="15.75" customHeight="1" x14ac:dyDescent="0.25">
      <c r="B833" s="90" t="s">
        <v>742</v>
      </c>
      <c r="C833" s="234"/>
      <c r="D833" s="234"/>
      <c r="E833" s="235">
        <v>123</v>
      </c>
      <c r="F833" s="232"/>
      <c r="G833" s="231"/>
      <c r="H833" s="242"/>
      <c r="I833" s="171"/>
    </row>
    <row r="834" spans="2:9" ht="15.75" customHeight="1" x14ac:dyDescent="0.25">
      <c r="B834" s="89" t="s">
        <v>24</v>
      </c>
      <c r="C834" s="234"/>
      <c r="D834" s="234"/>
      <c r="E834" s="235"/>
      <c r="F834" s="232" t="s">
        <v>740</v>
      </c>
      <c r="G834" s="231"/>
      <c r="H834" s="242"/>
      <c r="I834" s="115" t="s">
        <v>22</v>
      </c>
    </row>
    <row r="835" spans="2:9" ht="15.75" customHeight="1" x14ac:dyDescent="0.25">
      <c r="B835" s="89"/>
      <c r="C835" s="234"/>
      <c r="D835" s="234"/>
      <c r="E835" s="235"/>
      <c r="F835" s="232" t="s">
        <v>741</v>
      </c>
      <c r="G835" s="231"/>
      <c r="H835" s="242"/>
      <c r="I835" s="171" t="s">
        <v>10</v>
      </c>
    </row>
    <row r="836" spans="2:9" ht="15.75" customHeight="1" x14ac:dyDescent="0.25">
      <c r="B836" s="120" t="s">
        <v>26</v>
      </c>
      <c r="C836" s="234"/>
      <c r="D836" s="234"/>
      <c r="E836" s="235"/>
      <c r="F836" s="232" t="s">
        <v>740</v>
      </c>
      <c r="G836" s="231"/>
      <c r="H836" s="242"/>
      <c r="I836" s="117" t="s">
        <v>22</v>
      </c>
    </row>
    <row r="837" spans="2:9" ht="15.75" customHeight="1" x14ac:dyDescent="0.25">
      <c r="B837" s="88"/>
      <c r="C837" s="234"/>
      <c r="D837" s="234"/>
      <c r="E837" s="235"/>
      <c r="F837" s="232" t="s">
        <v>741</v>
      </c>
      <c r="G837" s="231"/>
      <c r="H837" s="242"/>
      <c r="I837" s="97" t="s">
        <v>10</v>
      </c>
    </row>
    <row r="838" spans="2:9" ht="15.75" customHeight="1" x14ac:dyDescent="0.25">
      <c r="B838" s="90" t="s">
        <v>743</v>
      </c>
      <c r="C838" s="234"/>
      <c r="D838" s="234"/>
      <c r="E838" s="235"/>
      <c r="F838" s="232">
        <v>0</v>
      </c>
      <c r="G838" s="231"/>
      <c r="H838" s="242"/>
      <c r="I838" s="115" t="s">
        <v>22</v>
      </c>
    </row>
    <row r="839" spans="2:9" ht="15.75" customHeight="1" x14ac:dyDescent="0.25">
      <c r="B839" s="88"/>
      <c r="C839" s="234"/>
      <c r="D839" s="234"/>
      <c r="E839" s="235"/>
      <c r="F839" s="232">
        <v>0</v>
      </c>
      <c r="G839" s="231"/>
      <c r="H839" s="242"/>
      <c r="I839" s="171" t="s">
        <v>10</v>
      </c>
    </row>
    <row r="840" spans="2:9" ht="15.75" customHeight="1" x14ac:dyDescent="0.25">
      <c r="B840" s="88"/>
      <c r="C840" s="234"/>
      <c r="D840" s="234"/>
      <c r="E840" s="235">
        <v>124</v>
      </c>
      <c r="F840" s="232"/>
      <c r="G840" s="231"/>
      <c r="H840" s="242"/>
      <c r="I840" s="171"/>
    </row>
    <row r="841" spans="2:9" ht="38.25" customHeight="1" x14ac:dyDescent="0.25">
      <c r="B841" s="88" t="s">
        <v>744</v>
      </c>
      <c r="C841" s="234"/>
      <c r="D841" s="234"/>
      <c r="E841" s="235"/>
      <c r="F841" s="232" t="s">
        <v>745</v>
      </c>
      <c r="G841" s="231"/>
      <c r="H841" s="242"/>
      <c r="I841" s="115" t="s">
        <v>22</v>
      </c>
    </row>
    <row r="842" spans="2:9" ht="38.25" customHeight="1" x14ac:dyDescent="0.25">
      <c r="B842" s="202"/>
      <c r="C842" s="234"/>
      <c r="D842" s="234"/>
      <c r="E842" s="235"/>
      <c r="F842" s="232" t="s">
        <v>746</v>
      </c>
      <c r="G842" s="231"/>
      <c r="H842" s="242"/>
      <c r="I842" s="171" t="s">
        <v>10</v>
      </c>
    </row>
    <row r="843" spans="2:9" ht="25.5" customHeight="1" x14ac:dyDescent="0.25">
      <c r="B843" s="89" t="s">
        <v>24</v>
      </c>
      <c r="C843" s="234"/>
      <c r="D843" s="234"/>
      <c r="E843" s="235"/>
      <c r="F843" s="232" t="s">
        <v>747</v>
      </c>
      <c r="G843" s="231"/>
      <c r="H843" s="242"/>
      <c r="I843" s="115" t="s">
        <v>22</v>
      </c>
    </row>
    <row r="844" spans="2:9" ht="25.5" customHeight="1" x14ac:dyDescent="0.25">
      <c r="B844" s="89"/>
      <c r="C844" s="234"/>
      <c r="D844" s="234"/>
      <c r="E844" s="235"/>
      <c r="F844" s="232" t="s">
        <v>748</v>
      </c>
      <c r="G844" s="231"/>
      <c r="H844" s="242"/>
      <c r="I844" s="171" t="s">
        <v>10</v>
      </c>
    </row>
    <row r="845" spans="2:9" ht="25.5" customHeight="1" x14ac:dyDescent="0.25">
      <c r="B845" s="120" t="s">
        <v>28</v>
      </c>
      <c r="C845" s="234"/>
      <c r="D845" s="234"/>
      <c r="E845" s="235"/>
      <c r="F845" s="232" t="s">
        <v>747</v>
      </c>
      <c r="G845" s="231"/>
      <c r="H845" s="242"/>
      <c r="I845" s="117" t="s">
        <v>22</v>
      </c>
    </row>
    <row r="846" spans="2:9" ht="25.5" customHeight="1" x14ac:dyDescent="0.25">
      <c r="B846" s="89"/>
      <c r="C846" s="234"/>
      <c r="D846" s="234"/>
      <c r="E846" s="235"/>
      <c r="F846" s="232" t="s">
        <v>748</v>
      </c>
      <c r="G846" s="231"/>
      <c r="H846" s="242"/>
      <c r="I846" s="97" t="s">
        <v>10</v>
      </c>
    </row>
    <row r="847" spans="2:9" ht="15.75" customHeight="1" x14ac:dyDescent="0.25">
      <c r="B847" s="89" t="s">
        <v>315</v>
      </c>
      <c r="C847" s="234"/>
      <c r="D847" s="234"/>
      <c r="E847" s="235"/>
      <c r="F847" s="232" t="s">
        <v>749</v>
      </c>
      <c r="G847" s="231"/>
      <c r="H847" s="242"/>
      <c r="I847" s="115" t="s">
        <v>22</v>
      </c>
    </row>
    <row r="848" spans="2:9" ht="15.75" customHeight="1" x14ac:dyDescent="0.25">
      <c r="B848" s="89"/>
      <c r="C848" s="234"/>
      <c r="D848" s="234"/>
      <c r="E848" s="235"/>
      <c r="F848" s="232" t="s">
        <v>750</v>
      </c>
      <c r="G848" s="231"/>
      <c r="H848" s="242"/>
      <c r="I848" s="171" t="s">
        <v>10</v>
      </c>
    </row>
    <row r="849" spans="2:9" ht="15.75" customHeight="1" x14ac:dyDescent="0.25">
      <c r="B849" s="120" t="s">
        <v>317</v>
      </c>
      <c r="C849" s="234"/>
      <c r="D849" s="234"/>
      <c r="E849" s="235"/>
      <c r="F849" s="232" t="s">
        <v>749</v>
      </c>
      <c r="G849" s="231"/>
      <c r="H849" s="242"/>
      <c r="I849" s="117" t="s">
        <v>22</v>
      </c>
    </row>
    <row r="850" spans="2:9" ht="15.75" customHeight="1" x14ac:dyDescent="0.25">
      <c r="B850" s="120"/>
      <c r="C850" s="234"/>
      <c r="D850" s="234"/>
      <c r="E850" s="235"/>
      <c r="F850" s="232" t="s">
        <v>750</v>
      </c>
      <c r="G850" s="231"/>
      <c r="H850" s="242"/>
      <c r="I850" s="97" t="s">
        <v>10</v>
      </c>
    </row>
    <row r="851" spans="2:9" ht="25.5" customHeight="1" x14ac:dyDescent="0.25">
      <c r="B851" s="90" t="s">
        <v>751</v>
      </c>
      <c r="C851" s="234"/>
      <c r="D851" s="234"/>
      <c r="E851" s="235"/>
      <c r="F851" s="232" t="s">
        <v>752</v>
      </c>
      <c r="G851" s="231"/>
      <c r="H851" s="242"/>
      <c r="I851" s="115" t="s">
        <v>22</v>
      </c>
    </row>
    <row r="852" spans="2:9" ht="25.5" customHeight="1" x14ac:dyDescent="0.25">
      <c r="B852" s="88"/>
      <c r="C852" s="234"/>
      <c r="D852" s="234"/>
      <c r="E852" s="235"/>
      <c r="F852" s="232" t="s">
        <v>753</v>
      </c>
      <c r="G852" s="231"/>
      <c r="H852" s="242"/>
      <c r="I852" s="171" t="s">
        <v>10</v>
      </c>
    </row>
    <row r="853" spans="2:9" ht="15.75" customHeight="1" x14ac:dyDescent="0.25">
      <c r="B853" s="89" t="s">
        <v>24</v>
      </c>
      <c r="C853" s="234"/>
      <c r="D853" s="234"/>
      <c r="E853" s="235"/>
      <c r="F853" s="232" t="s">
        <v>754</v>
      </c>
      <c r="G853" s="231"/>
      <c r="H853" s="242"/>
      <c r="I853" s="115" t="s">
        <v>22</v>
      </c>
    </row>
    <row r="854" spans="2:9" ht="15.75" customHeight="1" x14ac:dyDescent="0.25">
      <c r="B854" s="88"/>
      <c r="C854" s="234"/>
      <c r="D854" s="234"/>
      <c r="E854" s="235"/>
      <c r="F854" s="232" t="s">
        <v>755</v>
      </c>
      <c r="G854" s="231"/>
      <c r="H854" s="242"/>
      <c r="I854" s="171" t="s">
        <v>10</v>
      </c>
    </row>
    <row r="855" spans="2:9" ht="15.75" customHeight="1" x14ac:dyDescent="0.25">
      <c r="B855" s="120" t="s">
        <v>28</v>
      </c>
      <c r="C855" s="234"/>
      <c r="D855" s="234"/>
      <c r="E855" s="235"/>
      <c r="F855" s="232" t="s">
        <v>754</v>
      </c>
      <c r="G855" s="231"/>
      <c r="H855" s="242"/>
      <c r="I855" s="117" t="s">
        <v>22</v>
      </c>
    </row>
    <row r="856" spans="2:9" ht="15.75" customHeight="1" x14ac:dyDescent="0.25">
      <c r="B856" s="89"/>
      <c r="C856" s="234"/>
      <c r="D856" s="234"/>
      <c r="E856" s="235"/>
      <c r="F856" s="232" t="s">
        <v>755</v>
      </c>
      <c r="G856" s="231"/>
      <c r="H856" s="242"/>
      <c r="I856" s="119" t="s">
        <v>10</v>
      </c>
    </row>
    <row r="857" spans="2:9" ht="15.75" customHeight="1" x14ac:dyDescent="0.25">
      <c r="B857" s="106" t="s">
        <v>82</v>
      </c>
      <c r="C857" s="234"/>
      <c r="D857" s="234"/>
      <c r="E857" s="235"/>
      <c r="F857" s="232" t="s">
        <v>756</v>
      </c>
      <c r="G857" s="231"/>
      <c r="H857" s="242"/>
      <c r="I857" s="118" t="s">
        <v>22</v>
      </c>
    </row>
    <row r="858" spans="2:9" ht="15.75" customHeight="1" x14ac:dyDescent="0.25">
      <c r="B858" s="120"/>
      <c r="C858" s="234"/>
      <c r="D858" s="234"/>
      <c r="E858" s="235"/>
      <c r="F858" s="232" t="s">
        <v>757</v>
      </c>
      <c r="G858" s="231"/>
      <c r="H858" s="242"/>
      <c r="I858" s="119" t="s">
        <v>10</v>
      </c>
    </row>
    <row r="859" spans="2:9" ht="15.75" customHeight="1" x14ac:dyDescent="0.25">
      <c r="B859" s="106" t="s">
        <v>52</v>
      </c>
      <c r="C859" s="234"/>
      <c r="D859" s="234"/>
      <c r="E859" s="235"/>
      <c r="F859" s="232" t="s">
        <v>758</v>
      </c>
      <c r="G859" s="231"/>
      <c r="H859" s="242"/>
      <c r="I859" s="118" t="s">
        <v>22</v>
      </c>
    </row>
    <row r="860" spans="2:9" ht="15.75" customHeight="1" x14ac:dyDescent="0.25">
      <c r="B860" s="89"/>
      <c r="C860" s="234"/>
      <c r="D860" s="234"/>
      <c r="E860" s="235"/>
      <c r="F860" s="232" t="s">
        <v>759</v>
      </c>
      <c r="G860" s="231"/>
      <c r="H860" s="242"/>
      <c r="I860" s="119" t="s">
        <v>10</v>
      </c>
    </row>
    <row r="861" spans="2:9" ht="15.75" customHeight="1" x14ac:dyDescent="0.25">
      <c r="B861" s="89" t="s">
        <v>315</v>
      </c>
      <c r="C861" s="234"/>
      <c r="D861" s="234"/>
      <c r="E861" s="235"/>
      <c r="F861" s="232" t="s">
        <v>760</v>
      </c>
      <c r="G861" s="231"/>
      <c r="H861" s="242"/>
      <c r="I861" s="115" t="s">
        <v>22</v>
      </c>
    </row>
    <row r="862" spans="2:9" ht="15.75" customHeight="1" x14ac:dyDescent="0.25">
      <c r="B862" s="89"/>
      <c r="C862" s="234"/>
      <c r="D862" s="234"/>
      <c r="E862" s="235"/>
      <c r="F862" s="232" t="s">
        <v>761</v>
      </c>
      <c r="G862" s="231"/>
      <c r="H862" s="242"/>
      <c r="I862" s="171" t="s">
        <v>10</v>
      </c>
    </row>
    <row r="863" spans="2:9" ht="15.75" customHeight="1" x14ac:dyDescent="0.25">
      <c r="B863" s="120" t="s">
        <v>317</v>
      </c>
      <c r="C863" s="234"/>
      <c r="D863" s="234"/>
      <c r="E863" s="235"/>
      <c r="F863" s="232" t="s">
        <v>760</v>
      </c>
      <c r="G863" s="231"/>
      <c r="H863" s="242"/>
      <c r="I863" s="117" t="s">
        <v>22</v>
      </c>
    </row>
    <row r="864" spans="2:9" ht="15.75" customHeight="1" x14ac:dyDescent="0.25">
      <c r="B864" s="120"/>
      <c r="C864" s="234"/>
      <c r="D864" s="234"/>
      <c r="E864" s="235"/>
      <c r="F864" s="232" t="s">
        <v>761</v>
      </c>
      <c r="G864" s="231"/>
      <c r="H864" s="242"/>
      <c r="I864" s="97" t="s">
        <v>10</v>
      </c>
    </row>
    <row r="865" spans="2:9" ht="25.5" customHeight="1" x14ac:dyDescent="0.25">
      <c r="B865" s="90" t="s">
        <v>762</v>
      </c>
      <c r="C865" s="234"/>
      <c r="D865" s="234"/>
      <c r="E865" s="235"/>
      <c r="F865" s="232" t="s">
        <v>763</v>
      </c>
      <c r="G865" s="231"/>
      <c r="H865" s="242"/>
      <c r="I865" s="115" t="s">
        <v>22</v>
      </c>
    </row>
    <row r="866" spans="2:9" ht="25.5" customHeight="1" x14ac:dyDescent="0.25">
      <c r="B866" s="88"/>
      <c r="C866" s="234"/>
      <c r="D866" s="234"/>
      <c r="E866" s="235"/>
      <c r="F866" s="232" t="s">
        <v>764</v>
      </c>
      <c r="G866" s="231"/>
      <c r="H866" s="242"/>
      <c r="I866" s="171" t="s">
        <v>10</v>
      </c>
    </row>
    <row r="867" spans="2:9" ht="25.5" customHeight="1" x14ac:dyDescent="0.25">
      <c r="B867" s="89" t="s">
        <v>24</v>
      </c>
      <c r="C867" s="234"/>
      <c r="D867" s="234"/>
      <c r="E867" s="235"/>
      <c r="F867" s="232" t="s">
        <v>765</v>
      </c>
      <c r="G867" s="231"/>
      <c r="H867" s="242"/>
      <c r="I867" s="115" t="s">
        <v>22</v>
      </c>
    </row>
    <row r="868" spans="2:9" ht="25.5" customHeight="1" x14ac:dyDescent="0.25">
      <c r="B868" s="88"/>
      <c r="C868" s="234"/>
      <c r="D868" s="234"/>
      <c r="E868" s="235"/>
      <c r="F868" s="232" t="s">
        <v>766</v>
      </c>
      <c r="G868" s="231"/>
      <c r="H868" s="242"/>
      <c r="I868" s="171" t="s">
        <v>10</v>
      </c>
    </row>
    <row r="869" spans="2:9" ht="25.5" customHeight="1" x14ac:dyDescent="0.25">
      <c r="B869" s="120" t="s">
        <v>28</v>
      </c>
      <c r="C869" s="234"/>
      <c r="D869" s="234"/>
      <c r="E869" s="235"/>
      <c r="F869" s="232" t="s">
        <v>765</v>
      </c>
      <c r="G869" s="231"/>
      <c r="H869" s="242"/>
      <c r="I869" s="117" t="s">
        <v>22</v>
      </c>
    </row>
    <row r="870" spans="2:9" ht="25.5" customHeight="1" x14ac:dyDescent="0.25">
      <c r="B870" s="89"/>
      <c r="C870" s="234"/>
      <c r="D870" s="234"/>
      <c r="E870" s="235"/>
      <c r="F870" s="232" t="s">
        <v>766</v>
      </c>
      <c r="G870" s="231"/>
      <c r="H870" s="242"/>
      <c r="I870" s="97" t="s">
        <v>10</v>
      </c>
    </row>
    <row r="871" spans="2:9" ht="15.75" customHeight="1" x14ac:dyDescent="0.25">
      <c r="B871" s="106" t="s">
        <v>82</v>
      </c>
      <c r="C871" s="234"/>
      <c r="D871" s="234"/>
      <c r="E871" s="235"/>
      <c r="F871" s="232" t="s">
        <v>767</v>
      </c>
      <c r="G871" s="231"/>
      <c r="H871" s="242"/>
      <c r="I871" s="118" t="s">
        <v>22</v>
      </c>
    </row>
    <row r="872" spans="2:9" ht="15.75" customHeight="1" x14ac:dyDescent="0.25">
      <c r="B872" s="106"/>
      <c r="C872" s="234"/>
      <c r="D872" s="234"/>
      <c r="E872" s="235"/>
      <c r="F872" s="232" t="s">
        <v>768</v>
      </c>
      <c r="G872" s="231"/>
      <c r="H872" s="242"/>
      <c r="I872" s="119" t="s">
        <v>10</v>
      </c>
    </row>
    <row r="873" spans="2:9" ht="15.75" customHeight="1" x14ac:dyDescent="0.25">
      <c r="B873" s="106" t="s">
        <v>52</v>
      </c>
      <c r="C873" s="234"/>
      <c r="D873" s="234"/>
      <c r="E873" s="235"/>
      <c r="F873" s="232" t="s">
        <v>769</v>
      </c>
      <c r="G873" s="231"/>
      <c r="H873" s="242"/>
      <c r="I873" s="118" t="s">
        <v>22</v>
      </c>
    </row>
    <row r="874" spans="2:9" ht="15.75" customHeight="1" x14ac:dyDescent="0.25">
      <c r="B874" s="122"/>
      <c r="C874" s="234"/>
      <c r="D874" s="234"/>
      <c r="E874" s="235"/>
      <c r="F874" s="232" t="s">
        <v>770</v>
      </c>
      <c r="G874" s="231"/>
      <c r="H874" s="242"/>
      <c r="I874" s="119" t="s">
        <v>10</v>
      </c>
    </row>
    <row r="875" spans="2:9" ht="15.75" customHeight="1" x14ac:dyDescent="0.25">
      <c r="B875" s="76" t="s">
        <v>85</v>
      </c>
      <c r="C875" s="234"/>
      <c r="D875" s="234"/>
      <c r="E875" s="235"/>
      <c r="F875" s="232" t="s">
        <v>771</v>
      </c>
      <c r="G875" s="231"/>
      <c r="H875" s="242"/>
      <c r="I875" s="118" t="s">
        <v>22</v>
      </c>
    </row>
    <row r="876" spans="2:9" ht="15.75" customHeight="1" x14ac:dyDescent="0.25">
      <c r="B876" s="106"/>
      <c r="C876" s="234"/>
      <c r="D876" s="234"/>
      <c r="E876" s="235"/>
      <c r="F876" s="232" t="s">
        <v>772</v>
      </c>
      <c r="G876" s="231"/>
      <c r="H876" s="242"/>
      <c r="I876" s="119" t="s">
        <v>10</v>
      </c>
    </row>
    <row r="877" spans="2:9" ht="15.75" customHeight="1" x14ac:dyDescent="0.25">
      <c r="B877" s="89" t="s">
        <v>315</v>
      </c>
      <c r="C877" s="234"/>
      <c r="D877" s="234"/>
      <c r="E877" s="235"/>
      <c r="F877" s="232" t="s">
        <v>773</v>
      </c>
      <c r="G877" s="231"/>
      <c r="H877" s="242"/>
      <c r="I877" s="115" t="s">
        <v>22</v>
      </c>
    </row>
    <row r="878" spans="2:9" ht="15.75" customHeight="1" x14ac:dyDescent="0.25">
      <c r="B878" s="89"/>
      <c r="C878" s="234"/>
      <c r="D878" s="234"/>
      <c r="E878" s="235"/>
      <c r="F878" s="232" t="s">
        <v>774</v>
      </c>
      <c r="G878" s="231"/>
      <c r="H878" s="242"/>
      <c r="I878" s="171" t="s">
        <v>10</v>
      </c>
    </row>
    <row r="879" spans="2:9" ht="15.75" customHeight="1" x14ac:dyDescent="0.25">
      <c r="B879" s="120" t="s">
        <v>317</v>
      </c>
      <c r="C879" s="234"/>
      <c r="D879" s="234"/>
      <c r="E879" s="235"/>
      <c r="F879" s="232" t="s">
        <v>773</v>
      </c>
      <c r="G879" s="231"/>
      <c r="H879" s="242"/>
      <c r="I879" s="117" t="s">
        <v>22</v>
      </c>
    </row>
    <row r="880" spans="2:9" ht="15.75" customHeight="1" x14ac:dyDescent="0.25">
      <c r="B880" s="120"/>
      <c r="C880" s="234"/>
      <c r="D880" s="234"/>
      <c r="E880" s="235"/>
      <c r="F880" s="232" t="s">
        <v>774</v>
      </c>
      <c r="G880" s="231"/>
      <c r="H880" s="242"/>
      <c r="I880" s="97" t="s">
        <v>10</v>
      </c>
    </row>
    <row r="881" spans="2:9" ht="15.75" customHeight="1" x14ac:dyDescent="0.25">
      <c r="B881" s="120"/>
      <c r="C881" s="234"/>
      <c r="D881" s="234"/>
      <c r="E881" s="235">
        <v>125</v>
      </c>
      <c r="F881" s="232"/>
      <c r="G881" s="231"/>
      <c r="H881" s="242"/>
      <c r="I881" s="171"/>
    </row>
    <row r="882" spans="2:9" ht="15.75" customHeight="1" x14ac:dyDescent="0.25">
      <c r="B882" s="88" t="s">
        <v>775</v>
      </c>
      <c r="C882" s="234"/>
      <c r="D882" s="234"/>
      <c r="E882" s="235">
        <v>126</v>
      </c>
      <c r="F882" s="232"/>
      <c r="G882" s="231"/>
      <c r="H882" s="242"/>
      <c r="I882" s="171"/>
    </row>
    <row r="883" spans="2:9" ht="15.75" customHeight="1" x14ac:dyDescent="0.25">
      <c r="B883" s="89" t="s">
        <v>95</v>
      </c>
      <c r="C883" s="234"/>
      <c r="D883" s="234"/>
      <c r="E883" s="235"/>
      <c r="F883" s="232" t="s">
        <v>776</v>
      </c>
      <c r="G883" s="231"/>
      <c r="H883" s="242"/>
      <c r="I883" s="115" t="s">
        <v>22</v>
      </c>
    </row>
    <row r="884" spans="2:9" ht="15.75" customHeight="1" x14ac:dyDescent="0.25">
      <c r="B884" s="89"/>
      <c r="C884" s="234"/>
      <c r="D884" s="234"/>
      <c r="E884" s="235"/>
      <c r="F884" s="232" t="s">
        <v>777</v>
      </c>
      <c r="G884" s="231"/>
      <c r="H884" s="242"/>
      <c r="I884" s="171" t="s">
        <v>10</v>
      </c>
    </row>
    <row r="885" spans="2:9" ht="15.75" customHeight="1" x14ac:dyDescent="0.25">
      <c r="B885" s="120" t="s">
        <v>778</v>
      </c>
      <c r="C885" s="234"/>
      <c r="D885" s="234"/>
      <c r="E885" s="235"/>
      <c r="F885" s="232" t="s">
        <v>776</v>
      </c>
      <c r="G885" s="231"/>
      <c r="H885" s="242"/>
      <c r="I885" s="117" t="s">
        <v>22</v>
      </c>
    </row>
    <row r="886" spans="2:9" ht="15.75" customHeight="1" x14ac:dyDescent="0.25">
      <c r="B886" s="88"/>
      <c r="C886" s="234"/>
      <c r="D886" s="234"/>
      <c r="E886" s="235"/>
      <c r="F886" s="232" t="s">
        <v>777</v>
      </c>
      <c r="G886" s="231"/>
      <c r="H886" s="242"/>
      <c r="I886" s="97" t="s">
        <v>10</v>
      </c>
    </row>
    <row r="887" spans="2:9" ht="15.75" customHeight="1" x14ac:dyDescent="0.25">
      <c r="B887" s="90" t="s">
        <v>779</v>
      </c>
      <c r="C887" s="234"/>
      <c r="D887" s="234"/>
      <c r="E887" s="235">
        <v>127</v>
      </c>
      <c r="F887" s="232"/>
      <c r="G887" s="231"/>
      <c r="H887" s="242"/>
      <c r="I887" s="115"/>
    </row>
    <row r="888" spans="2:9" ht="15.75" customHeight="1" x14ac:dyDescent="0.25">
      <c r="B888" s="89" t="s">
        <v>95</v>
      </c>
      <c r="C888" s="234"/>
      <c r="D888" s="234"/>
      <c r="E888" s="235"/>
      <c r="F888" s="232" t="s">
        <v>776</v>
      </c>
      <c r="G888" s="231"/>
      <c r="H888" s="242"/>
      <c r="I888" s="115" t="s">
        <v>22</v>
      </c>
    </row>
    <row r="889" spans="2:9" ht="15.75" customHeight="1" x14ac:dyDescent="0.25">
      <c r="B889" s="89"/>
      <c r="C889" s="234"/>
      <c r="D889" s="234"/>
      <c r="E889" s="235"/>
      <c r="F889" s="232" t="s">
        <v>777</v>
      </c>
      <c r="G889" s="231"/>
      <c r="H889" s="242"/>
      <c r="I889" s="171" t="s">
        <v>10</v>
      </c>
    </row>
    <row r="890" spans="2:9" ht="15.75" customHeight="1" x14ac:dyDescent="0.25">
      <c r="B890" s="120" t="s">
        <v>498</v>
      </c>
      <c r="C890" s="234"/>
      <c r="D890" s="234"/>
      <c r="E890" s="235"/>
      <c r="F890" s="232" t="s">
        <v>776</v>
      </c>
      <c r="G890" s="231"/>
      <c r="H890" s="242"/>
      <c r="I890" s="117" t="s">
        <v>22</v>
      </c>
    </row>
    <row r="891" spans="2:9" ht="15.75" customHeight="1" x14ac:dyDescent="0.25">
      <c r="B891" s="88"/>
      <c r="C891" s="234"/>
      <c r="D891" s="234"/>
      <c r="E891" s="235"/>
      <c r="F891" s="232" t="s">
        <v>777</v>
      </c>
      <c r="G891" s="231"/>
      <c r="H891" s="242"/>
      <c r="I891" s="97" t="s">
        <v>10</v>
      </c>
    </row>
    <row r="892" spans="2:9" ht="15.75" customHeight="1" x14ac:dyDescent="0.25">
      <c r="B892" s="90" t="s">
        <v>780</v>
      </c>
      <c r="C892" s="234"/>
      <c r="D892" s="234"/>
      <c r="E892" s="235"/>
      <c r="F892" s="232">
        <v>0</v>
      </c>
      <c r="G892" s="231"/>
      <c r="H892" s="242"/>
      <c r="I892" s="115" t="s">
        <v>22</v>
      </c>
    </row>
    <row r="893" spans="2:9" ht="15.75" customHeight="1" x14ac:dyDescent="0.25">
      <c r="B893" s="88"/>
      <c r="C893" s="234"/>
      <c r="D893" s="234"/>
      <c r="E893" s="235"/>
      <c r="F893" s="232">
        <v>0</v>
      </c>
      <c r="G893" s="231"/>
      <c r="H893" s="242"/>
      <c r="I893" s="171" t="s">
        <v>10</v>
      </c>
    </row>
    <row r="894" spans="2:9" ht="15.75" customHeight="1" x14ac:dyDescent="0.25">
      <c r="B894" s="88"/>
      <c r="C894" s="234"/>
      <c r="D894" s="234"/>
      <c r="E894" s="235">
        <v>128</v>
      </c>
      <c r="F894" s="232"/>
      <c r="G894" s="231"/>
      <c r="H894" s="242"/>
      <c r="I894" s="171"/>
    </row>
    <row r="895" spans="2:9" ht="25.5" customHeight="1" x14ac:dyDescent="0.25">
      <c r="B895" s="88" t="s">
        <v>781</v>
      </c>
      <c r="C895" s="234"/>
      <c r="D895" s="234"/>
      <c r="E895" s="235"/>
      <c r="F895" s="232" t="s">
        <v>782</v>
      </c>
      <c r="G895" s="231"/>
      <c r="H895" s="242"/>
      <c r="I895" s="115" t="s">
        <v>22</v>
      </c>
    </row>
    <row r="896" spans="2:9" ht="25.5" customHeight="1" x14ac:dyDescent="0.25">
      <c r="B896" s="88"/>
      <c r="C896" s="234"/>
      <c r="D896" s="234"/>
      <c r="E896" s="235"/>
      <c r="F896" s="232" t="s">
        <v>783</v>
      </c>
      <c r="G896" s="231"/>
      <c r="H896" s="242"/>
      <c r="I896" s="171" t="s">
        <v>10</v>
      </c>
    </row>
    <row r="897" spans="2:9" ht="15.75" customHeight="1" x14ac:dyDescent="0.25">
      <c r="B897" s="89" t="s">
        <v>102</v>
      </c>
      <c r="C897" s="234"/>
      <c r="D897" s="234"/>
      <c r="E897" s="235"/>
      <c r="F897" s="232" t="s">
        <v>784</v>
      </c>
      <c r="G897" s="231"/>
      <c r="H897" s="242"/>
      <c r="I897" s="115" t="s">
        <v>22</v>
      </c>
    </row>
    <row r="898" spans="2:9" ht="15.75" customHeight="1" x14ac:dyDescent="0.25">
      <c r="B898" s="88"/>
      <c r="C898" s="234"/>
      <c r="D898" s="234"/>
      <c r="E898" s="235"/>
      <c r="F898" s="232" t="s">
        <v>785</v>
      </c>
      <c r="G898" s="231"/>
      <c r="H898" s="242"/>
      <c r="I898" s="171" t="s">
        <v>10</v>
      </c>
    </row>
    <row r="899" spans="2:9" ht="15.75" customHeight="1" x14ac:dyDescent="0.25">
      <c r="B899" s="89" t="s">
        <v>109</v>
      </c>
      <c r="C899" s="234"/>
      <c r="D899" s="234"/>
      <c r="E899" s="235"/>
      <c r="F899" s="232" t="s">
        <v>786</v>
      </c>
      <c r="G899" s="231"/>
      <c r="H899" s="242"/>
      <c r="I899" s="115" t="s">
        <v>22</v>
      </c>
    </row>
    <row r="900" spans="2:9" ht="15.75" customHeight="1" x14ac:dyDescent="0.25">
      <c r="B900" s="88"/>
      <c r="C900" s="234"/>
      <c r="D900" s="234"/>
      <c r="E900" s="235"/>
      <c r="F900" s="232" t="s">
        <v>787</v>
      </c>
      <c r="G900" s="231"/>
      <c r="H900" s="242"/>
      <c r="I900" s="171" t="s">
        <v>10</v>
      </c>
    </row>
    <row r="901" spans="2:9" ht="15.75" customHeight="1" x14ac:dyDescent="0.25">
      <c r="B901" s="89" t="s">
        <v>104</v>
      </c>
      <c r="C901" s="234"/>
      <c r="D901" s="234"/>
      <c r="E901" s="235"/>
      <c r="F901" s="232" t="s">
        <v>788</v>
      </c>
      <c r="G901" s="231"/>
      <c r="H901" s="242"/>
      <c r="I901" s="115" t="s">
        <v>22</v>
      </c>
    </row>
    <row r="902" spans="2:9" ht="15.75" customHeight="1" x14ac:dyDescent="0.25">
      <c r="B902" s="88"/>
      <c r="C902" s="234"/>
      <c r="D902" s="234"/>
      <c r="E902" s="235"/>
      <c r="F902" s="232" t="s">
        <v>789</v>
      </c>
      <c r="G902" s="231"/>
      <c r="H902" s="242"/>
      <c r="I902" s="171" t="s">
        <v>10</v>
      </c>
    </row>
    <row r="903" spans="2:9" ht="15.75" customHeight="1" x14ac:dyDescent="0.25">
      <c r="B903" s="81" t="s">
        <v>106</v>
      </c>
      <c r="C903" s="234"/>
      <c r="D903" s="234"/>
      <c r="E903" s="235"/>
      <c r="F903" s="232" t="s">
        <v>790</v>
      </c>
      <c r="G903" s="231"/>
      <c r="H903" s="242"/>
      <c r="I903" s="115" t="s">
        <v>22</v>
      </c>
    </row>
    <row r="904" spans="2:9" ht="15.75" customHeight="1" x14ac:dyDescent="0.25">
      <c r="B904" s="88"/>
      <c r="C904" s="234"/>
      <c r="D904" s="234"/>
      <c r="E904" s="235"/>
      <c r="F904" s="232" t="s">
        <v>791</v>
      </c>
      <c r="G904" s="231"/>
      <c r="H904" s="242"/>
      <c r="I904" s="171" t="s">
        <v>10</v>
      </c>
    </row>
    <row r="905" spans="2:9" ht="15.75" customHeight="1" x14ac:dyDescent="0.25">
      <c r="B905" s="89" t="s">
        <v>127</v>
      </c>
      <c r="C905" s="234"/>
      <c r="D905" s="234"/>
      <c r="E905" s="235"/>
      <c r="F905" s="232">
        <v>0</v>
      </c>
      <c r="G905" s="231"/>
      <c r="H905" s="242"/>
      <c r="I905" s="115" t="s">
        <v>22</v>
      </c>
    </row>
    <row r="906" spans="2:9" ht="15.75" customHeight="1" x14ac:dyDescent="0.25">
      <c r="B906" s="109"/>
      <c r="C906" s="234"/>
      <c r="D906" s="234"/>
      <c r="E906" s="235"/>
      <c r="F906" s="232">
        <v>0</v>
      </c>
      <c r="G906" s="231"/>
      <c r="H906" s="242"/>
      <c r="I906" s="171" t="s">
        <v>10</v>
      </c>
    </row>
    <row r="907" spans="2:9" ht="25.5" customHeight="1" x14ac:dyDescent="0.25">
      <c r="B907" s="90" t="s">
        <v>792</v>
      </c>
      <c r="C907" s="234"/>
      <c r="D907" s="234"/>
      <c r="E907" s="235"/>
      <c r="F907" s="232" t="s">
        <v>793</v>
      </c>
      <c r="G907" s="231"/>
      <c r="H907" s="242"/>
      <c r="I907" s="115" t="s">
        <v>22</v>
      </c>
    </row>
    <row r="908" spans="2:9" ht="25.5" customHeight="1" x14ac:dyDescent="0.25">
      <c r="B908" s="88"/>
      <c r="C908" s="234"/>
      <c r="D908" s="234"/>
      <c r="E908" s="235"/>
      <c r="F908" s="232" t="s">
        <v>794</v>
      </c>
      <c r="G908" s="231"/>
      <c r="H908" s="242"/>
      <c r="I908" s="171" t="s">
        <v>10</v>
      </c>
    </row>
    <row r="909" spans="2:9" ht="15.75" customHeight="1" x14ac:dyDescent="0.25">
      <c r="B909" s="89" t="s">
        <v>109</v>
      </c>
      <c r="C909" s="234"/>
      <c r="D909" s="234"/>
      <c r="E909" s="235"/>
      <c r="F909" s="232" t="s">
        <v>795</v>
      </c>
      <c r="G909" s="231"/>
      <c r="H909" s="242"/>
      <c r="I909" s="115" t="s">
        <v>22</v>
      </c>
    </row>
    <row r="910" spans="2:9" ht="15.75" customHeight="1" x14ac:dyDescent="0.25">
      <c r="B910" s="88"/>
      <c r="C910" s="234"/>
      <c r="D910" s="234"/>
      <c r="E910" s="235"/>
      <c r="F910" s="232" t="s">
        <v>796</v>
      </c>
      <c r="G910" s="231"/>
      <c r="H910" s="242"/>
      <c r="I910" s="171" t="s">
        <v>10</v>
      </c>
    </row>
    <row r="911" spans="2:9" ht="15.75" customHeight="1" x14ac:dyDescent="0.25">
      <c r="B911" s="89" t="s">
        <v>104</v>
      </c>
      <c r="C911" s="234"/>
      <c r="D911" s="234"/>
      <c r="E911" s="235"/>
      <c r="F911" s="232" t="s">
        <v>788</v>
      </c>
      <c r="G911" s="231"/>
      <c r="H911" s="242"/>
      <c r="I911" s="115" t="s">
        <v>22</v>
      </c>
    </row>
    <row r="912" spans="2:9" ht="15.75" customHeight="1" x14ac:dyDescent="0.25">
      <c r="B912" s="88"/>
      <c r="C912" s="234"/>
      <c r="D912" s="234"/>
      <c r="E912" s="235"/>
      <c r="F912" s="232" t="s">
        <v>789</v>
      </c>
      <c r="G912" s="231"/>
      <c r="H912" s="242"/>
      <c r="I912" s="171" t="s">
        <v>10</v>
      </c>
    </row>
    <row r="913" spans="2:9" ht="15.75" customHeight="1" x14ac:dyDescent="0.25">
      <c r="B913" s="81" t="s">
        <v>106</v>
      </c>
      <c r="C913" s="234"/>
      <c r="D913" s="234"/>
      <c r="E913" s="235"/>
      <c r="F913" s="232" t="s">
        <v>790</v>
      </c>
      <c r="G913" s="231"/>
      <c r="H913" s="242"/>
      <c r="I913" s="115" t="s">
        <v>22</v>
      </c>
    </row>
    <row r="914" spans="2:9" ht="15.75" customHeight="1" x14ac:dyDescent="0.25">
      <c r="B914" s="88"/>
      <c r="C914" s="234"/>
      <c r="D914" s="234"/>
      <c r="E914" s="235"/>
      <c r="F914" s="232" t="s">
        <v>791</v>
      </c>
      <c r="G914" s="231"/>
      <c r="H914" s="242"/>
      <c r="I914" s="171" t="s">
        <v>10</v>
      </c>
    </row>
    <row r="915" spans="2:9" ht="15.75" customHeight="1" x14ac:dyDescent="0.25">
      <c r="B915" s="90" t="s">
        <v>797</v>
      </c>
      <c r="C915" s="234"/>
      <c r="D915" s="234"/>
      <c r="E915" s="235"/>
      <c r="F915" s="232" t="s">
        <v>798</v>
      </c>
      <c r="G915" s="231"/>
      <c r="H915" s="242"/>
      <c r="I915" s="115" t="s">
        <v>22</v>
      </c>
    </row>
    <row r="916" spans="2:9" ht="15.75" customHeight="1" x14ac:dyDescent="0.25">
      <c r="B916" s="88"/>
      <c r="C916" s="234"/>
      <c r="D916" s="234"/>
      <c r="E916" s="235"/>
      <c r="F916" s="232" t="s">
        <v>799</v>
      </c>
      <c r="G916" s="231"/>
      <c r="H916" s="242"/>
      <c r="I916" s="171" t="s">
        <v>10</v>
      </c>
    </row>
    <row r="917" spans="2:9" ht="15.75" customHeight="1" x14ac:dyDescent="0.25">
      <c r="B917" s="89" t="s">
        <v>102</v>
      </c>
      <c r="C917" s="234"/>
      <c r="D917" s="234"/>
      <c r="E917" s="235"/>
      <c r="F917" s="232" t="s">
        <v>784</v>
      </c>
      <c r="G917" s="231"/>
      <c r="H917" s="242"/>
      <c r="I917" s="115" t="s">
        <v>22</v>
      </c>
    </row>
    <row r="918" spans="2:9" ht="15.75" customHeight="1" x14ac:dyDescent="0.25">
      <c r="B918" s="88"/>
      <c r="C918" s="234"/>
      <c r="D918" s="234"/>
      <c r="E918" s="235"/>
      <c r="F918" s="232" t="s">
        <v>785</v>
      </c>
      <c r="G918" s="231"/>
      <c r="H918" s="242"/>
      <c r="I918" s="171" t="s">
        <v>10</v>
      </c>
    </row>
    <row r="919" spans="2:9" ht="15.75" customHeight="1" x14ac:dyDescent="0.25">
      <c r="B919" s="89" t="s">
        <v>800</v>
      </c>
      <c r="C919" s="234"/>
      <c r="D919" s="234"/>
      <c r="E919" s="235">
        <v>129</v>
      </c>
      <c r="F919" s="232"/>
      <c r="G919" s="231"/>
      <c r="H919" s="242"/>
      <c r="I919" s="171" t="s">
        <v>22</v>
      </c>
    </row>
    <row r="920" spans="2:9" ht="15.75" customHeight="1" x14ac:dyDescent="0.25">
      <c r="B920" s="88"/>
      <c r="C920" s="234"/>
      <c r="D920" s="234"/>
      <c r="E920" s="235">
        <v>130</v>
      </c>
      <c r="F920" s="232"/>
      <c r="G920" s="231"/>
      <c r="H920" s="242"/>
      <c r="I920" s="171" t="s">
        <v>10</v>
      </c>
    </row>
    <row r="921" spans="2:9" ht="15.75" customHeight="1" x14ac:dyDescent="0.25">
      <c r="B921" s="89" t="s">
        <v>801</v>
      </c>
      <c r="C921" s="234"/>
      <c r="D921" s="234"/>
      <c r="E921" s="235">
        <v>131</v>
      </c>
      <c r="F921" s="232"/>
      <c r="G921" s="231"/>
      <c r="H921" s="242"/>
      <c r="I921" s="115" t="s">
        <v>22</v>
      </c>
    </row>
    <row r="922" spans="2:9" ht="15.75" customHeight="1" x14ac:dyDescent="0.25">
      <c r="B922" s="109"/>
      <c r="C922" s="234"/>
      <c r="D922" s="234"/>
      <c r="E922" s="235">
        <v>132</v>
      </c>
      <c r="F922" s="232"/>
      <c r="G922" s="231"/>
      <c r="H922" s="242"/>
      <c r="I922" s="171" t="s">
        <v>10</v>
      </c>
    </row>
    <row r="923" spans="2:9" ht="15.75" customHeight="1" x14ac:dyDescent="0.25">
      <c r="B923" s="120"/>
      <c r="C923" s="234"/>
      <c r="D923" s="234"/>
      <c r="E923" s="235">
        <v>133</v>
      </c>
      <c r="F923" s="232"/>
      <c r="G923" s="231"/>
      <c r="H923" s="242"/>
      <c r="I923" s="171"/>
    </row>
    <row r="924" spans="2:9" ht="25.5" customHeight="1" x14ac:dyDescent="0.25">
      <c r="B924" s="88" t="s">
        <v>802</v>
      </c>
      <c r="C924" s="234"/>
      <c r="D924" s="234"/>
      <c r="E924" s="235"/>
      <c r="F924" s="232" t="s">
        <v>803</v>
      </c>
      <c r="G924" s="231"/>
      <c r="H924" s="242"/>
      <c r="I924" s="171" t="s">
        <v>10</v>
      </c>
    </row>
    <row r="925" spans="2:9" ht="25.5" customHeight="1" x14ac:dyDescent="0.25">
      <c r="B925" s="89" t="s">
        <v>95</v>
      </c>
      <c r="C925" s="234"/>
      <c r="D925" s="234"/>
      <c r="E925" s="235"/>
      <c r="F925" s="232" t="s">
        <v>803</v>
      </c>
      <c r="G925" s="231"/>
      <c r="H925" s="242"/>
      <c r="I925" s="171" t="s">
        <v>10</v>
      </c>
    </row>
    <row r="926" spans="2:9" ht="15.75" customHeight="1" x14ac:dyDescent="0.25">
      <c r="B926" s="120" t="s">
        <v>147</v>
      </c>
      <c r="C926" s="234"/>
      <c r="D926" s="234"/>
      <c r="E926" s="235"/>
      <c r="F926" s="232" t="s">
        <v>804</v>
      </c>
      <c r="G926" s="231"/>
      <c r="H926" s="242"/>
      <c r="I926" s="58" t="s">
        <v>10</v>
      </c>
    </row>
    <row r="927" spans="2:9" ht="15.75" customHeight="1" x14ac:dyDescent="0.25">
      <c r="B927" s="120" t="s">
        <v>491</v>
      </c>
      <c r="C927" s="234"/>
      <c r="D927" s="234"/>
      <c r="E927" s="235"/>
      <c r="F927" s="232" t="s">
        <v>805</v>
      </c>
      <c r="G927" s="231"/>
      <c r="H927" s="242"/>
      <c r="I927" s="58" t="s">
        <v>10</v>
      </c>
    </row>
    <row r="928" spans="2:9" ht="15.75" customHeight="1" x14ac:dyDescent="0.25">
      <c r="B928" s="120" t="s">
        <v>30</v>
      </c>
      <c r="C928" s="234"/>
      <c r="D928" s="234"/>
      <c r="E928" s="235"/>
      <c r="F928" s="232" t="s">
        <v>806</v>
      </c>
      <c r="G928" s="231"/>
      <c r="H928" s="242"/>
      <c r="I928" s="58" t="s">
        <v>10</v>
      </c>
    </row>
    <row r="929" spans="2:9" ht="25.5" customHeight="1" x14ac:dyDescent="0.25">
      <c r="B929" s="90" t="s">
        <v>807</v>
      </c>
      <c r="C929" s="234"/>
      <c r="D929" s="234"/>
      <c r="E929" s="235"/>
      <c r="F929" s="232" t="s">
        <v>808</v>
      </c>
      <c r="G929" s="231"/>
      <c r="H929" s="242"/>
      <c r="I929" s="171" t="s">
        <v>10</v>
      </c>
    </row>
    <row r="930" spans="2:9" ht="25.5" customHeight="1" x14ac:dyDescent="0.25">
      <c r="B930" s="89" t="s">
        <v>95</v>
      </c>
      <c r="C930" s="234"/>
      <c r="D930" s="234"/>
      <c r="E930" s="235"/>
      <c r="F930" s="232" t="s">
        <v>808</v>
      </c>
      <c r="G930" s="231"/>
      <c r="H930" s="242"/>
      <c r="I930" s="171" t="s">
        <v>10</v>
      </c>
    </row>
    <row r="931" spans="2:9" ht="15.75" customHeight="1" x14ac:dyDescent="0.25">
      <c r="B931" s="120" t="s">
        <v>368</v>
      </c>
      <c r="C931" s="234"/>
      <c r="D931" s="234"/>
      <c r="E931" s="235"/>
      <c r="F931" s="232" t="s">
        <v>809</v>
      </c>
      <c r="G931" s="231"/>
      <c r="H931" s="242"/>
      <c r="I931" s="58" t="s">
        <v>10</v>
      </c>
    </row>
    <row r="932" spans="2:9" ht="15.75" customHeight="1" x14ac:dyDescent="0.25">
      <c r="B932" s="120" t="s">
        <v>491</v>
      </c>
      <c r="C932" s="234"/>
      <c r="D932" s="234"/>
      <c r="E932" s="235"/>
      <c r="F932" s="232" t="s">
        <v>805</v>
      </c>
      <c r="G932" s="231"/>
      <c r="H932" s="242"/>
      <c r="I932" s="58" t="s">
        <v>10</v>
      </c>
    </row>
    <row r="933" spans="2:9" ht="15.75" customHeight="1" x14ac:dyDescent="0.25">
      <c r="B933" s="120" t="s">
        <v>30</v>
      </c>
      <c r="C933" s="234"/>
      <c r="D933" s="234"/>
      <c r="E933" s="235"/>
      <c r="F933" s="232" t="s">
        <v>806</v>
      </c>
      <c r="G933" s="231"/>
      <c r="H933" s="242"/>
      <c r="I933" s="58" t="s">
        <v>10</v>
      </c>
    </row>
    <row r="934" spans="2:9" ht="15.75" customHeight="1" x14ac:dyDescent="0.25">
      <c r="B934" s="90" t="s">
        <v>810</v>
      </c>
      <c r="C934" s="234"/>
      <c r="D934" s="234"/>
      <c r="E934" s="235"/>
      <c r="F934" s="232">
        <v>0</v>
      </c>
      <c r="G934" s="231"/>
      <c r="H934" s="242"/>
      <c r="I934" s="171" t="s">
        <v>10</v>
      </c>
    </row>
    <row r="935" spans="2:9" ht="15.75" customHeight="1" x14ac:dyDescent="0.25">
      <c r="B935" s="89" t="s">
        <v>811</v>
      </c>
      <c r="C935" s="234"/>
      <c r="D935" s="234"/>
      <c r="E935" s="235"/>
      <c r="F935" s="232">
        <v>0</v>
      </c>
      <c r="G935" s="231"/>
      <c r="H935" s="242"/>
      <c r="I935" s="171" t="s">
        <v>10</v>
      </c>
    </row>
    <row r="936" spans="2:9" ht="15.75" customHeight="1" x14ac:dyDescent="0.25">
      <c r="B936" s="120" t="s">
        <v>368</v>
      </c>
      <c r="C936" s="234"/>
      <c r="D936" s="234"/>
      <c r="E936" s="235">
        <v>134</v>
      </c>
      <c r="F936" s="232"/>
      <c r="G936" s="231"/>
      <c r="H936" s="242"/>
      <c r="I936" s="58" t="s">
        <v>10</v>
      </c>
    </row>
    <row r="937" spans="2:9" ht="15.75" customHeight="1" x14ac:dyDescent="0.25">
      <c r="B937" s="202"/>
      <c r="C937" s="234"/>
      <c r="D937" s="234"/>
      <c r="E937" s="235">
        <v>135</v>
      </c>
      <c r="F937" s="232"/>
      <c r="G937" s="231"/>
      <c r="H937" s="242"/>
      <c r="I937" s="171"/>
    </row>
    <row r="938" spans="2:9" ht="15.75" customHeight="1" x14ac:dyDescent="0.25">
      <c r="B938" s="123" t="s">
        <v>812</v>
      </c>
      <c r="C938" s="234"/>
      <c r="D938" s="234"/>
      <c r="E938" s="235">
        <v>136</v>
      </c>
      <c r="F938" s="232"/>
      <c r="G938" s="231"/>
      <c r="H938" s="242"/>
      <c r="I938" s="92"/>
    </row>
    <row r="939" spans="2:9" ht="15.75" customHeight="1" x14ac:dyDescent="0.25">
      <c r="B939" s="123"/>
      <c r="C939" s="234"/>
      <c r="D939" s="234"/>
      <c r="E939" s="235">
        <v>137</v>
      </c>
      <c r="F939" s="232"/>
      <c r="G939" s="231"/>
      <c r="H939" s="242"/>
      <c r="I939" s="92" t="s">
        <v>10</v>
      </c>
    </row>
    <row r="940" spans="2:9" ht="15.75" customHeight="1" x14ac:dyDescent="0.25">
      <c r="B940" s="94" t="s">
        <v>95</v>
      </c>
      <c r="C940" s="234"/>
      <c r="D940" s="234"/>
      <c r="E940" s="235">
        <v>138</v>
      </c>
      <c r="F940" s="232"/>
      <c r="G940" s="231"/>
      <c r="H940" s="242"/>
      <c r="I940" s="92" t="s">
        <v>10</v>
      </c>
    </row>
    <row r="941" spans="2:9" ht="15.75" customHeight="1" x14ac:dyDescent="0.25">
      <c r="B941" s="93" t="s">
        <v>147</v>
      </c>
      <c r="C941" s="234"/>
      <c r="D941" s="234"/>
      <c r="E941" s="235">
        <v>139</v>
      </c>
      <c r="F941" s="232"/>
      <c r="G941" s="231"/>
      <c r="H941" s="242"/>
      <c r="I941" s="61" t="s">
        <v>10</v>
      </c>
    </row>
    <row r="942" spans="2:9" ht="15.75" customHeight="1" x14ac:dyDescent="0.25">
      <c r="B942" s="104" t="s">
        <v>813</v>
      </c>
      <c r="C942" s="234"/>
      <c r="D942" s="234"/>
      <c r="E942" s="235">
        <v>140</v>
      </c>
      <c r="F942" s="232"/>
      <c r="G942" s="231"/>
      <c r="H942" s="242"/>
      <c r="I942" s="92" t="s">
        <v>10</v>
      </c>
    </row>
    <row r="943" spans="2:9" ht="15.75" customHeight="1" x14ac:dyDescent="0.25">
      <c r="B943" s="94" t="s">
        <v>95</v>
      </c>
      <c r="C943" s="234"/>
      <c r="D943" s="234"/>
      <c r="E943" s="235">
        <v>141</v>
      </c>
      <c r="F943" s="232"/>
      <c r="G943" s="231"/>
      <c r="H943" s="242"/>
      <c r="I943" s="92" t="s">
        <v>10</v>
      </c>
    </row>
    <row r="944" spans="2:9" ht="15.75" customHeight="1" x14ac:dyDescent="0.25">
      <c r="B944" s="93" t="s">
        <v>147</v>
      </c>
      <c r="C944" s="234"/>
      <c r="D944" s="234"/>
      <c r="E944" s="235">
        <v>142</v>
      </c>
      <c r="F944" s="232"/>
      <c r="G944" s="231"/>
      <c r="H944" s="242"/>
      <c r="I944" s="61" t="s">
        <v>10</v>
      </c>
    </row>
    <row r="945" spans="2:9" ht="15.75" customHeight="1" x14ac:dyDescent="0.25">
      <c r="B945" s="104" t="s">
        <v>814</v>
      </c>
      <c r="C945" s="234"/>
      <c r="D945" s="234"/>
      <c r="E945" s="235">
        <v>143</v>
      </c>
      <c r="F945" s="232"/>
      <c r="G945" s="231"/>
      <c r="H945" s="242"/>
      <c r="I945" s="92" t="s">
        <v>10</v>
      </c>
    </row>
    <row r="946" spans="2:9" ht="15.75" customHeight="1" x14ac:dyDescent="0.25">
      <c r="B946" s="123"/>
      <c r="C946" s="234"/>
      <c r="D946" s="234"/>
      <c r="E946" s="235">
        <v>144</v>
      </c>
      <c r="F946" s="232"/>
      <c r="G946" s="231"/>
      <c r="H946" s="242"/>
      <c r="I946" s="92"/>
    </row>
    <row r="947" spans="2:9" ht="15.75" customHeight="1" x14ac:dyDescent="0.25">
      <c r="B947" s="123"/>
      <c r="C947" s="234"/>
      <c r="D947" s="234"/>
      <c r="E947" s="235">
        <v>145</v>
      </c>
      <c r="F947" s="232"/>
      <c r="G947" s="231"/>
      <c r="H947" s="242"/>
      <c r="I947" s="92"/>
    </row>
    <row r="948" spans="2:9" ht="15.75" customHeight="1" x14ac:dyDescent="0.25">
      <c r="B948" s="124" t="s">
        <v>815</v>
      </c>
      <c r="C948" s="234"/>
      <c r="D948" s="234"/>
      <c r="E948" s="235">
        <v>146</v>
      </c>
      <c r="F948" s="232"/>
      <c r="G948" s="231"/>
      <c r="H948" s="242"/>
      <c r="I948" s="92"/>
    </row>
    <row r="949" spans="2:9" ht="15.75" customHeight="1" x14ac:dyDescent="0.25">
      <c r="B949" s="123"/>
      <c r="C949" s="234"/>
      <c r="D949" s="234"/>
      <c r="E949" s="235">
        <v>147</v>
      </c>
      <c r="F949" s="232"/>
      <c r="G949" s="231"/>
      <c r="H949" s="242"/>
      <c r="I949" s="92"/>
    </row>
    <row r="950" spans="2:9" ht="15.75" customHeight="1" x14ac:dyDescent="0.25">
      <c r="B950" s="123" t="s">
        <v>816</v>
      </c>
      <c r="C950" s="234"/>
      <c r="D950" s="234"/>
      <c r="E950" s="235">
        <v>148</v>
      </c>
      <c r="F950" s="232"/>
      <c r="G950" s="231"/>
      <c r="H950" s="242"/>
      <c r="I950" s="92"/>
    </row>
    <row r="951" spans="2:9" ht="15.75" customHeight="1" x14ac:dyDescent="0.25">
      <c r="B951" s="94" t="s">
        <v>817</v>
      </c>
      <c r="C951" s="234"/>
      <c r="D951" s="234"/>
      <c r="E951" s="235"/>
      <c r="F951" s="232" t="s">
        <v>818</v>
      </c>
      <c r="G951" s="231"/>
      <c r="H951" s="242"/>
      <c r="I951" s="92" t="s">
        <v>10</v>
      </c>
    </row>
    <row r="952" spans="2:9" ht="15.75" customHeight="1" x14ac:dyDescent="0.25">
      <c r="B952" s="93" t="s">
        <v>819</v>
      </c>
      <c r="C952" s="234"/>
      <c r="D952" s="234"/>
      <c r="E952" s="235">
        <v>149</v>
      </c>
      <c r="F952" s="232"/>
      <c r="G952" s="231"/>
      <c r="H952" s="242"/>
      <c r="I952" s="92"/>
    </row>
    <row r="953" spans="2:9" ht="15.75" customHeight="1" x14ac:dyDescent="0.25">
      <c r="B953" s="125"/>
      <c r="C953" s="234"/>
      <c r="D953" s="234"/>
      <c r="E953" s="235">
        <v>150</v>
      </c>
      <c r="F953" s="232"/>
      <c r="G953" s="231"/>
      <c r="H953" s="242"/>
      <c r="I953" s="92"/>
    </row>
    <row r="954" spans="2:9" ht="15.75" customHeight="1" x14ac:dyDescent="0.25">
      <c r="B954" s="126"/>
      <c r="C954" s="234"/>
      <c r="D954" s="234"/>
      <c r="E954" s="235">
        <v>151</v>
      </c>
      <c r="F954" s="232"/>
      <c r="G954" s="231"/>
      <c r="H954" s="242"/>
      <c r="I954" s="92"/>
    </row>
    <row r="955" spans="2:9" ht="15.75" customHeight="1" x14ac:dyDescent="0.25">
      <c r="B955" s="123" t="s">
        <v>820</v>
      </c>
      <c r="C955" s="234"/>
      <c r="D955" s="234"/>
      <c r="E955" s="235">
        <v>152</v>
      </c>
      <c r="F955" s="232"/>
      <c r="G955" s="231"/>
      <c r="H955" s="242"/>
      <c r="I955" s="92"/>
    </row>
    <row r="956" spans="2:9" ht="15.75" customHeight="1" x14ac:dyDescent="0.25">
      <c r="B956" s="94" t="s">
        <v>95</v>
      </c>
      <c r="C956" s="234"/>
      <c r="D956" s="234"/>
      <c r="E956" s="235">
        <v>153</v>
      </c>
      <c r="F956" s="232"/>
      <c r="G956" s="231"/>
      <c r="H956" s="242"/>
      <c r="I956" s="92" t="s">
        <v>10</v>
      </c>
    </row>
    <row r="957" spans="2:9" x14ac:dyDescent="0.25">
      <c r="B957" s="127" t="s">
        <v>821</v>
      </c>
      <c r="C957" s="234"/>
      <c r="D957" s="234"/>
      <c r="E957" s="235">
        <v>154</v>
      </c>
      <c r="F957" s="232"/>
      <c r="G957" s="231"/>
      <c r="H957" s="242"/>
      <c r="I957" s="152"/>
    </row>
    <row r="958" spans="2:9" x14ac:dyDescent="0.25">
      <c r="B958" s="128"/>
      <c r="C958" s="234"/>
      <c r="D958" s="234"/>
      <c r="E958" s="235">
        <v>155</v>
      </c>
      <c r="F958" s="232"/>
      <c r="G958" s="231"/>
      <c r="H958" s="242"/>
      <c r="I958" s="129"/>
    </row>
    <row r="959" spans="2:9" ht="15.75" customHeight="1" x14ac:dyDescent="0.25">
      <c r="B959" s="125"/>
      <c r="C959" s="234"/>
      <c r="D959" s="234"/>
      <c r="E959" s="235">
        <v>156</v>
      </c>
      <c r="F959" s="232"/>
      <c r="G959" s="231"/>
      <c r="H959" s="242"/>
      <c r="I959" s="130"/>
    </row>
    <row r="960" spans="2:9" ht="15.75" customHeight="1" x14ac:dyDescent="0.25">
      <c r="B960" s="125"/>
      <c r="C960" s="234"/>
      <c r="D960" s="234"/>
      <c r="E960" s="235">
        <v>157</v>
      </c>
      <c r="F960" s="232"/>
      <c r="G960" s="231"/>
      <c r="H960" s="242"/>
      <c r="I960" s="130"/>
    </row>
    <row r="961" spans="2:9" ht="15.75" customHeight="1" x14ac:dyDescent="0.25">
      <c r="B961" s="88" t="s">
        <v>822</v>
      </c>
      <c r="C961" s="234"/>
      <c r="D961" s="234"/>
      <c r="E961" s="235">
        <v>158</v>
      </c>
      <c r="F961" s="232"/>
      <c r="G961" s="231"/>
      <c r="H961" s="242"/>
      <c r="I961" s="88"/>
    </row>
    <row r="962" spans="2:9" ht="15.75" customHeight="1" x14ac:dyDescent="0.25">
      <c r="B962" s="88" t="s">
        <v>823</v>
      </c>
      <c r="C962" s="234"/>
      <c r="D962" s="234"/>
      <c r="E962" s="235">
        <v>159</v>
      </c>
      <c r="F962" s="232"/>
      <c r="G962" s="231"/>
      <c r="H962" s="242"/>
      <c r="I962" s="88"/>
    </row>
    <row r="963" spans="2:9" ht="15.75" customHeight="1" x14ac:dyDescent="0.25">
      <c r="B963" s="131"/>
      <c r="C963" s="234"/>
      <c r="D963" s="234"/>
      <c r="E963" s="235">
        <v>160</v>
      </c>
      <c r="F963" s="232"/>
      <c r="G963" s="231"/>
      <c r="H963" s="242"/>
      <c r="I963" s="171"/>
    </row>
    <row r="964" spans="2:9" ht="15.75" customHeight="1" x14ac:dyDescent="0.25">
      <c r="B964" s="132" t="s">
        <v>824</v>
      </c>
      <c r="C964" s="234"/>
      <c r="D964" s="234"/>
      <c r="E964" s="235">
        <v>161</v>
      </c>
      <c r="F964" s="232"/>
      <c r="G964" s="231"/>
      <c r="H964" s="242"/>
      <c r="I964" s="132"/>
    </row>
    <row r="965" spans="2:9" ht="15.75" customHeight="1" x14ac:dyDescent="0.25">
      <c r="B965" s="88"/>
      <c r="C965" s="234"/>
      <c r="D965" s="234"/>
      <c r="E965" s="235">
        <v>162</v>
      </c>
      <c r="F965" s="232"/>
      <c r="G965" s="231"/>
      <c r="H965" s="242"/>
      <c r="I965" s="171"/>
    </row>
    <row r="966" spans="2:9" ht="15.75" customHeight="1" x14ac:dyDescent="0.25">
      <c r="B966" s="133" t="s">
        <v>19</v>
      </c>
      <c r="C966" s="234"/>
      <c r="D966" s="234"/>
      <c r="E966" s="235">
        <v>163</v>
      </c>
      <c r="F966" s="232"/>
      <c r="G966" s="231"/>
      <c r="H966" s="242"/>
      <c r="I966" s="134"/>
    </row>
    <row r="967" spans="2:9" ht="15.75" customHeight="1" x14ac:dyDescent="0.25">
      <c r="B967" s="135"/>
      <c r="C967" s="234"/>
      <c r="D967" s="234"/>
      <c r="E967" s="235">
        <v>164</v>
      </c>
      <c r="F967" s="232"/>
      <c r="G967" s="231"/>
      <c r="H967" s="242"/>
      <c r="I967" s="134"/>
    </row>
    <row r="968" spans="2:9" ht="15.75" customHeight="1" x14ac:dyDescent="0.25">
      <c r="B968" s="133" t="s">
        <v>825</v>
      </c>
      <c r="C968" s="234"/>
      <c r="D968" s="234"/>
      <c r="E968" s="235">
        <v>165</v>
      </c>
      <c r="F968" s="232"/>
      <c r="G968" s="231"/>
      <c r="H968" s="242"/>
      <c r="I968" s="134" t="s">
        <v>826</v>
      </c>
    </row>
    <row r="969" spans="2:9" ht="15.75" customHeight="1" x14ac:dyDescent="0.25">
      <c r="B969" s="136" t="s">
        <v>824</v>
      </c>
      <c r="C969" s="234"/>
      <c r="D969" s="234"/>
      <c r="E969" s="235">
        <v>166</v>
      </c>
      <c r="F969" s="232"/>
      <c r="G969" s="231"/>
      <c r="H969" s="242"/>
      <c r="I969" s="134" t="s">
        <v>826</v>
      </c>
    </row>
    <row r="970" spans="2:9" ht="15.75" customHeight="1" x14ac:dyDescent="0.25">
      <c r="B970" s="133"/>
      <c r="C970" s="234"/>
      <c r="D970" s="234"/>
      <c r="E970" s="235">
        <v>167</v>
      </c>
      <c r="F970" s="232"/>
      <c r="G970" s="231"/>
      <c r="H970" s="242"/>
      <c r="I970" s="134"/>
    </row>
    <row r="971" spans="2:9" ht="15.75" customHeight="1" x14ac:dyDescent="0.25">
      <c r="B971" s="133" t="s">
        <v>296</v>
      </c>
      <c r="C971" s="234"/>
      <c r="D971" s="234"/>
      <c r="E971" s="235">
        <v>168</v>
      </c>
      <c r="F971" s="232"/>
      <c r="G971" s="231"/>
      <c r="H971" s="242"/>
      <c r="I971" s="134"/>
    </row>
    <row r="972" spans="2:9" ht="15.75" customHeight="1" x14ac:dyDescent="0.25">
      <c r="B972" s="133" t="s">
        <v>827</v>
      </c>
      <c r="C972" s="234"/>
      <c r="D972" s="234"/>
      <c r="E972" s="235">
        <v>169</v>
      </c>
      <c r="F972" s="232"/>
      <c r="G972" s="231"/>
      <c r="H972" s="242"/>
      <c r="I972" s="137" t="s">
        <v>826</v>
      </c>
    </row>
    <row r="973" spans="2:9" ht="15.75" customHeight="1" x14ac:dyDescent="0.25">
      <c r="B973" s="133"/>
      <c r="C973" s="234"/>
      <c r="D973" s="234"/>
      <c r="E973" s="235">
        <v>170</v>
      </c>
      <c r="F973" s="232"/>
      <c r="G973" s="231"/>
      <c r="H973" s="242"/>
      <c r="I973" s="134" t="s">
        <v>10</v>
      </c>
    </row>
    <row r="974" spans="2:9" ht="15.75" customHeight="1" x14ac:dyDescent="0.25">
      <c r="B974" s="136" t="s">
        <v>824</v>
      </c>
      <c r="C974" s="234"/>
      <c r="D974" s="234"/>
      <c r="E974" s="235">
        <v>171</v>
      </c>
      <c r="F974" s="232"/>
      <c r="G974" s="231"/>
      <c r="H974" s="242"/>
      <c r="I974" s="137" t="s">
        <v>826</v>
      </c>
    </row>
    <row r="975" spans="2:9" ht="15.75" customHeight="1" x14ac:dyDescent="0.25">
      <c r="B975" s="136"/>
      <c r="C975" s="234"/>
      <c r="D975" s="234"/>
      <c r="E975" s="235">
        <v>172</v>
      </c>
      <c r="F975" s="232"/>
      <c r="G975" s="231"/>
      <c r="H975" s="242"/>
      <c r="I975" s="134" t="s">
        <v>10</v>
      </c>
    </row>
    <row r="976" spans="2:9" ht="15.75" customHeight="1" x14ac:dyDescent="0.25">
      <c r="B976" s="88" t="s">
        <v>828</v>
      </c>
      <c r="C976" s="234"/>
      <c r="D976" s="234"/>
      <c r="E976" s="235"/>
      <c r="F976" s="232" t="s">
        <v>829</v>
      </c>
      <c r="G976" s="231"/>
      <c r="H976" s="242"/>
      <c r="I976" s="171" t="s">
        <v>10</v>
      </c>
    </row>
    <row r="977" spans="2:9" ht="15.75" customHeight="1" x14ac:dyDescent="0.25">
      <c r="B977" s="120" t="s">
        <v>824</v>
      </c>
      <c r="C977" s="234"/>
      <c r="D977" s="234"/>
      <c r="E977" s="235"/>
      <c r="F977" s="232" t="s">
        <v>829</v>
      </c>
      <c r="G977" s="231"/>
      <c r="H977" s="242"/>
      <c r="I977" s="58" t="s">
        <v>10</v>
      </c>
    </row>
    <row r="978" spans="2:9" ht="15.75" customHeight="1" x14ac:dyDescent="0.25">
      <c r="B978" s="120"/>
      <c r="C978" s="234"/>
      <c r="D978" s="234"/>
      <c r="E978" s="235">
        <v>173</v>
      </c>
      <c r="F978" s="232"/>
      <c r="G978" s="231"/>
      <c r="H978" s="242"/>
      <c r="I978" s="171"/>
    </row>
    <row r="979" spans="2:9" ht="15.75" customHeight="1" x14ac:dyDescent="0.25">
      <c r="B979" s="135"/>
      <c r="C979" s="234"/>
      <c r="D979" s="234"/>
      <c r="E979" s="235">
        <v>174</v>
      </c>
      <c r="F979" s="232"/>
      <c r="G979" s="231"/>
      <c r="H979" s="242"/>
      <c r="I979" s="133"/>
    </row>
    <row r="980" spans="2:9" ht="15.75" customHeight="1" x14ac:dyDescent="0.25">
      <c r="B980" s="138" t="s">
        <v>830</v>
      </c>
      <c r="C980" s="234"/>
      <c r="D980" s="234"/>
      <c r="E980" s="235">
        <v>175</v>
      </c>
      <c r="F980" s="232"/>
      <c r="G980" s="231"/>
      <c r="H980" s="242"/>
      <c r="I980" s="134"/>
    </row>
    <row r="981" spans="2:9" ht="15.75" customHeight="1" x14ac:dyDescent="0.25">
      <c r="B981" s="133" t="s">
        <v>825</v>
      </c>
      <c r="C981" s="234"/>
      <c r="D981" s="234"/>
      <c r="E981" s="235">
        <v>176</v>
      </c>
      <c r="F981" s="232"/>
      <c r="G981" s="231"/>
      <c r="H981" s="242"/>
      <c r="I981" s="134" t="s">
        <v>826</v>
      </c>
    </row>
    <row r="982" spans="2:9" ht="15.75" customHeight="1" x14ac:dyDescent="0.25">
      <c r="B982" s="135"/>
      <c r="C982" s="234"/>
      <c r="D982" s="234"/>
      <c r="E982" s="235">
        <v>177</v>
      </c>
      <c r="F982" s="232"/>
      <c r="G982" s="231"/>
      <c r="H982" s="242"/>
      <c r="I982" s="134"/>
    </row>
    <row r="983" spans="2:9" ht="15.75" customHeight="1" x14ac:dyDescent="0.25">
      <c r="B983" s="139" t="s">
        <v>831</v>
      </c>
      <c r="C983" s="234"/>
      <c r="D983" s="234"/>
      <c r="E983" s="235">
        <v>178</v>
      </c>
      <c r="F983" s="232"/>
      <c r="G983" s="231"/>
      <c r="H983" s="242"/>
      <c r="I983" s="134" t="s">
        <v>10</v>
      </c>
    </row>
    <row r="984" spans="2:9" ht="15.75" customHeight="1" x14ac:dyDescent="0.25">
      <c r="B984" s="139"/>
      <c r="C984" s="234"/>
      <c r="D984" s="234"/>
      <c r="E984" s="235">
        <v>179</v>
      </c>
      <c r="F984" s="232"/>
      <c r="G984" s="231"/>
      <c r="H984" s="242"/>
      <c r="I984" s="134"/>
    </row>
    <row r="985" spans="2:9" ht="15.75" customHeight="1" x14ac:dyDescent="0.25">
      <c r="B985" s="140" t="s">
        <v>832</v>
      </c>
      <c r="C985" s="234"/>
      <c r="D985" s="234"/>
      <c r="E985" s="235">
        <v>180</v>
      </c>
      <c r="F985" s="232"/>
      <c r="G985" s="231"/>
      <c r="H985" s="242"/>
      <c r="I985" s="134" t="s">
        <v>10</v>
      </c>
    </row>
    <row r="986" spans="2:9" ht="15.75" customHeight="1" x14ac:dyDescent="0.25">
      <c r="B986" s="135"/>
      <c r="C986" s="234"/>
      <c r="D986" s="234"/>
      <c r="E986" s="235">
        <v>181</v>
      </c>
      <c r="F986" s="232"/>
      <c r="G986" s="231"/>
      <c r="H986" s="242"/>
      <c r="I986" s="134"/>
    </row>
    <row r="987" spans="2:9" ht="15.75" customHeight="1" x14ac:dyDescent="0.25">
      <c r="B987" s="140" t="s">
        <v>833</v>
      </c>
      <c r="C987" s="234"/>
      <c r="D987" s="234"/>
      <c r="E987" s="235">
        <v>182</v>
      </c>
      <c r="F987" s="232"/>
      <c r="G987" s="231"/>
      <c r="H987" s="242"/>
      <c r="I987" s="134" t="s">
        <v>10</v>
      </c>
    </row>
    <row r="988" spans="2:9" ht="15.75" customHeight="1" x14ac:dyDescent="0.25">
      <c r="B988" s="135"/>
      <c r="C988" s="234"/>
      <c r="D988" s="234"/>
      <c r="E988" s="235">
        <v>183</v>
      </c>
      <c r="F988" s="232"/>
      <c r="G988" s="231"/>
      <c r="H988" s="242"/>
      <c r="I988" s="134"/>
    </row>
    <row r="989" spans="2:9" ht="15.75" customHeight="1" x14ac:dyDescent="0.25">
      <c r="B989" s="133" t="s">
        <v>296</v>
      </c>
      <c r="C989" s="234"/>
      <c r="D989" s="234"/>
      <c r="E989" s="235">
        <v>184</v>
      </c>
      <c r="F989" s="232"/>
      <c r="G989" s="231"/>
      <c r="H989" s="242"/>
      <c r="I989" s="134"/>
    </row>
    <row r="990" spans="2:9" ht="15.75" customHeight="1" x14ac:dyDescent="0.25">
      <c r="B990" s="133" t="s">
        <v>827</v>
      </c>
      <c r="C990" s="234"/>
      <c r="D990" s="234"/>
      <c r="E990" s="235">
        <v>185</v>
      </c>
      <c r="F990" s="232"/>
      <c r="G990" s="231"/>
      <c r="H990" s="242"/>
      <c r="I990" s="137" t="s">
        <v>826</v>
      </c>
    </row>
    <row r="991" spans="2:9" ht="15.75" customHeight="1" x14ac:dyDescent="0.25">
      <c r="B991" s="133"/>
      <c r="C991" s="234"/>
      <c r="D991" s="234"/>
      <c r="E991" s="235">
        <v>186</v>
      </c>
      <c r="F991" s="232"/>
      <c r="G991" s="231"/>
      <c r="H991" s="242"/>
      <c r="I991" s="134" t="s">
        <v>10</v>
      </c>
    </row>
    <row r="992" spans="2:9" ht="15.75" customHeight="1" x14ac:dyDescent="0.25">
      <c r="B992" s="136"/>
      <c r="C992" s="234"/>
      <c r="D992" s="234"/>
      <c r="E992" s="235">
        <v>187</v>
      </c>
      <c r="F992" s="232"/>
      <c r="G992" s="231"/>
      <c r="H992" s="242"/>
      <c r="I992" s="134"/>
    </row>
    <row r="993" spans="2:9" ht="25.5" customHeight="1" x14ac:dyDescent="0.25">
      <c r="B993" s="133" t="s">
        <v>834</v>
      </c>
      <c r="C993" s="234"/>
      <c r="D993" s="234"/>
      <c r="E993" s="235"/>
      <c r="F993" s="232" t="s">
        <v>835</v>
      </c>
      <c r="G993" s="231"/>
      <c r="H993" s="242"/>
      <c r="I993" s="134" t="s">
        <v>10</v>
      </c>
    </row>
    <row r="994" spans="2:9" ht="38.25" customHeight="1" x14ac:dyDescent="0.25">
      <c r="B994" s="141" t="s">
        <v>836</v>
      </c>
      <c r="C994" s="234"/>
      <c r="D994" s="234"/>
      <c r="E994" s="235"/>
      <c r="F994" s="232" t="s">
        <v>837</v>
      </c>
      <c r="G994" s="231"/>
      <c r="H994" s="242"/>
      <c r="I994" s="134" t="s">
        <v>10</v>
      </c>
    </row>
    <row r="995" spans="2:9" ht="15.75" customHeight="1" x14ac:dyDescent="0.25">
      <c r="B995" s="142" t="s">
        <v>838</v>
      </c>
      <c r="C995" s="234"/>
      <c r="D995" s="234"/>
      <c r="E995" s="235"/>
      <c r="F995" s="232" t="s">
        <v>839</v>
      </c>
      <c r="G995" s="231"/>
      <c r="H995" s="242"/>
      <c r="I995" s="134" t="s">
        <v>10</v>
      </c>
    </row>
    <row r="996" spans="2:9" ht="15.75" customHeight="1" x14ac:dyDescent="0.25">
      <c r="B996" s="141" t="s">
        <v>840</v>
      </c>
      <c r="C996" s="234"/>
      <c r="D996" s="234"/>
      <c r="E996" s="235"/>
      <c r="F996" s="232">
        <v>153.5</v>
      </c>
      <c r="G996" s="231"/>
      <c r="H996" s="242"/>
      <c r="I996" s="134" t="s">
        <v>10</v>
      </c>
    </row>
    <row r="997" spans="2:9" ht="15.75" customHeight="1" x14ac:dyDescent="0.25">
      <c r="B997" s="135"/>
      <c r="C997" s="234"/>
      <c r="D997" s="234"/>
      <c r="E997" s="235">
        <v>188</v>
      </c>
      <c r="F997" s="232"/>
      <c r="G997" s="231"/>
      <c r="H997" s="242"/>
      <c r="I997" s="134"/>
    </row>
    <row r="998" spans="2:9" ht="15.75" customHeight="1" x14ac:dyDescent="0.25">
      <c r="B998" s="135"/>
      <c r="C998" s="234"/>
      <c r="D998" s="234"/>
      <c r="E998" s="235">
        <v>189</v>
      </c>
      <c r="F998" s="232"/>
      <c r="G998" s="231"/>
      <c r="H998" s="242"/>
      <c r="I998" s="134"/>
    </row>
    <row r="999" spans="2:9" ht="15.75" customHeight="1" x14ac:dyDescent="0.25">
      <c r="B999" s="135"/>
      <c r="C999" s="234"/>
      <c r="D999" s="234"/>
      <c r="E999" s="235">
        <v>190</v>
      </c>
      <c r="F999" s="232"/>
      <c r="G999" s="231"/>
      <c r="H999" s="242"/>
      <c r="I999" s="134"/>
    </row>
    <row r="1000" spans="2:9" ht="15.75" customHeight="1" x14ac:dyDescent="0.25">
      <c r="B1000" s="135"/>
      <c r="C1000" s="234"/>
      <c r="D1000" s="234"/>
      <c r="E1000" s="235">
        <v>191</v>
      </c>
      <c r="F1000" s="232"/>
      <c r="G1000" s="231"/>
      <c r="H1000" s="242"/>
      <c r="I1000" s="134"/>
    </row>
    <row r="1001" spans="2:9" ht="15.75" customHeight="1" x14ac:dyDescent="0.25">
      <c r="B1001" s="88" t="s">
        <v>841</v>
      </c>
      <c r="C1001" s="234"/>
      <c r="D1001" s="234"/>
      <c r="E1001" s="235">
        <v>192</v>
      </c>
      <c r="F1001" s="232"/>
      <c r="G1001" s="231"/>
      <c r="H1001" s="242"/>
      <c r="I1001" s="171"/>
    </row>
    <row r="1002" spans="2:9" ht="15.75" customHeight="1" x14ac:dyDescent="0.25">
      <c r="B1002" s="143"/>
      <c r="C1002" s="234"/>
      <c r="D1002" s="234"/>
      <c r="E1002" s="235">
        <v>193</v>
      </c>
      <c r="F1002" s="232"/>
      <c r="G1002" s="231"/>
      <c r="H1002" s="242"/>
      <c r="I1002" s="171"/>
    </row>
    <row r="1003" spans="2:9" ht="15.75" customHeight="1" x14ac:dyDescent="0.25">
      <c r="B1003" s="147" t="s">
        <v>842</v>
      </c>
      <c r="C1003" s="234"/>
      <c r="D1003" s="234"/>
      <c r="E1003" s="235"/>
      <c r="F1003" s="232" t="s">
        <v>843</v>
      </c>
      <c r="G1003" s="231"/>
      <c r="H1003" s="242"/>
      <c r="I1003" s="171" t="s">
        <v>844</v>
      </c>
    </row>
    <row r="1004" spans="2:9" ht="31.5" customHeight="1" x14ac:dyDescent="0.25">
      <c r="B1004" s="144" t="s">
        <v>845</v>
      </c>
      <c r="C1004" s="234"/>
      <c r="D1004" s="234"/>
      <c r="E1004" s="235"/>
      <c r="F1004" s="232" t="s">
        <v>846</v>
      </c>
      <c r="G1004" s="231"/>
      <c r="H1004" s="242"/>
      <c r="I1004" s="171" t="s">
        <v>844</v>
      </c>
    </row>
    <row r="1005" spans="2:9" ht="15.75" customHeight="1" x14ac:dyDescent="0.25">
      <c r="B1005" s="282" t="s">
        <v>847</v>
      </c>
      <c r="C1005" s="234"/>
      <c r="D1005" s="234"/>
      <c r="E1005" s="235"/>
      <c r="F1005" s="232" t="s">
        <v>848</v>
      </c>
      <c r="G1005" s="231"/>
      <c r="H1005" s="242"/>
      <c r="I1005" s="58" t="s">
        <v>844</v>
      </c>
    </row>
    <row r="1006" spans="2:9" ht="15.75" customHeight="1" x14ac:dyDescent="0.25">
      <c r="B1006" s="274"/>
      <c r="C1006" s="234"/>
      <c r="D1006" s="234"/>
      <c r="E1006" s="235"/>
      <c r="F1006" s="232" t="s">
        <v>849</v>
      </c>
      <c r="G1006" s="231"/>
      <c r="H1006" s="242"/>
      <c r="I1006" s="58" t="s">
        <v>850</v>
      </c>
    </row>
    <row r="1007" spans="2:9" ht="15.75" customHeight="1" x14ac:dyDescent="0.25">
      <c r="B1007" s="253" t="s">
        <v>851</v>
      </c>
      <c r="C1007" s="234"/>
      <c r="D1007" s="234"/>
      <c r="E1007" s="235"/>
      <c r="F1007" s="232" t="s">
        <v>852</v>
      </c>
      <c r="G1007" s="231"/>
      <c r="H1007" s="242"/>
      <c r="I1007" s="58" t="s">
        <v>844</v>
      </c>
    </row>
    <row r="1008" spans="2:9" ht="15.75" customHeight="1" x14ac:dyDescent="0.25">
      <c r="B1008" s="145" t="s">
        <v>853</v>
      </c>
      <c r="C1008" s="234"/>
      <c r="D1008" s="234"/>
      <c r="E1008" s="235"/>
      <c r="F1008" s="232" t="s">
        <v>854</v>
      </c>
      <c r="G1008" s="231"/>
      <c r="H1008" s="242"/>
      <c r="I1008" s="59" t="s">
        <v>844</v>
      </c>
    </row>
    <row r="1009" spans="2:9" ht="15.75" customHeight="1" x14ac:dyDescent="0.25">
      <c r="B1009" s="253" t="s">
        <v>816</v>
      </c>
      <c r="C1009" s="234"/>
      <c r="D1009" s="234"/>
      <c r="E1009" s="235"/>
      <c r="F1009" s="232" t="s">
        <v>855</v>
      </c>
      <c r="G1009" s="231"/>
      <c r="H1009" s="242"/>
      <c r="I1009" s="58" t="s">
        <v>844</v>
      </c>
    </row>
    <row r="1010" spans="2:9" ht="15.75" customHeight="1" x14ac:dyDescent="0.25">
      <c r="B1010" s="145" t="s">
        <v>856</v>
      </c>
      <c r="C1010" s="234"/>
      <c r="D1010" s="234"/>
      <c r="E1010" s="235"/>
      <c r="F1010" s="232" t="s">
        <v>857</v>
      </c>
      <c r="G1010" s="231"/>
      <c r="H1010" s="242"/>
      <c r="I1010" s="59" t="s">
        <v>844</v>
      </c>
    </row>
    <row r="1011" spans="2:9" ht="15.75" customHeight="1" x14ac:dyDescent="0.25">
      <c r="B1011" s="286" t="s">
        <v>858</v>
      </c>
      <c r="C1011" s="234"/>
      <c r="D1011" s="234"/>
      <c r="E1011" s="235"/>
      <c r="F1011" s="232" t="s">
        <v>859</v>
      </c>
      <c r="G1011" s="231"/>
      <c r="H1011" s="242"/>
      <c r="I1011" s="59" t="s">
        <v>844</v>
      </c>
    </row>
    <row r="1012" spans="2:9" ht="15.75" customHeight="1" x14ac:dyDescent="0.25">
      <c r="B1012" s="274"/>
      <c r="C1012" s="234"/>
      <c r="D1012" s="234"/>
      <c r="E1012" s="235"/>
      <c r="F1012" s="232" t="s">
        <v>860</v>
      </c>
      <c r="G1012" s="231"/>
      <c r="H1012" s="242"/>
      <c r="I1012" s="59" t="s">
        <v>850</v>
      </c>
    </row>
    <row r="1013" spans="2:9" ht="15.75" customHeight="1" x14ac:dyDescent="0.25">
      <c r="B1013" s="278" t="s">
        <v>861</v>
      </c>
      <c r="C1013" s="234"/>
      <c r="D1013" s="234"/>
      <c r="E1013" s="235"/>
      <c r="F1013" s="232" t="s">
        <v>862</v>
      </c>
      <c r="G1013" s="231"/>
      <c r="H1013" s="242"/>
      <c r="I1013" s="171" t="s">
        <v>844</v>
      </c>
    </row>
    <row r="1014" spans="2:9" ht="15.75" customHeight="1" x14ac:dyDescent="0.25">
      <c r="B1014" s="274"/>
      <c r="C1014" s="234"/>
      <c r="D1014" s="234"/>
      <c r="E1014" s="235"/>
      <c r="F1014" s="232" t="s">
        <v>863</v>
      </c>
      <c r="G1014" s="231"/>
      <c r="H1014" s="242"/>
      <c r="I1014" s="146" t="s">
        <v>850</v>
      </c>
    </row>
    <row r="1015" spans="2:9" ht="15.75" customHeight="1" x14ac:dyDescent="0.25">
      <c r="B1015" s="282" t="s">
        <v>847</v>
      </c>
      <c r="C1015" s="234"/>
      <c r="D1015" s="234"/>
      <c r="E1015" s="235"/>
      <c r="F1015" s="232" t="s">
        <v>864</v>
      </c>
      <c r="G1015" s="231"/>
      <c r="H1015" s="242"/>
      <c r="I1015" s="58" t="s">
        <v>844</v>
      </c>
    </row>
    <row r="1016" spans="2:9" ht="15.75" customHeight="1" x14ac:dyDescent="0.25">
      <c r="B1016" s="274"/>
      <c r="C1016" s="234"/>
      <c r="D1016" s="234"/>
      <c r="E1016" s="235"/>
      <c r="F1016" s="232" t="s">
        <v>865</v>
      </c>
      <c r="G1016" s="231"/>
      <c r="H1016" s="242"/>
      <c r="I1016" s="58" t="s">
        <v>850</v>
      </c>
    </row>
    <row r="1017" spans="2:9" ht="15.75" customHeight="1" x14ac:dyDescent="0.25">
      <c r="B1017" s="278" t="s">
        <v>866</v>
      </c>
      <c r="C1017" s="234"/>
      <c r="D1017" s="234"/>
      <c r="E1017" s="235"/>
      <c r="F1017" s="232" t="s">
        <v>867</v>
      </c>
      <c r="G1017" s="231"/>
      <c r="H1017" s="242"/>
      <c r="I1017" s="171" t="s">
        <v>844</v>
      </c>
    </row>
    <row r="1018" spans="2:9" ht="15.75" customHeight="1" x14ac:dyDescent="0.25">
      <c r="B1018" s="274"/>
      <c r="C1018" s="234"/>
      <c r="D1018" s="234"/>
      <c r="E1018" s="235"/>
      <c r="F1018" s="232" t="s">
        <v>868</v>
      </c>
      <c r="G1018" s="231"/>
      <c r="H1018" s="242"/>
      <c r="I1018" s="146" t="s">
        <v>850</v>
      </c>
    </row>
    <row r="1019" spans="2:9" ht="15.75" customHeight="1" x14ac:dyDescent="0.25">
      <c r="B1019" s="282" t="s">
        <v>847</v>
      </c>
      <c r="C1019" s="234"/>
      <c r="D1019" s="234"/>
      <c r="E1019" s="235"/>
      <c r="F1019" s="232" t="s">
        <v>869</v>
      </c>
      <c r="G1019" s="231"/>
      <c r="H1019" s="242"/>
      <c r="I1019" s="58" t="s">
        <v>844</v>
      </c>
    </row>
    <row r="1020" spans="2:9" ht="15.75" customHeight="1" x14ac:dyDescent="0.25">
      <c r="B1020" s="274"/>
      <c r="C1020" s="234"/>
      <c r="D1020" s="234"/>
      <c r="E1020" s="235"/>
      <c r="F1020" s="232" t="s">
        <v>870</v>
      </c>
      <c r="G1020" s="231"/>
      <c r="H1020" s="242"/>
      <c r="I1020" s="58" t="s">
        <v>850</v>
      </c>
    </row>
    <row r="1021" spans="2:9" ht="15.75" customHeight="1" x14ac:dyDescent="0.25">
      <c r="B1021" s="147" t="s">
        <v>871</v>
      </c>
      <c r="C1021" s="234"/>
      <c r="D1021" s="234"/>
      <c r="E1021" s="235"/>
      <c r="F1021" s="232" t="s">
        <v>872</v>
      </c>
      <c r="G1021" s="231"/>
      <c r="H1021" s="242"/>
      <c r="I1021" s="171" t="s">
        <v>844</v>
      </c>
    </row>
    <row r="1022" spans="2:9" ht="15.75" customHeight="1" x14ac:dyDescent="0.25">
      <c r="B1022" s="256" t="s">
        <v>873</v>
      </c>
      <c r="C1022" s="234"/>
      <c r="D1022" s="234"/>
      <c r="E1022" s="235"/>
      <c r="F1022" s="232" t="s">
        <v>874</v>
      </c>
      <c r="G1022" s="231"/>
      <c r="H1022" s="242"/>
      <c r="I1022" s="58" t="s">
        <v>844</v>
      </c>
    </row>
    <row r="1023" spans="2:9" ht="15.75" customHeight="1" x14ac:dyDescent="0.25">
      <c r="B1023" s="273" t="s">
        <v>875</v>
      </c>
      <c r="C1023" s="234"/>
      <c r="D1023" s="234"/>
      <c r="E1023" s="235"/>
      <c r="F1023" s="232" t="s">
        <v>876</v>
      </c>
      <c r="G1023" s="231"/>
      <c r="H1023" s="242"/>
      <c r="I1023" s="58" t="s">
        <v>844</v>
      </c>
    </row>
    <row r="1024" spans="2:9" ht="15.75" customHeight="1" x14ac:dyDescent="0.25">
      <c r="B1024" s="274"/>
      <c r="C1024" s="234"/>
      <c r="D1024" s="234"/>
      <c r="E1024" s="235"/>
      <c r="F1024" s="232" t="s">
        <v>877</v>
      </c>
      <c r="G1024" s="231"/>
      <c r="H1024" s="242"/>
      <c r="I1024" s="58" t="s">
        <v>850</v>
      </c>
    </row>
    <row r="1025" spans="2:9" ht="15.75" customHeight="1" x14ac:dyDescent="0.25">
      <c r="B1025" s="147" t="s">
        <v>878</v>
      </c>
      <c r="C1025" s="234"/>
      <c r="D1025" s="234"/>
      <c r="E1025" s="235"/>
      <c r="F1025" s="232" t="s">
        <v>879</v>
      </c>
      <c r="G1025" s="231"/>
      <c r="H1025" s="242"/>
      <c r="I1025" s="171" t="s">
        <v>844</v>
      </c>
    </row>
    <row r="1026" spans="2:9" ht="15.75" customHeight="1" x14ac:dyDescent="0.25">
      <c r="B1026" s="252" t="s">
        <v>880</v>
      </c>
      <c r="C1026" s="234"/>
      <c r="D1026" s="234"/>
      <c r="E1026" s="235"/>
      <c r="F1026" s="232" t="s">
        <v>881</v>
      </c>
      <c r="G1026" s="231"/>
      <c r="H1026" s="242"/>
      <c r="I1026" s="171" t="s">
        <v>844</v>
      </c>
    </row>
    <row r="1027" spans="2:9" ht="15.75" customHeight="1" x14ac:dyDescent="0.25">
      <c r="B1027" s="253" t="s">
        <v>882</v>
      </c>
      <c r="C1027" s="234"/>
      <c r="D1027" s="234"/>
      <c r="E1027" s="235"/>
      <c r="F1027" s="232" t="s">
        <v>883</v>
      </c>
      <c r="G1027" s="231"/>
      <c r="H1027" s="242"/>
      <c r="I1027" s="58" t="s">
        <v>844</v>
      </c>
    </row>
    <row r="1028" spans="2:9" ht="15.75" customHeight="1" x14ac:dyDescent="0.25">
      <c r="B1028" s="253" t="s">
        <v>884</v>
      </c>
      <c r="C1028" s="234"/>
      <c r="D1028" s="234"/>
      <c r="E1028" s="235"/>
      <c r="F1028" s="232" t="s">
        <v>885</v>
      </c>
      <c r="G1028" s="231"/>
      <c r="H1028" s="242"/>
      <c r="I1028" s="58" t="s">
        <v>844</v>
      </c>
    </row>
    <row r="1029" spans="2:9" ht="15.75" customHeight="1" x14ac:dyDescent="0.25">
      <c r="B1029" s="253" t="s">
        <v>886</v>
      </c>
      <c r="C1029" s="234"/>
      <c r="D1029" s="234"/>
      <c r="E1029" s="235"/>
      <c r="F1029" s="232" t="s">
        <v>887</v>
      </c>
      <c r="G1029" s="231"/>
      <c r="H1029" s="242"/>
      <c r="I1029" s="58" t="s">
        <v>844</v>
      </c>
    </row>
    <row r="1030" spans="2:9" ht="15.75" customHeight="1" x14ac:dyDescent="0.25">
      <c r="B1030" s="253" t="s">
        <v>888</v>
      </c>
      <c r="C1030" s="234"/>
      <c r="D1030" s="234"/>
      <c r="E1030" s="235"/>
      <c r="F1030" s="232" t="s">
        <v>889</v>
      </c>
      <c r="G1030" s="231"/>
      <c r="H1030" s="242"/>
      <c r="I1030" s="58" t="s">
        <v>844</v>
      </c>
    </row>
    <row r="1031" spans="2:9" ht="31.5" customHeight="1" x14ac:dyDescent="0.25">
      <c r="B1031" s="148" t="s">
        <v>890</v>
      </c>
      <c r="C1031" s="234"/>
      <c r="D1031" s="234"/>
      <c r="E1031" s="235"/>
      <c r="F1031" s="232" t="s">
        <v>891</v>
      </c>
      <c r="G1031" s="231"/>
      <c r="H1031" s="242"/>
      <c r="I1031" s="258" t="s">
        <v>844</v>
      </c>
    </row>
    <row r="1032" spans="2:9" ht="15.75" customHeight="1" x14ac:dyDescent="0.25">
      <c r="B1032" s="149" t="s">
        <v>882</v>
      </c>
      <c r="C1032" s="234"/>
      <c r="D1032" s="234"/>
      <c r="E1032" s="235"/>
      <c r="F1032" s="232" t="s">
        <v>892</v>
      </c>
      <c r="G1032" s="231"/>
      <c r="H1032" s="242"/>
      <c r="I1032" s="58" t="s">
        <v>844</v>
      </c>
    </row>
    <row r="1033" spans="2:9" ht="15.75" customHeight="1" x14ac:dyDescent="0.25">
      <c r="B1033" s="149" t="s">
        <v>884</v>
      </c>
      <c r="C1033" s="234"/>
      <c r="D1033" s="234"/>
      <c r="E1033" s="235"/>
      <c r="F1033" s="232" t="s">
        <v>893</v>
      </c>
      <c r="G1033" s="231"/>
      <c r="H1033" s="242"/>
      <c r="I1033" s="58" t="s">
        <v>844</v>
      </c>
    </row>
    <row r="1034" spans="2:9" ht="15.75" customHeight="1" x14ac:dyDescent="0.25">
      <c r="B1034" s="253" t="s">
        <v>886</v>
      </c>
      <c r="C1034" s="234"/>
      <c r="D1034" s="234"/>
      <c r="E1034" s="235"/>
      <c r="F1034" s="232" t="s">
        <v>894</v>
      </c>
      <c r="G1034" s="231"/>
      <c r="H1034" s="242"/>
      <c r="I1034" s="58" t="s">
        <v>844</v>
      </c>
    </row>
    <row r="1035" spans="2:9" ht="15.75" customHeight="1" x14ac:dyDescent="0.25">
      <c r="B1035" s="253" t="s">
        <v>888</v>
      </c>
      <c r="C1035" s="234"/>
      <c r="D1035" s="234"/>
      <c r="E1035" s="235"/>
      <c r="F1035" s="232" t="s">
        <v>895</v>
      </c>
      <c r="G1035" s="231"/>
      <c r="H1035" s="242"/>
      <c r="I1035" s="58" t="s">
        <v>844</v>
      </c>
    </row>
    <row r="1036" spans="2:9" ht="15.75" customHeight="1" x14ac:dyDescent="0.25">
      <c r="B1036" s="278" t="s">
        <v>896</v>
      </c>
      <c r="C1036" s="234"/>
      <c r="D1036" s="234"/>
      <c r="E1036" s="235"/>
      <c r="F1036" s="232" t="s">
        <v>897</v>
      </c>
      <c r="G1036" s="231"/>
      <c r="H1036" s="242"/>
      <c r="I1036" s="258" t="s">
        <v>844</v>
      </c>
    </row>
    <row r="1037" spans="2:9" ht="15.75" customHeight="1" x14ac:dyDescent="0.25">
      <c r="B1037" s="274"/>
      <c r="C1037" s="234"/>
      <c r="D1037" s="234"/>
      <c r="E1037" s="235"/>
      <c r="F1037" s="232" t="s">
        <v>898</v>
      </c>
      <c r="G1037" s="231"/>
      <c r="H1037" s="242"/>
      <c r="I1037" s="146" t="s">
        <v>850</v>
      </c>
    </row>
    <row r="1038" spans="2:9" ht="15.75" customHeight="1" x14ac:dyDescent="0.25">
      <c r="B1038" s="273" t="s">
        <v>899</v>
      </c>
      <c r="C1038" s="234"/>
      <c r="D1038" s="234"/>
      <c r="E1038" s="235"/>
      <c r="F1038" s="232" t="s">
        <v>900</v>
      </c>
      <c r="G1038" s="231"/>
      <c r="H1038" s="242"/>
      <c r="I1038" s="58" t="s">
        <v>844</v>
      </c>
    </row>
    <row r="1039" spans="2:9" ht="15.75" customHeight="1" x14ac:dyDescent="0.25">
      <c r="B1039" s="274"/>
      <c r="C1039" s="234"/>
      <c r="D1039" s="234"/>
      <c r="E1039" s="235"/>
      <c r="F1039" s="232" t="s">
        <v>901</v>
      </c>
      <c r="G1039" s="231"/>
      <c r="H1039" s="242"/>
      <c r="I1039" s="58" t="s">
        <v>850</v>
      </c>
    </row>
    <row r="1040" spans="2:9" ht="15.75" customHeight="1" x14ac:dyDescent="0.25">
      <c r="B1040" s="273" t="s">
        <v>902</v>
      </c>
      <c r="C1040" s="234"/>
      <c r="D1040" s="234"/>
      <c r="E1040" s="235"/>
      <c r="F1040" s="232" t="s">
        <v>903</v>
      </c>
      <c r="G1040" s="231"/>
      <c r="H1040" s="242"/>
      <c r="I1040" s="58" t="s">
        <v>844</v>
      </c>
    </row>
    <row r="1041" spans="2:9" ht="15.75" customHeight="1" x14ac:dyDescent="0.25">
      <c r="B1041" s="274"/>
      <c r="C1041" s="234"/>
      <c r="D1041" s="234"/>
      <c r="E1041" s="235"/>
      <c r="F1041" s="232" t="s">
        <v>904</v>
      </c>
      <c r="G1041" s="231"/>
      <c r="H1041" s="242"/>
      <c r="I1041" s="58" t="s">
        <v>850</v>
      </c>
    </row>
    <row r="1042" spans="2:9" ht="15.75" customHeight="1" x14ac:dyDescent="0.25">
      <c r="B1042" s="282" t="s">
        <v>905</v>
      </c>
      <c r="C1042" s="234"/>
      <c r="D1042" s="234"/>
      <c r="E1042" s="235"/>
      <c r="F1042" s="232" t="s">
        <v>906</v>
      </c>
      <c r="G1042" s="231"/>
      <c r="H1042" s="242"/>
      <c r="I1042" s="58" t="s">
        <v>844</v>
      </c>
    </row>
    <row r="1043" spans="2:9" ht="15.75" customHeight="1" x14ac:dyDescent="0.25">
      <c r="B1043" s="274"/>
      <c r="C1043" s="234"/>
      <c r="D1043" s="234"/>
      <c r="E1043" s="235"/>
      <c r="F1043" s="232" t="s">
        <v>907</v>
      </c>
      <c r="G1043" s="231"/>
      <c r="H1043" s="242"/>
      <c r="I1043" s="58" t="s">
        <v>850</v>
      </c>
    </row>
    <row r="1044" spans="2:9" ht="15.75" customHeight="1" x14ac:dyDescent="0.25">
      <c r="B1044" s="282" t="s">
        <v>888</v>
      </c>
      <c r="C1044" s="234"/>
      <c r="D1044" s="234"/>
      <c r="E1044" s="235"/>
      <c r="F1044" s="232" t="s">
        <v>908</v>
      </c>
      <c r="G1044" s="231"/>
      <c r="H1044" s="242"/>
      <c r="I1044" s="58" t="s">
        <v>844</v>
      </c>
    </row>
    <row r="1045" spans="2:9" ht="15.75" customHeight="1" x14ac:dyDescent="0.25">
      <c r="B1045" s="274"/>
      <c r="C1045" s="234"/>
      <c r="D1045" s="234"/>
      <c r="E1045" s="235"/>
      <c r="F1045" s="232" t="s">
        <v>909</v>
      </c>
      <c r="G1045" s="231"/>
      <c r="H1045" s="242"/>
      <c r="I1045" s="58" t="s">
        <v>850</v>
      </c>
    </row>
    <row r="1046" spans="2:9" ht="15.75" customHeight="1" x14ac:dyDescent="0.25">
      <c r="B1046" s="278" t="s">
        <v>910</v>
      </c>
      <c r="C1046" s="234"/>
      <c r="D1046" s="234"/>
      <c r="E1046" s="235"/>
      <c r="F1046" s="232" t="s">
        <v>911</v>
      </c>
      <c r="G1046" s="231"/>
      <c r="H1046" s="242"/>
      <c r="I1046" s="258" t="s">
        <v>844</v>
      </c>
    </row>
    <row r="1047" spans="2:9" ht="15.75" customHeight="1" x14ac:dyDescent="0.25">
      <c r="B1047" s="274"/>
      <c r="C1047" s="234"/>
      <c r="D1047" s="234"/>
      <c r="E1047" s="235"/>
      <c r="F1047" s="232" t="s">
        <v>912</v>
      </c>
      <c r="G1047" s="231"/>
      <c r="H1047" s="242"/>
      <c r="I1047" s="146" t="s">
        <v>850</v>
      </c>
    </row>
    <row r="1048" spans="2:9" ht="15.75" customHeight="1" x14ac:dyDescent="0.25">
      <c r="B1048" s="273" t="s">
        <v>899</v>
      </c>
      <c r="C1048" s="234"/>
      <c r="D1048" s="234"/>
      <c r="E1048" s="235"/>
      <c r="F1048" s="232" t="s">
        <v>913</v>
      </c>
      <c r="G1048" s="231"/>
      <c r="H1048" s="242"/>
      <c r="I1048" s="58" t="s">
        <v>844</v>
      </c>
    </row>
    <row r="1049" spans="2:9" ht="15.75" customHeight="1" x14ac:dyDescent="0.25">
      <c r="B1049" s="274"/>
      <c r="C1049" s="234"/>
      <c r="D1049" s="234"/>
      <c r="E1049" s="235"/>
      <c r="F1049" s="232" t="s">
        <v>914</v>
      </c>
      <c r="G1049" s="231"/>
      <c r="H1049" s="242"/>
      <c r="I1049" s="58" t="s">
        <v>850</v>
      </c>
    </row>
    <row r="1050" spans="2:9" ht="15.75" customHeight="1" x14ac:dyDescent="0.25">
      <c r="B1050" s="273" t="s">
        <v>902</v>
      </c>
      <c r="C1050" s="234"/>
      <c r="D1050" s="234"/>
      <c r="E1050" s="235"/>
      <c r="F1050" s="232" t="s">
        <v>915</v>
      </c>
      <c r="G1050" s="231"/>
      <c r="H1050" s="242"/>
      <c r="I1050" s="58" t="s">
        <v>844</v>
      </c>
    </row>
    <row r="1051" spans="2:9" ht="15.75" customHeight="1" x14ac:dyDescent="0.25">
      <c r="B1051" s="274"/>
      <c r="C1051" s="234"/>
      <c r="D1051" s="234"/>
      <c r="E1051" s="235"/>
      <c r="F1051" s="232" t="s">
        <v>916</v>
      </c>
      <c r="G1051" s="231"/>
      <c r="H1051" s="242"/>
      <c r="I1051" s="58" t="s">
        <v>850</v>
      </c>
    </row>
    <row r="1052" spans="2:9" ht="15.75" customHeight="1" x14ac:dyDescent="0.25">
      <c r="B1052" s="282" t="s">
        <v>905</v>
      </c>
      <c r="C1052" s="234"/>
      <c r="D1052" s="234"/>
      <c r="E1052" s="235"/>
      <c r="F1052" s="232" t="s">
        <v>917</v>
      </c>
      <c r="G1052" s="231"/>
      <c r="H1052" s="242"/>
      <c r="I1052" s="58" t="s">
        <v>844</v>
      </c>
    </row>
    <row r="1053" spans="2:9" ht="15.75" customHeight="1" x14ac:dyDescent="0.25">
      <c r="B1053" s="274"/>
      <c r="C1053" s="234"/>
      <c r="D1053" s="234"/>
      <c r="E1053" s="235"/>
      <c r="F1053" s="232" t="s">
        <v>918</v>
      </c>
      <c r="G1053" s="231"/>
      <c r="H1053" s="242"/>
      <c r="I1053" s="58" t="s">
        <v>850</v>
      </c>
    </row>
    <row r="1054" spans="2:9" ht="15.75" customHeight="1" x14ac:dyDescent="0.25">
      <c r="B1054" s="282" t="s">
        <v>888</v>
      </c>
      <c r="C1054" s="234"/>
      <c r="D1054" s="234"/>
      <c r="E1054" s="235"/>
      <c r="F1054" s="232" t="s">
        <v>919</v>
      </c>
      <c r="G1054" s="231"/>
      <c r="H1054" s="242"/>
      <c r="I1054" s="58" t="s">
        <v>844</v>
      </c>
    </row>
    <row r="1055" spans="2:9" ht="15.75" customHeight="1" x14ac:dyDescent="0.25">
      <c r="B1055" s="274"/>
      <c r="C1055" s="234"/>
      <c r="D1055" s="234"/>
      <c r="E1055" s="235"/>
      <c r="F1055" s="232" t="s">
        <v>920</v>
      </c>
      <c r="G1055" s="231"/>
      <c r="H1055" s="242"/>
      <c r="I1055" s="58" t="s">
        <v>850</v>
      </c>
    </row>
    <row r="1056" spans="2:9" ht="31.5" customHeight="1" x14ac:dyDescent="0.25">
      <c r="B1056" s="144" t="s">
        <v>921</v>
      </c>
      <c r="C1056" s="234"/>
      <c r="D1056" s="234"/>
      <c r="E1056" s="235"/>
      <c r="F1056" s="232" t="s">
        <v>922</v>
      </c>
      <c r="G1056" s="231"/>
      <c r="H1056" s="242"/>
      <c r="I1056" s="258" t="s">
        <v>844</v>
      </c>
    </row>
    <row r="1057" spans="2:9" ht="31.5" customHeight="1" x14ac:dyDescent="0.25">
      <c r="B1057" s="144" t="s">
        <v>923</v>
      </c>
      <c r="C1057" s="234"/>
      <c r="D1057" s="234"/>
      <c r="E1057" s="235"/>
      <c r="F1057" s="232" t="s">
        <v>924</v>
      </c>
      <c r="G1057" s="231"/>
      <c r="H1057" s="242"/>
      <c r="I1057" s="258" t="s">
        <v>844</v>
      </c>
    </row>
    <row r="1058" spans="2:9" ht="15.75" customHeight="1" x14ac:dyDescent="0.25">
      <c r="B1058" s="150" t="s">
        <v>925</v>
      </c>
      <c r="C1058" s="234"/>
      <c r="D1058" s="234"/>
      <c r="E1058" s="235"/>
      <c r="F1058" s="232" t="s">
        <v>926</v>
      </c>
      <c r="G1058" s="231"/>
      <c r="H1058" s="242"/>
      <c r="I1058" s="58" t="s">
        <v>844</v>
      </c>
    </row>
    <row r="1059" spans="2:9" ht="15.75" customHeight="1" x14ac:dyDescent="0.25">
      <c r="B1059" s="150" t="s">
        <v>927</v>
      </c>
      <c r="C1059" s="234"/>
      <c r="D1059" s="234"/>
      <c r="E1059" s="235"/>
      <c r="F1059" s="232" t="s">
        <v>928</v>
      </c>
      <c r="G1059" s="231"/>
      <c r="H1059" s="242"/>
      <c r="I1059" s="58" t="s">
        <v>844</v>
      </c>
    </row>
    <row r="1060" spans="2:9" ht="15.75" customHeight="1" x14ac:dyDescent="0.25">
      <c r="B1060" s="150" t="s">
        <v>886</v>
      </c>
      <c r="C1060" s="234"/>
      <c r="D1060" s="234"/>
      <c r="E1060" s="235"/>
      <c r="F1060" s="232" t="s">
        <v>929</v>
      </c>
      <c r="G1060" s="231"/>
      <c r="H1060" s="242"/>
      <c r="I1060" s="58" t="s">
        <v>844</v>
      </c>
    </row>
    <row r="1061" spans="2:9" ht="15.75" customHeight="1" x14ac:dyDescent="0.25">
      <c r="B1061" s="150" t="s">
        <v>888</v>
      </c>
      <c r="C1061" s="234"/>
      <c r="D1061" s="234"/>
      <c r="E1061" s="235"/>
      <c r="F1061" s="232" t="s">
        <v>930</v>
      </c>
      <c r="G1061" s="231"/>
      <c r="H1061" s="242"/>
      <c r="I1061" s="58" t="s">
        <v>844</v>
      </c>
    </row>
    <row r="1062" spans="2:9" ht="15.75" customHeight="1" x14ac:dyDescent="0.25">
      <c r="B1062" s="278" t="s">
        <v>931</v>
      </c>
      <c r="C1062" s="234"/>
      <c r="D1062" s="234"/>
      <c r="E1062" s="235"/>
      <c r="F1062" s="232" t="s">
        <v>932</v>
      </c>
      <c r="G1062" s="231"/>
      <c r="H1062" s="242"/>
      <c r="I1062" s="258" t="s">
        <v>844</v>
      </c>
    </row>
    <row r="1063" spans="2:9" ht="15.75" customHeight="1" x14ac:dyDescent="0.25">
      <c r="B1063" s="274"/>
      <c r="C1063" s="234"/>
      <c r="D1063" s="234"/>
      <c r="E1063" s="235"/>
      <c r="F1063" s="232" t="s">
        <v>933</v>
      </c>
      <c r="G1063" s="231"/>
      <c r="H1063" s="242"/>
      <c r="I1063" s="146" t="s">
        <v>850</v>
      </c>
    </row>
    <row r="1064" spans="2:9" ht="15.75" customHeight="1" x14ac:dyDescent="0.25">
      <c r="B1064" s="290" t="s">
        <v>934</v>
      </c>
      <c r="C1064" s="234"/>
      <c r="D1064" s="234"/>
      <c r="E1064" s="235"/>
      <c r="F1064" s="232" t="s">
        <v>935</v>
      </c>
      <c r="G1064" s="231"/>
      <c r="H1064" s="242"/>
      <c r="I1064" s="258" t="s">
        <v>844</v>
      </c>
    </row>
    <row r="1065" spans="2:9" ht="15.75" customHeight="1" x14ac:dyDescent="0.25">
      <c r="B1065" s="274"/>
      <c r="C1065" s="234"/>
      <c r="D1065" s="234"/>
      <c r="E1065" s="235"/>
      <c r="F1065" s="232" t="s">
        <v>936</v>
      </c>
      <c r="G1065" s="231"/>
      <c r="H1065" s="242"/>
      <c r="I1065" s="146" t="s">
        <v>850</v>
      </c>
    </row>
    <row r="1066" spans="2:9" ht="15.75" customHeight="1" x14ac:dyDescent="0.25">
      <c r="B1066" s="283" t="s">
        <v>899</v>
      </c>
      <c r="C1066" s="234"/>
      <c r="D1066" s="234"/>
      <c r="E1066" s="235"/>
      <c r="F1066" s="232" t="s">
        <v>937</v>
      </c>
      <c r="G1066" s="231"/>
      <c r="H1066" s="242"/>
      <c r="I1066" s="58" t="s">
        <v>844</v>
      </c>
    </row>
    <row r="1067" spans="2:9" ht="15.75" customHeight="1" x14ac:dyDescent="0.25">
      <c r="B1067" s="274"/>
      <c r="C1067" s="234"/>
      <c r="D1067" s="234"/>
      <c r="E1067" s="235"/>
      <c r="F1067" s="232" t="s">
        <v>938</v>
      </c>
      <c r="G1067" s="231"/>
      <c r="H1067" s="242"/>
      <c r="I1067" s="58" t="s">
        <v>850</v>
      </c>
    </row>
    <row r="1068" spans="2:9" ht="15.75" customHeight="1" x14ac:dyDescent="0.25">
      <c r="B1068" s="283" t="s">
        <v>902</v>
      </c>
      <c r="C1068" s="234"/>
      <c r="D1068" s="234"/>
      <c r="E1068" s="235"/>
      <c r="F1068" s="232" t="s">
        <v>939</v>
      </c>
      <c r="G1068" s="231"/>
      <c r="H1068" s="242"/>
      <c r="I1068" s="58" t="s">
        <v>844</v>
      </c>
    </row>
    <row r="1069" spans="2:9" ht="15.75" customHeight="1" x14ac:dyDescent="0.25">
      <c r="B1069" s="274"/>
      <c r="C1069" s="234"/>
      <c r="D1069" s="234"/>
      <c r="E1069" s="235"/>
      <c r="F1069" s="232" t="s">
        <v>940</v>
      </c>
      <c r="G1069" s="231"/>
      <c r="H1069" s="242"/>
      <c r="I1069" s="58" t="s">
        <v>850</v>
      </c>
    </row>
    <row r="1070" spans="2:9" ht="15.75" customHeight="1" x14ac:dyDescent="0.25">
      <c r="B1070" s="277" t="s">
        <v>905</v>
      </c>
      <c r="C1070" s="234"/>
      <c r="D1070" s="234"/>
      <c r="E1070" s="235"/>
      <c r="F1070" s="232" t="s">
        <v>941</v>
      </c>
      <c r="G1070" s="231"/>
      <c r="H1070" s="242"/>
      <c r="I1070" s="258" t="s">
        <v>844</v>
      </c>
    </row>
    <row r="1071" spans="2:9" ht="15.75" customHeight="1" x14ac:dyDescent="0.25">
      <c r="B1071" s="274"/>
      <c r="C1071" s="234"/>
      <c r="D1071" s="234"/>
      <c r="E1071" s="235"/>
      <c r="F1071" s="232" t="s">
        <v>942</v>
      </c>
      <c r="G1071" s="231"/>
      <c r="H1071" s="242"/>
      <c r="I1071" s="58" t="s">
        <v>850</v>
      </c>
    </row>
    <row r="1072" spans="2:9" ht="15.75" customHeight="1" x14ac:dyDescent="0.25">
      <c r="B1072" s="290" t="s">
        <v>943</v>
      </c>
      <c r="C1072" s="234"/>
      <c r="D1072" s="234"/>
      <c r="E1072" s="235"/>
      <c r="F1072" s="232" t="s">
        <v>944</v>
      </c>
      <c r="G1072" s="231"/>
      <c r="H1072" s="242"/>
      <c r="I1072" s="258" t="s">
        <v>844</v>
      </c>
    </row>
    <row r="1073" spans="2:9" ht="15.75" customHeight="1" x14ac:dyDescent="0.25">
      <c r="B1073" s="274"/>
      <c r="C1073" s="234"/>
      <c r="D1073" s="234"/>
      <c r="E1073" s="235"/>
      <c r="F1073" s="232" t="s">
        <v>945</v>
      </c>
      <c r="G1073" s="231"/>
      <c r="H1073" s="242"/>
      <c r="I1073" s="58" t="s">
        <v>850</v>
      </c>
    </row>
    <row r="1074" spans="2:9" ht="15.75" customHeight="1" x14ac:dyDescent="0.25">
      <c r="B1074" s="291" t="s">
        <v>888</v>
      </c>
      <c r="C1074" s="234"/>
      <c r="D1074" s="234"/>
      <c r="E1074" s="235"/>
      <c r="F1074" s="232" t="s">
        <v>946</v>
      </c>
      <c r="G1074" s="231"/>
      <c r="H1074" s="242"/>
      <c r="I1074" s="58" t="s">
        <v>844</v>
      </c>
    </row>
    <row r="1075" spans="2:9" ht="15.75" customHeight="1" x14ac:dyDescent="0.25">
      <c r="B1075" s="274"/>
      <c r="C1075" s="234"/>
      <c r="D1075" s="234"/>
      <c r="E1075" s="235"/>
      <c r="F1075" s="232" t="s">
        <v>947</v>
      </c>
      <c r="G1075" s="231"/>
      <c r="H1075" s="242"/>
      <c r="I1075" s="58" t="s">
        <v>850</v>
      </c>
    </row>
    <row r="1076" spans="2:9" ht="15.75" customHeight="1" x14ac:dyDescent="0.25">
      <c r="B1076" s="281" t="s">
        <v>948</v>
      </c>
      <c r="C1076" s="234"/>
      <c r="D1076" s="234"/>
      <c r="E1076" s="235"/>
      <c r="F1076" s="232" t="s">
        <v>949</v>
      </c>
      <c r="G1076" s="231"/>
      <c r="H1076" s="242"/>
      <c r="I1076" s="258" t="s">
        <v>844</v>
      </c>
    </row>
    <row r="1077" spans="2:9" ht="15.75" customHeight="1" x14ac:dyDescent="0.25">
      <c r="B1077" s="274"/>
      <c r="C1077" s="234"/>
      <c r="D1077" s="234"/>
      <c r="E1077" s="235"/>
      <c r="F1077" s="232" t="s">
        <v>950</v>
      </c>
      <c r="G1077" s="231"/>
      <c r="H1077" s="242"/>
      <c r="I1077" s="146" t="s">
        <v>850</v>
      </c>
    </row>
    <row r="1078" spans="2:9" ht="15.75" customHeight="1" x14ac:dyDescent="0.25">
      <c r="B1078" s="290" t="s">
        <v>934</v>
      </c>
      <c r="C1078" s="234"/>
      <c r="D1078" s="234"/>
      <c r="E1078" s="235"/>
      <c r="F1078" s="232" t="s">
        <v>951</v>
      </c>
      <c r="G1078" s="231"/>
      <c r="H1078" s="242"/>
      <c r="I1078" s="171" t="s">
        <v>844</v>
      </c>
    </row>
    <row r="1079" spans="2:9" ht="15.75" customHeight="1" x14ac:dyDescent="0.25">
      <c r="B1079" s="274"/>
      <c r="C1079" s="234"/>
      <c r="D1079" s="234"/>
      <c r="E1079" s="235"/>
      <c r="F1079" s="232" t="s">
        <v>952</v>
      </c>
      <c r="G1079" s="231"/>
      <c r="H1079" s="242"/>
      <c r="I1079" s="146" t="s">
        <v>850</v>
      </c>
    </row>
    <row r="1080" spans="2:9" ht="15.75" customHeight="1" x14ac:dyDescent="0.25">
      <c r="B1080" s="273" t="s">
        <v>902</v>
      </c>
      <c r="C1080" s="234"/>
      <c r="D1080" s="234"/>
      <c r="E1080" s="235"/>
      <c r="F1080" s="232" t="s">
        <v>953</v>
      </c>
      <c r="G1080" s="231"/>
      <c r="H1080" s="242"/>
      <c r="I1080" s="58" t="s">
        <v>844</v>
      </c>
    </row>
    <row r="1081" spans="2:9" ht="15.75" customHeight="1" x14ac:dyDescent="0.25">
      <c r="B1081" s="274"/>
      <c r="C1081" s="234"/>
      <c r="D1081" s="234"/>
      <c r="E1081" s="235"/>
      <c r="F1081" s="232" t="s">
        <v>954</v>
      </c>
      <c r="G1081" s="231"/>
      <c r="H1081" s="242"/>
      <c r="I1081" s="58" t="s">
        <v>850</v>
      </c>
    </row>
    <row r="1082" spans="2:9" ht="15.75" customHeight="1" x14ac:dyDescent="0.25">
      <c r="B1082" s="293" t="s">
        <v>905</v>
      </c>
      <c r="C1082" s="234"/>
      <c r="D1082" s="234"/>
      <c r="E1082" s="235"/>
      <c r="F1082" s="232" t="s">
        <v>955</v>
      </c>
      <c r="G1082" s="231"/>
      <c r="H1082" s="242"/>
      <c r="I1082" s="58" t="s">
        <v>844</v>
      </c>
    </row>
    <row r="1083" spans="2:9" ht="15.75" customHeight="1" x14ac:dyDescent="0.25">
      <c r="B1083" s="274"/>
      <c r="C1083" s="234"/>
      <c r="D1083" s="234"/>
      <c r="E1083" s="235"/>
      <c r="F1083" s="232" t="s">
        <v>956</v>
      </c>
      <c r="G1083" s="231"/>
      <c r="H1083" s="242"/>
      <c r="I1083" s="58" t="s">
        <v>850</v>
      </c>
    </row>
    <row r="1084" spans="2:9" ht="15.75" customHeight="1" x14ac:dyDescent="0.25">
      <c r="B1084" s="290" t="s">
        <v>943</v>
      </c>
      <c r="C1084" s="234"/>
      <c r="D1084" s="234"/>
      <c r="E1084" s="235"/>
      <c r="F1084" s="232" t="s">
        <v>957</v>
      </c>
      <c r="G1084" s="231"/>
      <c r="H1084" s="242"/>
      <c r="I1084" s="171" t="s">
        <v>844</v>
      </c>
    </row>
    <row r="1085" spans="2:9" ht="15.75" customHeight="1" x14ac:dyDescent="0.25">
      <c r="B1085" s="274"/>
      <c r="C1085" s="234"/>
      <c r="D1085" s="234"/>
      <c r="E1085" s="235"/>
      <c r="F1085" s="232" t="s">
        <v>958</v>
      </c>
      <c r="G1085" s="231"/>
      <c r="H1085" s="242"/>
      <c r="I1085" s="146" t="s">
        <v>850</v>
      </c>
    </row>
    <row r="1086" spans="2:9" ht="15.75" customHeight="1" x14ac:dyDescent="0.25">
      <c r="B1086" s="293" t="s">
        <v>888</v>
      </c>
      <c r="C1086" s="234"/>
      <c r="D1086" s="234"/>
      <c r="E1086" s="235"/>
      <c r="F1086" s="232" t="s">
        <v>959</v>
      </c>
      <c r="G1086" s="231"/>
      <c r="H1086" s="242"/>
      <c r="I1086" s="58" t="s">
        <v>844</v>
      </c>
    </row>
    <row r="1087" spans="2:9" ht="15.75" customHeight="1" x14ac:dyDescent="0.25">
      <c r="B1087" s="274"/>
      <c r="C1087" s="234"/>
      <c r="D1087" s="234"/>
      <c r="E1087" s="235"/>
      <c r="F1087" s="232" t="s">
        <v>960</v>
      </c>
      <c r="G1087" s="231"/>
      <c r="H1087" s="242"/>
      <c r="I1087" s="58" t="s">
        <v>850</v>
      </c>
    </row>
    <row r="1088" spans="2:9" x14ac:dyDescent="0.25">
      <c r="B1088" s="151"/>
      <c r="C1088" s="234"/>
      <c r="D1088" s="234"/>
      <c r="E1088" s="235">
        <v>194</v>
      </c>
      <c r="F1088" s="232"/>
      <c r="G1088" s="231"/>
      <c r="H1088" s="242"/>
      <c r="I1088" s="152"/>
    </row>
    <row r="1089" spans="2:9" ht="15.75" customHeight="1" x14ac:dyDescent="0.25">
      <c r="B1089" s="133" t="s">
        <v>19</v>
      </c>
      <c r="C1089" s="234"/>
      <c r="D1089" s="234"/>
      <c r="E1089" s="235">
        <v>195</v>
      </c>
      <c r="F1089" s="232"/>
      <c r="G1089" s="231"/>
      <c r="H1089" s="242"/>
      <c r="I1089" s="134"/>
    </row>
    <row r="1090" spans="2:9" ht="25.5" customHeight="1" x14ac:dyDescent="0.25">
      <c r="B1090" s="153" t="s">
        <v>961</v>
      </c>
      <c r="C1090" s="234"/>
      <c r="D1090" s="234"/>
      <c r="E1090" s="235"/>
      <c r="F1090" s="232" t="s">
        <v>962</v>
      </c>
      <c r="G1090" s="231"/>
      <c r="H1090" s="242"/>
      <c r="I1090" s="154" t="s">
        <v>850</v>
      </c>
    </row>
    <row r="1091" spans="2:9" ht="31.5" customHeight="1" x14ac:dyDescent="0.25">
      <c r="B1091" s="155" t="s">
        <v>963</v>
      </c>
      <c r="C1091" s="234"/>
      <c r="D1091" s="234"/>
      <c r="E1091" s="235"/>
      <c r="F1091" s="232" t="s">
        <v>849</v>
      </c>
      <c r="G1091" s="231"/>
      <c r="H1091" s="242"/>
      <c r="I1091" s="154" t="s">
        <v>850</v>
      </c>
    </row>
    <row r="1092" spans="2:9" ht="15.75" customHeight="1" x14ac:dyDescent="0.25">
      <c r="B1092" s="155" t="s">
        <v>964</v>
      </c>
      <c r="C1092" s="234"/>
      <c r="D1092" s="234"/>
      <c r="E1092" s="235"/>
      <c r="F1092" s="232" t="s">
        <v>868</v>
      </c>
      <c r="G1092" s="231"/>
      <c r="H1092" s="242"/>
      <c r="I1092" s="154" t="s">
        <v>850</v>
      </c>
    </row>
    <row r="1093" spans="2:9" ht="15.75" customHeight="1" x14ac:dyDescent="0.25">
      <c r="B1093" s="155" t="s">
        <v>965</v>
      </c>
      <c r="C1093" s="234"/>
      <c r="D1093" s="234"/>
      <c r="E1093" s="235"/>
      <c r="F1093" s="232" t="s">
        <v>863</v>
      </c>
      <c r="G1093" s="231"/>
      <c r="H1093" s="242"/>
      <c r="I1093" s="154" t="s">
        <v>850</v>
      </c>
    </row>
    <row r="1094" spans="2:9" ht="31.5" customHeight="1" x14ac:dyDescent="0.25">
      <c r="B1094" s="156" t="s">
        <v>966</v>
      </c>
      <c r="C1094" s="234"/>
      <c r="D1094" s="234"/>
      <c r="E1094" s="235"/>
      <c r="F1094" s="232" t="s">
        <v>852</v>
      </c>
      <c r="G1094" s="231"/>
      <c r="H1094" s="242"/>
      <c r="I1094" s="134" t="s">
        <v>844</v>
      </c>
    </row>
    <row r="1095" spans="2:9" ht="15.75" customHeight="1" x14ac:dyDescent="0.25">
      <c r="B1095" s="133" t="s">
        <v>296</v>
      </c>
      <c r="C1095" s="234"/>
      <c r="D1095" s="234"/>
      <c r="E1095" s="235">
        <v>196</v>
      </c>
      <c r="F1095" s="232"/>
      <c r="G1095" s="231"/>
      <c r="H1095" s="242"/>
      <c r="I1095" s="134"/>
    </row>
    <row r="1096" spans="2:9" ht="31.5" customHeight="1" x14ac:dyDescent="0.25">
      <c r="B1096" s="153" t="s">
        <v>967</v>
      </c>
      <c r="C1096" s="234"/>
      <c r="D1096" s="234"/>
      <c r="E1096" s="235">
        <v>197</v>
      </c>
      <c r="F1096" s="232"/>
      <c r="G1096" s="231"/>
      <c r="H1096" s="242"/>
      <c r="I1096" s="134"/>
    </row>
    <row r="1097" spans="2:9" ht="15.75" customHeight="1" x14ac:dyDescent="0.25">
      <c r="B1097" s="156" t="s">
        <v>968</v>
      </c>
      <c r="C1097" s="234"/>
      <c r="D1097" s="234"/>
      <c r="E1097" s="235"/>
      <c r="F1097" s="232" t="s">
        <v>881</v>
      </c>
      <c r="G1097" s="231"/>
      <c r="H1097" s="242"/>
      <c r="I1097" s="134" t="s">
        <v>844</v>
      </c>
    </row>
    <row r="1098" spans="2:9" ht="31.5" customHeight="1" x14ac:dyDescent="0.25">
      <c r="B1098" s="157" t="s">
        <v>969</v>
      </c>
      <c r="C1098" s="234"/>
      <c r="D1098" s="234"/>
      <c r="E1098" s="235"/>
      <c r="F1098" s="232" t="s">
        <v>885</v>
      </c>
      <c r="G1098" s="231"/>
      <c r="H1098" s="242"/>
      <c r="I1098" s="134" t="s">
        <v>844</v>
      </c>
    </row>
    <row r="1099" spans="2:9" ht="15.75" customHeight="1" x14ac:dyDescent="0.25">
      <c r="B1099" s="157" t="s">
        <v>538</v>
      </c>
      <c r="C1099" s="234"/>
      <c r="D1099" s="234"/>
      <c r="E1099" s="235"/>
      <c r="F1099" s="232" t="s">
        <v>970</v>
      </c>
      <c r="G1099" s="231"/>
      <c r="H1099" s="242"/>
      <c r="I1099" s="134" t="s">
        <v>844</v>
      </c>
    </row>
    <row r="1100" spans="2:9" ht="15.75" customHeight="1" x14ac:dyDescent="0.25">
      <c r="B1100" s="158" t="s">
        <v>971</v>
      </c>
      <c r="C1100" s="234"/>
      <c r="D1100" s="234"/>
      <c r="E1100" s="235">
        <v>198</v>
      </c>
      <c r="F1100" s="232"/>
      <c r="G1100" s="231"/>
      <c r="H1100" s="242"/>
      <c r="I1100" s="134" t="s">
        <v>844</v>
      </c>
    </row>
    <row r="1101" spans="2:9" ht="15.75" customHeight="1" x14ac:dyDescent="0.25">
      <c r="B1101" s="158" t="s">
        <v>972</v>
      </c>
      <c r="C1101" s="234"/>
      <c r="D1101" s="234"/>
      <c r="E1101" s="235"/>
      <c r="F1101" s="232" t="s">
        <v>889</v>
      </c>
      <c r="G1101" s="231"/>
      <c r="H1101" s="242"/>
      <c r="I1101" s="134" t="s">
        <v>844</v>
      </c>
    </row>
    <row r="1102" spans="2:9" ht="15.75" customHeight="1" x14ac:dyDescent="0.25">
      <c r="B1102" s="158" t="s">
        <v>973</v>
      </c>
      <c r="C1102" s="234"/>
      <c r="D1102" s="234"/>
      <c r="E1102" s="235"/>
      <c r="F1102" s="232" t="s">
        <v>887</v>
      </c>
      <c r="G1102" s="231"/>
      <c r="H1102" s="242"/>
      <c r="I1102" s="134" t="s">
        <v>844</v>
      </c>
    </row>
    <row r="1103" spans="2:9" ht="15.75" customHeight="1" x14ac:dyDescent="0.25">
      <c r="B1103" s="156" t="s">
        <v>974</v>
      </c>
      <c r="C1103" s="234"/>
      <c r="D1103" s="234"/>
      <c r="E1103" s="235"/>
      <c r="F1103" s="232" t="s">
        <v>891</v>
      </c>
      <c r="G1103" s="231"/>
      <c r="H1103" s="242"/>
      <c r="I1103" s="134" t="s">
        <v>844</v>
      </c>
    </row>
    <row r="1104" spans="2:9" ht="25.5" customHeight="1" x14ac:dyDescent="0.25">
      <c r="B1104" s="159" t="s">
        <v>975</v>
      </c>
      <c r="C1104" s="234"/>
      <c r="D1104" s="234"/>
      <c r="E1104" s="235"/>
      <c r="F1104" s="232" t="s">
        <v>976</v>
      </c>
      <c r="G1104" s="231"/>
      <c r="H1104" s="242"/>
      <c r="I1104" s="134" t="s">
        <v>844</v>
      </c>
    </row>
    <row r="1105" spans="2:9" ht="15.75" customHeight="1" x14ac:dyDescent="0.25">
      <c r="B1105" s="159" t="s">
        <v>972</v>
      </c>
      <c r="C1105" s="234"/>
      <c r="D1105" s="234"/>
      <c r="E1105" s="235"/>
      <c r="F1105" s="232" t="s">
        <v>895</v>
      </c>
      <c r="G1105" s="231"/>
      <c r="H1105" s="242"/>
      <c r="I1105" s="134" t="s">
        <v>844</v>
      </c>
    </row>
    <row r="1106" spans="2:9" ht="15.75" customHeight="1" x14ac:dyDescent="0.25">
      <c r="B1106" s="159" t="s">
        <v>973</v>
      </c>
      <c r="C1106" s="234"/>
      <c r="D1106" s="234"/>
      <c r="E1106" s="235"/>
      <c r="F1106" s="232" t="s">
        <v>894</v>
      </c>
      <c r="G1106" s="231"/>
      <c r="H1106" s="242"/>
      <c r="I1106" s="134" t="s">
        <v>844</v>
      </c>
    </row>
    <row r="1107" spans="2:9" ht="31.5" customHeight="1" x14ac:dyDescent="0.25">
      <c r="B1107" s="153" t="s">
        <v>977</v>
      </c>
      <c r="C1107" s="234"/>
      <c r="D1107" s="234"/>
      <c r="E1107" s="235"/>
      <c r="F1107" s="232" t="s">
        <v>897</v>
      </c>
      <c r="G1107" s="231"/>
      <c r="H1107" s="242"/>
      <c r="I1107" s="134" t="s">
        <v>844</v>
      </c>
    </row>
    <row r="1108" spans="2:9" ht="25.5" customHeight="1" x14ac:dyDescent="0.25">
      <c r="B1108" s="157" t="s">
        <v>978</v>
      </c>
      <c r="C1108" s="234"/>
      <c r="D1108" s="234"/>
      <c r="E1108" s="235"/>
      <c r="F1108" s="232" t="s">
        <v>979</v>
      </c>
      <c r="G1108" s="231"/>
      <c r="H1108" s="242"/>
      <c r="I1108" s="134" t="s">
        <v>844</v>
      </c>
    </row>
    <row r="1109" spans="2:9" ht="15.75" customHeight="1" x14ac:dyDescent="0.25">
      <c r="B1109" s="157" t="s">
        <v>980</v>
      </c>
      <c r="C1109" s="234"/>
      <c r="D1109" s="234"/>
      <c r="E1109" s="235"/>
      <c r="F1109" s="232" t="s">
        <v>908</v>
      </c>
      <c r="G1109" s="231"/>
      <c r="H1109" s="242"/>
      <c r="I1109" s="134" t="s">
        <v>844</v>
      </c>
    </row>
    <row r="1110" spans="2:9" ht="15.75" customHeight="1" x14ac:dyDescent="0.25">
      <c r="B1110" s="157" t="s">
        <v>981</v>
      </c>
      <c r="C1110" s="234"/>
      <c r="D1110" s="234"/>
      <c r="E1110" s="235"/>
      <c r="F1110" s="232" t="s">
        <v>906</v>
      </c>
      <c r="G1110" s="231"/>
      <c r="H1110" s="242"/>
      <c r="I1110" s="134" t="s">
        <v>844</v>
      </c>
    </row>
    <row r="1111" spans="2:9" ht="15.75" customHeight="1" x14ac:dyDescent="0.25">
      <c r="B1111" s="292" t="s">
        <v>982</v>
      </c>
      <c r="C1111" s="234"/>
      <c r="D1111" s="234"/>
      <c r="E1111" s="235"/>
      <c r="F1111" s="232" t="s">
        <v>911</v>
      </c>
      <c r="G1111" s="231"/>
      <c r="H1111" s="242"/>
      <c r="I1111" s="134" t="s">
        <v>844</v>
      </c>
    </row>
    <row r="1112" spans="2:9" ht="15.75" customHeight="1" x14ac:dyDescent="0.25">
      <c r="B1112" s="274"/>
      <c r="C1112" s="234"/>
      <c r="D1112" s="234"/>
      <c r="E1112" s="235"/>
      <c r="F1112" s="232" t="s">
        <v>912</v>
      </c>
      <c r="G1112" s="231"/>
      <c r="H1112" s="242"/>
      <c r="I1112" s="154" t="s">
        <v>850</v>
      </c>
    </row>
    <row r="1113" spans="2:9" ht="25.5" customHeight="1" x14ac:dyDescent="0.25">
      <c r="B1113" s="275" t="s">
        <v>978</v>
      </c>
      <c r="C1113" s="234"/>
      <c r="D1113" s="234"/>
      <c r="E1113" s="235"/>
      <c r="F1113" s="232" t="s">
        <v>983</v>
      </c>
      <c r="G1113" s="231"/>
      <c r="H1113" s="242"/>
      <c r="I1113" s="160" t="s">
        <v>984</v>
      </c>
    </row>
    <row r="1114" spans="2:9" ht="25.5" customHeight="1" x14ac:dyDescent="0.25">
      <c r="B1114" s="274"/>
      <c r="C1114" s="234"/>
      <c r="D1114" s="234"/>
      <c r="E1114" s="235"/>
      <c r="F1114" s="232" t="s">
        <v>985</v>
      </c>
      <c r="G1114" s="231"/>
      <c r="H1114" s="242"/>
      <c r="I1114" s="134" t="s">
        <v>826</v>
      </c>
    </row>
    <row r="1115" spans="2:9" ht="15.75" customHeight="1" x14ac:dyDescent="0.25">
      <c r="B1115" s="275" t="s">
        <v>980</v>
      </c>
      <c r="C1115" s="234"/>
      <c r="D1115" s="234"/>
      <c r="E1115" s="235"/>
      <c r="F1115" s="232" t="s">
        <v>917</v>
      </c>
      <c r="G1115" s="231"/>
      <c r="H1115" s="242"/>
      <c r="I1115" s="160" t="s">
        <v>844</v>
      </c>
    </row>
    <row r="1116" spans="2:9" ht="15.75" customHeight="1" x14ac:dyDescent="0.25">
      <c r="B1116" s="274"/>
      <c r="C1116" s="234"/>
      <c r="D1116" s="234"/>
      <c r="E1116" s="235"/>
      <c r="F1116" s="232" t="s">
        <v>918</v>
      </c>
      <c r="G1116" s="231"/>
      <c r="H1116" s="242"/>
      <c r="I1116" s="154" t="s">
        <v>850</v>
      </c>
    </row>
    <row r="1117" spans="2:9" ht="15.75" customHeight="1" x14ac:dyDescent="0.25">
      <c r="B1117" s="275" t="s">
        <v>981</v>
      </c>
      <c r="C1117" s="234"/>
      <c r="D1117" s="234"/>
      <c r="E1117" s="235"/>
      <c r="F1117" s="232" t="s">
        <v>919</v>
      </c>
      <c r="G1117" s="231"/>
      <c r="H1117" s="242"/>
      <c r="I1117" s="160" t="s">
        <v>844</v>
      </c>
    </row>
    <row r="1118" spans="2:9" ht="15.75" customHeight="1" x14ac:dyDescent="0.25">
      <c r="B1118" s="274"/>
      <c r="C1118" s="234"/>
      <c r="D1118" s="234"/>
      <c r="E1118" s="235"/>
      <c r="F1118" s="232" t="s">
        <v>920</v>
      </c>
      <c r="G1118" s="231"/>
      <c r="H1118" s="242"/>
      <c r="I1118" s="154" t="s">
        <v>850</v>
      </c>
    </row>
    <row r="1119" spans="2:9" ht="31.5" customHeight="1" x14ac:dyDescent="0.25">
      <c r="B1119" s="153" t="s">
        <v>986</v>
      </c>
      <c r="C1119" s="234"/>
      <c r="D1119" s="234"/>
      <c r="E1119" s="235"/>
      <c r="F1119" s="232" t="s">
        <v>924</v>
      </c>
      <c r="G1119" s="231"/>
      <c r="H1119" s="242"/>
      <c r="I1119" s="134" t="s">
        <v>844</v>
      </c>
    </row>
    <row r="1120" spans="2:9" ht="25.5" customHeight="1" x14ac:dyDescent="0.25">
      <c r="B1120" s="157" t="s">
        <v>987</v>
      </c>
      <c r="C1120" s="234"/>
      <c r="D1120" s="234"/>
      <c r="E1120" s="235"/>
      <c r="F1120" s="232" t="s">
        <v>988</v>
      </c>
      <c r="G1120" s="231"/>
      <c r="H1120" s="242"/>
      <c r="I1120" s="134" t="s">
        <v>844</v>
      </c>
    </row>
    <row r="1121" spans="2:9" ht="15.75" customHeight="1" x14ac:dyDescent="0.25">
      <c r="B1121" s="157" t="s">
        <v>989</v>
      </c>
      <c r="C1121" s="234"/>
      <c r="D1121" s="234"/>
      <c r="E1121" s="235"/>
      <c r="F1121" s="232" t="s">
        <v>930</v>
      </c>
      <c r="G1121" s="231"/>
      <c r="H1121" s="242"/>
      <c r="I1121" s="134" t="s">
        <v>844</v>
      </c>
    </row>
    <row r="1122" spans="2:9" ht="15.75" customHeight="1" x14ac:dyDescent="0.25">
      <c r="B1122" s="157" t="s">
        <v>990</v>
      </c>
      <c r="C1122" s="234"/>
      <c r="D1122" s="234"/>
      <c r="E1122" s="235"/>
      <c r="F1122" s="232" t="s">
        <v>929</v>
      </c>
      <c r="G1122" s="231"/>
      <c r="H1122" s="242"/>
      <c r="I1122" s="134" t="s">
        <v>844</v>
      </c>
    </row>
    <row r="1123" spans="2:9" ht="31.5" customHeight="1" x14ac:dyDescent="0.25">
      <c r="B1123" s="153" t="s">
        <v>991</v>
      </c>
      <c r="C1123" s="234"/>
      <c r="D1123" s="234"/>
      <c r="E1123" s="235"/>
      <c r="F1123" s="232" t="s">
        <v>933</v>
      </c>
      <c r="G1123" s="231"/>
      <c r="H1123" s="242"/>
      <c r="I1123" s="154" t="s">
        <v>850</v>
      </c>
    </row>
    <row r="1124" spans="2:9" ht="25.5" customHeight="1" x14ac:dyDescent="0.25">
      <c r="B1124" s="157" t="s">
        <v>992</v>
      </c>
      <c r="C1124" s="234"/>
      <c r="D1124" s="234"/>
      <c r="E1124" s="235"/>
      <c r="F1124" s="232" t="s">
        <v>993</v>
      </c>
      <c r="G1124" s="231"/>
      <c r="H1124" s="242"/>
      <c r="I1124" s="154" t="s">
        <v>850</v>
      </c>
    </row>
    <row r="1125" spans="2:9" ht="15.75" customHeight="1" x14ac:dyDescent="0.25">
      <c r="B1125" s="157" t="s">
        <v>994</v>
      </c>
      <c r="C1125" s="234"/>
      <c r="D1125" s="234"/>
      <c r="E1125" s="235"/>
      <c r="F1125" s="232" t="s">
        <v>947</v>
      </c>
      <c r="G1125" s="231"/>
      <c r="H1125" s="242"/>
      <c r="I1125" s="154" t="s">
        <v>850</v>
      </c>
    </row>
    <row r="1126" spans="2:9" ht="15.75" customHeight="1" x14ac:dyDescent="0.25">
      <c r="B1126" s="157" t="s">
        <v>995</v>
      </c>
      <c r="C1126" s="234"/>
      <c r="D1126" s="234"/>
      <c r="E1126" s="235"/>
      <c r="F1126" s="232" t="s">
        <v>942</v>
      </c>
      <c r="G1126" s="231"/>
      <c r="H1126" s="242"/>
      <c r="I1126" s="154" t="s">
        <v>850</v>
      </c>
    </row>
    <row r="1127" spans="2:9" ht="15.75" customHeight="1" x14ac:dyDescent="0.25">
      <c r="B1127" s="153" t="s">
        <v>996</v>
      </c>
      <c r="C1127" s="234"/>
      <c r="D1127" s="234"/>
      <c r="E1127" s="235"/>
      <c r="F1127" s="232" t="s">
        <v>950</v>
      </c>
      <c r="G1127" s="231"/>
      <c r="H1127" s="242"/>
      <c r="I1127" s="154" t="s">
        <v>850</v>
      </c>
    </row>
    <row r="1128" spans="2:9" ht="47.25" customHeight="1" x14ac:dyDescent="0.25">
      <c r="B1128" s="157" t="s">
        <v>997</v>
      </c>
      <c r="C1128" s="234"/>
      <c r="D1128" s="234"/>
      <c r="E1128" s="235"/>
      <c r="F1128" s="232" t="s">
        <v>998</v>
      </c>
      <c r="G1128" s="231"/>
      <c r="H1128" s="242"/>
      <c r="I1128" s="154" t="s">
        <v>850</v>
      </c>
    </row>
    <row r="1129" spans="2:9" ht="31.5" customHeight="1" x14ac:dyDescent="0.25">
      <c r="B1129" s="157" t="s">
        <v>999</v>
      </c>
      <c r="C1129" s="234"/>
      <c r="D1129" s="234"/>
      <c r="E1129" s="235"/>
      <c r="F1129" s="232" t="s">
        <v>960</v>
      </c>
      <c r="G1129" s="231"/>
      <c r="H1129" s="242"/>
      <c r="I1129" s="154" t="s">
        <v>850</v>
      </c>
    </row>
    <row r="1130" spans="2:9" ht="31.5" customHeight="1" x14ac:dyDescent="0.25">
      <c r="B1130" s="157" t="s">
        <v>1000</v>
      </c>
      <c r="C1130" s="234"/>
      <c r="D1130" s="234"/>
      <c r="E1130" s="235"/>
      <c r="F1130" s="232" t="s">
        <v>956</v>
      </c>
      <c r="G1130" s="231"/>
      <c r="H1130" s="242"/>
      <c r="I1130" s="154" t="s">
        <v>850</v>
      </c>
    </row>
    <row r="1131" spans="2:9" ht="15.75" customHeight="1" x14ac:dyDescent="0.25">
      <c r="B1131" s="161"/>
      <c r="C1131" s="234"/>
      <c r="D1131" s="234"/>
      <c r="E1131" s="235">
        <v>199</v>
      </c>
      <c r="F1131" s="232"/>
      <c r="G1131" s="231"/>
      <c r="H1131" s="242"/>
      <c r="I1131" s="162"/>
    </row>
    <row r="1132" spans="2:9" ht="15.75" customHeight="1" x14ac:dyDescent="0.25">
      <c r="B1132" s="163" t="s">
        <v>1001</v>
      </c>
      <c r="C1132" s="234"/>
      <c r="D1132" s="234"/>
      <c r="E1132" s="235">
        <v>200</v>
      </c>
      <c r="F1132" s="232"/>
      <c r="G1132" s="231"/>
      <c r="H1132" s="242"/>
      <c r="I1132" s="164"/>
    </row>
    <row r="1133" spans="2:9" ht="15.75" customHeight="1" x14ac:dyDescent="0.25">
      <c r="B1133" s="165" t="s">
        <v>19</v>
      </c>
      <c r="C1133" s="234"/>
      <c r="D1133" s="234"/>
      <c r="E1133" s="235">
        <v>201</v>
      </c>
      <c r="F1133" s="232"/>
      <c r="G1133" s="231"/>
      <c r="H1133" s="242"/>
      <c r="I1133" s="80"/>
    </row>
    <row r="1134" spans="2:9" ht="31.5" customHeight="1" x14ac:dyDescent="0.25">
      <c r="B1134" s="166" t="s">
        <v>1002</v>
      </c>
      <c r="C1134" s="234"/>
      <c r="D1134" s="234"/>
      <c r="E1134" s="235"/>
      <c r="F1134" s="232" t="s">
        <v>1003</v>
      </c>
      <c r="G1134" s="231"/>
      <c r="H1134" s="242"/>
      <c r="I1134" s="80" t="s">
        <v>850</v>
      </c>
    </row>
    <row r="1135" spans="2:9" ht="15.75" customHeight="1" x14ac:dyDescent="0.25">
      <c r="B1135" s="165" t="s">
        <v>296</v>
      </c>
      <c r="C1135" s="234"/>
      <c r="D1135" s="234"/>
      <c r="E1135" s="235">
        <v>202</v>
      </c>
      <c r="F1135" s="232"/>
      <c r="G1135" s="231"/>
      <c r="H1135" s="242"/>
      <c r="I1135" s="80"/>
    </row>
    <row r="1136" spans="2:9" ht="15.75" customHeight="1" x14ac:dyDescent="0.25">
      <c r="B1136" s="166" t="s">
        <v>1004</v>
      </c>
      <c r="C1136" s="234"/>
      <c r="D1136" s="234"/>
      <c r="E1136" s="235"/>
      <c r="F1136" s="232" t="s">
        <v>1005</v>
      </c>
      <c r="G1136" s="231"/>
      <c r="H1136" s="242"/>
      <c r="I1136" s="171" t="s">
        <v>844</v>
      </c>
    </row>
    <row r="1137" spans="2:9" ht="15.75" customHeight="1" x14ac:dyDescent="0.25">
      <c r="B1137" s="202"/>
      <c r="C1137" s="234"/>
      <c r="D1137" s="234"/>
      <c r="E1137" s="235">
        <v>203</v>
      </c>
      <c r="F1137" s="232"/>
      <c r="G1137" s="231"/>
      <c r="H1137" s="242"/>
      <c r="I1137" s="171"/>
    </row>
    <row r="1138" spans="2:9" ht="15.75" customHeight="1" x14ac:dyDescent="0.25">
      <c r="B1138" s="202"/>
      <c r="C1138" s="234"/>
      <c r="D1138" s="234"/>
      <c r="E1138" s="235">
        <v>204</v>
      </c>
      <c r="F1138" s="232"/>
      <c r="G1138" s="231"/>
      <c r="H1138" s="242"/>
      <c r="I1138" s="171"/>
    </row>
    <row r="1139" spans="2:9" ht="15.75" customHeight="1" x14ac:dyDescent="0.25">
      <c r="B1139" s="131" t="s">
        <v>1006</v>
      </c>
      <c r="C1139" s="234"/>
      <c r="D1139" s="234"/>
      <c r="E1139" s="235">
        <v>205</v>
      </c>
      <c r="F1139" s="232"/>
      <c r="G1139" s="231"/>
      <c r="H1139" s="242"/>
      <c r="I1139" s="131"/>
    </row>
    <row r="1140" spans="2:9" ht="15.75" customHeight="1" x14ac:dyDescent="0.25">
      <c r="B1140" s="202"/>
      <c r="C1140" s="234"/>
      <c r="D1140" s="234"/>
      <c r="E1140" s="235">
        <v>206</v>
      </c>
      <c r="F1140" s="232"/>
      <c r="G1140" s="231"/>
      <c r="H1140" s="242"/>
      <c r="I1140" s="171"/>
    </row>
    <row r="1141" spans="2:9" ht="15.75" customHeight="1" x14ac:dyDescent="0.25">
      <c r="B1141" s="88" t="s">
        <v>19</v>
      </c>
      <c r="C1141" s="234"/>
      <c r="D1141" s="234"/>
      <c r="E1141" s="235">
        <v>207</v>
      </c>
      <c r="F1141" s="232"/>
      <c r="G1141" s="231"/>
      <c r="H1141" s="242"/>
      <c r="I1141" s="171"/>
    </row>
    <row r="1142" spans="2:9" ht="15.75" customHeight="1" x14ac:dyDescent="0.25">
      <c r="B1142" s="180" t="s">
        <v>1007</v>
      </c>
      <c r="C1142" s="234"/>
      <c r="D1142" s="234"/>
      <c r="E1142" s="235">
        <v>208</v>
      </c>
      <c r="F1142" s="232"/>
      <c r="G1142" s="231"/>
      <c r="H1142" s="242"/>
      <c r="I1142" s="171"/>
    </row>
    <row r="1143" spans="2:9" ht="15.75" customHeight="1" x14ac:dyDescent="0.25">
      <c r="B1143" s="167" t="s">
        <v>1008</v>
      </c>
      <c r="C1143" s="234"/>
      <c r="D1143" s="234"/>
      <c r="E1143" s="235"/>
      <c r="F1143" s="232" t="s">
        <v>1009</v>
      </c>
      <c r="G1143" s="231"/>
      <c r="H1143" s="242"/>
      <c r="I1143" s="58" t="s">
        <v>844</v>
      </c>
    </row>
    <row r="1144" spans="2:9" ht="15.75" customHeight="1" x14ac:dyDescent="0.25">
      <c r="B1144" s="167" t="s">
        <v>1010</v>
      </c>
      <c r="C1144" s="234"/>
      <c r="D1144" s="234"/>
      <c r="E1144" s="235"/>
      <c r="F1144" s="232" t="s">
        <v>1011</v>
      </c>
      <c r="G1144" s="231"/>
      <c r="H1144" s="242"/>
      <c r="I1144" s="58" t="s">
        <v>844</v>
      </c>
    </row>
    <row r="1145" spans="2:9" ht="15.75" customHeight="1" x14ac:dyDescent="0.25">
      <c r="B1145" s="167" t="s">
        <v>1012</v>
      </c>
      <c r="C1145" s="234"/>
      <c r="D1145" s="234"/>
      <c r="E1145" s="235"/>
      <c r="F1145" s="232" t="s">
        <v>1013</v>
      </c>
      <c r="G1145" s="231"/>
      <c r="H1145" s="242"/>
      <c r="I1145" s="58" t="s">
        <v>844</v>
      </c>
    </row>
    <row r="1146" spans="2:9" ht="15.75" customHeight="1" x14ac:dyDescent="0.25">
      <c r="B1146" s="180" t="s">
        <v>1014</v>
      </c>
      <c r="C1146" s="234"/>
      <c r="D1146" s="234"/>
      <c r="E1146" s="235">
        <v>209</v>
      </c>
      <c r="F1146" s="232"/>
      <c r="G1146" s="231"/>
      <c r="H1146" s="242"/>
      <c r="I1146" s="171"/>
    </row>
    <row r="1147" spans="2:9" ht="15.75" customHeight="1" x14ac:dyDescent="0.25">
      <c r="B1147" s="167" t="s">
        <v>1015</v>
      </c>
      <c r="C1147" s="234"/>
      <c r="D1147" s="234"/>
      <c r="E1147" s="235"/>
      <c r="F1147" s="232" t="s">
        <v>1016</v>
      </c>
      <c r="G1147" s="231"/>
      <c r="H1147" s="242"/>
      <c r="I1147" s="58" t="s">
        <v>850</v>
      </c>
    </row>
    <row r="1148" spans="2:9" ht="15.75" customHeight="1" x14ac:dyDescent="0.25">
      <c r="B1148" s="167"/>
      <c r="C1148" s="234"/>
      <c r="D1148" s="234"/>
      <c r="E1148" s="235">
        <v>210</v>
      </c>
      <c r="F1148" s="232"/>
      <c r="G1148" s="231"/>
      <c r="H1148" s="242"/>
      <c r="I1148" s="171"/>
    </row>
    <row r="1149" spans="2:9" ht="15.75" customHeight="1" x14ac:dyDescent="0.25">
      <c r="B1149" s="168" t="s">
        <v>296</v>
      </c>
      <c r="C1149" s="234"/>
      <c r="D1149" s="234"/>
      <c r="E1149" s="235">
        <v>211</v>
      </c>
      <c r="F1149" s="232"/>
      <c r="G1149" s="231"/>
      <c r="H1149" s="242"/>
      <c r="I1149" s="171"/>
    </row>
    <row r="1150" spans="2:9" ht="15.75" customHeight="1" x14ac:dyDescent="0.25">
      <c r="B1150" s="167" t="s">
        <v>1008</v>
      </c>
      <c r="C1150" s="234"/>
      <c r="D1150" s="234"/>
      <c r="E1150" s="235"/>
      <c r="F1150" s="232" t="s">
        <v>1017</v>
      </c>
      <c r="G1150" s="231"/>
      <c r="H1150" s="242"/>
      <c r="I1150" s="58" t="s">
        <v>844</v>
      </c>
    </row>
    <row r="1151" spans="2:9" ht="15.75" customHeight="1" x14ac:dyDescent="0.25">
      <c r="B1151" s="167" t="s">
        <v>1010</v>
      </c>
      <c r="C1151" s="234"/>
      <c r="D1151" s="234"/>
      <c r="E1151" s="235"/>
      <c r="F1151" s="232" t="s">
        <v>1018</v>
      </c>
      <c r="G1151" s="231"/>
      <c r="H1151" s="242"/>
      <c r="I1151" s="58" t="s">
        <v>844</v>
      </c>
    </row>
    <row r="1152" spans="2:9" ht="15.75" customHeight="1" x14ac:dyDescent="0.25">
      <c r="B1152" s="167" t="s">
        <v>1012</v>
      </c>
      <c r="C1152" s="234"/>
      <c r="D1152" s="234"/>
      <c r="E1152" s="235"/>
      <c r="F1152" s="232" t="s">
        <v>1019</v>
      </c>
      <c r="G1152" s="231"/>
      <c r="H1152" s="242"/>
      <c r="I1152" s="58" t="s">
        <v>844</v>
      </c>
    </row>
    <row r="1153" spans="2:9" ht="15.75" customHeight="1" x14ac:dyDescent="0.25">
      <c r="B1153" s="169" t="s">
        <v>1020</v>
      </c>
      <c r="C1153" s="234"/>
      <c r="D1153" s="234"/>
      <c r="E1153" s="235">
        <v>212</v>
      </c>
      <c r="F1153" s="232"/>
      <c r="G1153" s="231"/>
      <c r="H1153" s="242"/>
      <c r="I1153" s="58"/>
    </row>
    <row r="1154" spans="2:9" ht="15.75" customHeight="1" x14ac:dyDescent="0.25">
      <c r="B1154" s="167" t="s">
        <v>1015</v>
      </c>
      <c r="C1154" s="234"/>
      <c r="D1154" s="234"/>
      <c r="E1154" s="235"/>
      <c r="F1154" s="232" t="s">
        <v>1021</v>
      </c>
      <c r="G1154" s="231"/>
      <c r="H1154" s="242"/>
      <c r="I1154" s="58" t="s">
        <v>850</v>
      </c>
    </row>
    <row r="1155" spans="2:9" ht="15.75" customHeight="1" x14ac:dyDescent="0.25">
      <c r="B1155" s="169" t="s">
        <v>1022</v>
      </c>
      <c r="C1155" s="234"/>
      <c r="D1155" s="234"/>
      <c r="E1155" s="235">
        <v>213</v>
      </c>
      <c r="F1155" s="232"/>
      <c r="G1155" s="231"/>
      <c r="H1155" s="242"/>
      <c r="I1155" s="171"/>
    </row>
    <row r="1156" spans="2:9" ht="15.75" customHeight="1" x14ac:dyDescent="0.25">
      <c r="B1156" s="167" t="s">
        <v>1015</v>
      </c>
      <c r="C1156" s="234"/>
      <c r="D1156" s="234"/>
      <c r="E1156" s="235"/>
      <c r="F1156" s="232" t="s">
        <v>1023</v>
      </c>
      <c r="G1156" s="231"/>
      <c r="H1156" s="242"/>
      <c r="I1156" s="58" t="s">
        <v>844</v>
      </c>
    </row>
    <row r="1157" spans="2:9" ht="15.75" customHeight="1" x14ac:dyDescent="0.25">
      <c r="B1157" s="169" t="s">
        <v>1024</v>
      </c>
      <c r="C1157" s="234"/>
      <c r="D1157" s="234"/>
      <c r="E1157" s="235">
        <v>214</v>
      </c>
      <c r="F1157" s="232"/>
      <c r="G1157" s="231"/>
      <c r="H1157" s="242"/>
      <c r="I1157" s="171"/>
    </row>
    <row r="1158" spans="2:9" ht="15.75" customHeight="1" x14ac:dyDescent="0.25">
      <c r="B1158" s="167" t="s">
        <v>1008</v>
      </c>
      <c r="C1158" s="234"/>
      <c r="D1158" s="234"/>
      <c r="E1158" s="235"/>
      <c r="F1158" s="232" t="s">
        <v>1025</v>
      </c>
      <c r="G1158" s="231"/>
      <c r="H1158" s="242"/>
      <c r="I1158" s="58" t="s">
        <v>844</v>
      </c>
    </row>
    <row r="1159" spans="2:9" ht="15.75" customHeight="1" x14ac:dyDescent="0.25">
      <c r="B1159" s="167" t="s">
        <v>1010</v>
      </c>
      <c r="C1159" s="234"/>
      <c r="D1159" s="234"/>
      <c r="E1159" s="235"/>
      <c r="F1159" s="232" t="s">
        <v>1026</v>
      </c>
      <c r="G1159" s="231"/>
      <c r="H1159" s="242"/>
      <c r="I1159" s="58" t="s">
        <v>844</v>
      </c>
    </row>
    <row r="1160" spans="2:9" ht="15.75" customHeight="1" x14ac:dyDescent="0.25">
      <c r="B1160" s="167" t="s">
        <v>1012</v>
      </c>
      <c r="C1160" s="234"/>
      <c r="D1160" s="234"/>
      <c r="E1160" s="235"/>
      <c r="F1160" s="232" t="s">
        <v>1027</v>
      </c>
      <c r="G1160" s="231"/>
      <c r="H1160" s="242"/>
      <c r="I1160" s="58" t="s">
        <v>844</v>
      </c>
    </row>
    <row r="1161" spans="2:9" ht="15.75" customHeight="1" x14ac:dyDescent="0.25">
      <c r="B1161" s="169" t="s">
        <v>1028</v>
      </c>
      <c r="C1161" s="234"/>
      <c r="D1161" s="234"/>
      <c r="E1161" s="235">
        <v>215</v>
      </c>
      <c r="F1161" s="232"/>
      <c r="G1161" s="231"/>
      <c r="H1161" s="242"/>
      <c r="I1161" s="171"/>
    </row>
    <row r="1162" spans="2:9" ht="15.75" customHeight="1" x14ac:dyDescent="0.25">
      <c r="B1162" s="167" t="s">
        <v>1008</v>
      </c>
      <c r="C1162" s="234"/>
      <c r="D1162" s="234"/>
      <c r="E1162" s="235"/>
      <c r="F1162" s="232" t="s">
        <v>1029</v>
      </c>
      <c r="G1162" s="231"/>
      <c r="H1162" s="242"/>
      <c r="I1162" s="58" t="s">
        <v>844</v>
      </c>
    </row>
    <row r="1163" spans="2:9" ht="15.75" customHeight="1" x14ac:dyDescent="0.25">
      <c r="B1163" s="167" t="s">
        <v>1010</v>
      </c>
      <c r="C1163" s="234"/>
      <c r="D1163" s="234"/>
      <c r="E1163" s="235"/>
      <c r="F1163" s="232" t="s">
        <v>1030</v>
      </c>
      <c r="G1163" s="231"/>
      <c r="H1163" s="242"/>
      <c r="I1163" s="58" t="s">
        <v>844</v>
      </c>
    </row>
    <row r="1164" spans="2:9" ht="15.75" customHeight="1" x14ac:dyDescent="0.25">
      <c r="B1164" s="167" t="s">
        <v>1012</v>
      </c>
      <c r="C1164" s="234"/>
      <c r="D1164" s="234"/>
      <c r="E1164" s="235"/>
      <c r="F1164" s="232" t="s">
        <v>1031</v>
      </c>
      <c r="G1164" s="231"/>
      <c r="H1164" s="242"/>
      <c r="I1164" s="58" t="s">
        <v>844</v>
      </c>
    </row>
    <row r="1165" spans="2:9" ht="15.75" customHeight="1" x14ac:dyDescent="0.25">
      <c r="B1165" s="169" t="s">
        <v>1032</v>
      </c>
      <c r="C1165" s="234"/>
      <c r="D1165" s="234"/>
      <c r="E1165" s="235">
        <v>216</v>
      </c>
      <c r="F1165" s="232"/>
      <c r="G1165" s="231"/>
      <c r="H1165" s="242"/>
      <c r="I1165" s="171"/>
    </row>
    <row r="1166" spans="2:9" ht="15.75" customHeight="1" x14ac:dyDescent="0.25">
      <c r="B1166" s="167" t="s">
        <v>1008</v>
      </c>
      <c r="C1166" s="234"/>
      <c r="D1166" s="234"/>
      <c r="E1166" s="235"/>
      <c r="F1166" s="232" t="s">
        <v>1033</v>
      </c>
      <c r="G1166" s="231"/>
      <c r="H1166" s="242"/>
      <c r="I1166" s="58" t="s">
        <v>844</v>
      </c>
    </row>
    <row r="1167" spans="2:9" ht="15.75" customHeight="1" x14ac:dyDescent="0.25">
      <c r="B1167" s="167" t="s">
        <v>1010</v>
      </c>
      <c r="C1167" s="234"/>
      <c r="D1167" s="234"/>
      <c r="E1167" s="235"/>
      <c r="F1167" s="232" t="s">
        <v>1034</v>
      </c>
      <c r="G1167" s="231"/>
      <c r="H1167" s="242"/>
      <c r="I1167" s="58" t="s">
        <v>844</v>
      </c>
    </row>
    <row r="1168" spans="2:9" ht="15.75" customHeight="1" x14ac:dyDescent="0.25">
      <c r="B1168" s="167" t="s">
        <v>1012</v>
      </c>
      <c r="C1168" s="234"/>
      <c r="D1168" s="234"/>
      <c r="E1168" s="235"/>
      <c r="F1168" s="232" t="s">
        <v>1035</v>
      </c>
      <c r="G1168" s="231"/>
      <c r="H1168" s="242"/>
      <c r="I1168" s="58" t="s">
        <v>844</v>
      </c>
    </row>
    <row r="1169" spans="2:9" ht="15.75" customHeight="1" x14ac:dyDescent="0.25">
      <c r="B1169" s="169" t="s">
        <v>1036</v>
      </c>
      <c r="C1169" s="234"/>
      <c r="D1169" s="234"/>
      <c r="E1169" s="235">
        <v>217</v>
      </c>
      <c r="F1169" s="232"/>
      <c r="G1169" s="231"/>
      <c r="H1169" s="242"/>
      <c r="I1169" s="171"/>
    </row>
    <row r="1170" spans="2:9" ht="15.75" customHeight="1" x14ac:dyDescent="0.25">
      <c r="B1170" s="167" t="s">
        <v>1008</v>
      </c>
      <c r="C1170" s="234"/>
      <c r="D1170" s="234"/>
      <c r="E1170" s="235"/>
      <c r="F1170" s="232" t="s">
        <v>1037</v>
      </c>
      <c r="G1170" s="231"/>
      <c r="H1170" s="242"/>
      <c r="I1170" s="58" t="s">
        <v>844</v>
      </c>
    </row>
    <row r="1171" spans="2:9" ht="15.75" customHeight="1" x14ac:dyDescent="0.25">
      <c r="B1171" s="167" t="s">
        <v>1010</v>
      </c>
      <c r="C1171" s="234"/>
      <c r="D1171" s="234"/>
      <c r="E1171" s="235"/>
      <c r="F1171" s="232" t="s">
        <v>1038</v>
      </c>
      <c r="G1171" s="231"/>
      <c r="H1171" s="242"/>
      <c r="I1171" s="58" t="s">
        <v>844</v>
      </c>
    </row>
    <row r="1172" spans="2:9" ht="15.75" customHeight="1" x14ac:dyDescent="0.25">
      <c r="B1172" s="167" t="s">
        <v>1012</v>
      </c>
      <c r="C1172" s="234"/>
      <c r="D1172" s="234"/>
      <c r="E1172" s="235"/>
      <c r="F1172" s="232" t="s">
        <v>1039</v>
      </c>
      <c r="G1172" s="231"/>
      <c r="H1172" s="242"/>
      <c r="I1172" s="58" t="s">
        <v>844</v>
      </c>
    </row>
    <row r="1173" spans="2:9" ht="15.75" customHeight="1" x14ac:dyDescent="0.25">
      <c r="B1173" s="169" t="s">
        <v>1040</v>
      </c>
      <c r="C1173" s="234"/>
      <c r="D1173" s="234"/>
      <c r="E1173" s="235">
        <v>218</v>
      </c>
      <c r="F1173" s="232"/>
      <c r="G1173" s="231"/>
      <c r="H1173" s="242"/>
      <c r="I1173" s="171"/>
    </row>
    <row r="1174" spans="2:9" ht="15.75" customHeight="1" x14ac:dyDescent="0.25">
      <c r="B1174" s="167" t="s">
        <v>1008</v>
      </c>
      <c r="C1174" s="234"/>
      <c r="D1174" s="234"/>
      <c r="E1174" s="235"/>
      <c r="F1174" s="232" t="s">
        <v>1041</v>
      </c>
      <c r="G1174" s="231"/>
      <c r="H1174" s="242"/>
      <c r="I1174" s="58" t="s">
        <v>844</v>
      </c>
    </row>
    <row r="1175" spans="2:9" ht="15.75" customHeight="1" x14ac:dyDescent="0.25">
      <c r="B1175" s="167" t="s">
        <v>1010</v>
      </c>
      <c r="C1175" s="234"/>
      <c r="D1175" s="234"/>
      <c r="E1175" s="235"/>
      <c r="F1175" s="232" t="s">
        <v>1042</v>
      </c>
      <c r="G1175" s="231"/>
      <c r="H1175" s="242"/>
      <c r="I1175" s="58" t="s">
        <v>844</v>
      </c>
    </row>
    <row r="1176" spans="2:9" ht="15.75" customHeight="1" x14ac:dyDescent="0.25">
      <c r="B1176" s="167" t="s">
        <v>1012</v>
      </c>
      <c r="C1176" s="234"/>
      <c r="D1176" s="234"/>
      <c r="E1176" s="235"/>
      <c r="F1176" s="232" t="s">
        <v>1043</v>
      </c>
      <c r="G1176" s="231"/>
      <c r="H1176" s="242"/>
      <c r="I1176" s="58" t="s">
        <v>844</v>
      </c>
    </row>
    <row r="1177" spans="2:9" ht="15.75" customHeight="1" x14ac:dyDescent="0.25">
      <c r="B1177" s="169" t="s">
        <v>1044</v>
      </c>
      <c r="C1177" s="234"/>
      <c r="D1177" s="234"/>
      <c r="E1177" s="235">
        <v>219</v>
      </c>
      <c r="F1177" s="232"/>
      <c r="G1177" s="231"/>
      <c r="H1177" s="242"/>
      <c r="I1177" s="171"/>
    </row>
    <row r="1178" spans="2:9" ht="15.75" customHeight="1" x14ac:dyDescent="0.25">
      <c r="B1178" s="167" t="s">
        <v>1008</v>
      </c>
      <c r="C1178" s="234"/>
      <c r="D1178" s="234"/>
      <c r="E1178" s="235"/>
      <c r="F1178" s="232" t="s">
        <v>1045</v>
      </c>
      <c r="G1178" s="231"/>
      <c r="H1178" s="242"/>
      <c r="I1178" s="58" t="s">
        <v>844</v>
      </c>
    </row>
    <row r="1179" spans="2:9" ht="15.75" customHeight="1" x14ac:dyDescent="0.25">
      <c r="B1179" s="167" t="s">
        <v>1010</v>
      </c>
      <c r="C1179" s="234"/>
      <c r="D1179" s="234"/>
      <c r="E1179" s="235"/>
      <c r="F1179" s="232" t="s">
        <v>1046</v>
      </c>
      <c r="G1179" s="231"/>
      <c r="H1179" s="242"/>
      <c r="I1179" s="58" t="s">
        <v>844</v>
      </c>
    </row>
    <row r="1180" spans="2:9" ht="15.75" customHeight="1" x14ac:dyDescent="0.25">
      <c r="B1180" s="167" t="s">
        <v>1012</v>
      </c>
      <c r="C1180" s="234"/>
      <c r="D1180" s="234"/>
      <c r="E1180" s="235"/>
      <c r="F1180" s="232" t="s">
        <v>1047</v>
      </c>
      <c r="G1180" s="231"/>
      <c r="H1180" s="242"/>
      <c r="I1180" s="58" t="s">
        <v>844</v>
      </c>
    </row>
    <row r="1181" spans="2:9" ht="15.75" customHeight="1" x14ac:dyDescent="0.25">
      <c r="B1181" s="169" t="s">
        <v>1048</v>
      </c>
      <c r="C1181" s="234"/>
      <c r="D1181" s="234"/>
      <c r="E1181" s="235">
        <v>220</v>
      </c>
      <c r="F1181" s="232"/>
      <c r="G1181" s="231"/>
      <c r="H1181" s="242"/>
      <c r="I1181" s="171"/>
    </row>
    <row r="1182" spans="2:9" ht="15.75" customHeight="1" x14ac:dyDescent="0.25">
      <c r="B1182" s="167" t="s">
        <v>1008</v>
      </c>
      <c r="C1182" s="234"/>
      <c r="D1182" s="234"/>
      <c r="E1182" s="235"/>
      <c r="F1182" s="232" t="s">
        <v>1049</v>
      </c>
      <c r="G1182" s="231"/>
      <c r="H1182" s="242"/>
      <c r="I1182" s="58" t="s">
        <v>844</v>
      </c>
    </row>
    <row r="1183" spans="2:9" ht="15.75" customHeight="1" x14ac:dyDescent="0.25">
      <c r="B1183" s="167" t="s">
        <v>1012</v>
      </c>
      <c r="C1183" s="234"/>
      <c r="D1183" s="234"/>
      <c r="E1183" s="235"/>
      <c r="F1183" s="232" t="s">
        <v>1050</v>
      </c>
      <c r="G1183" s="231"/>
      <c r="H1183" s="242"/>
      <c r="I1183" s="58" t="s">
        <v>844</v>
      </c>
    </row>
    <row r="1184" spans="2:9" ht="15.75" customHeight="1" x14ac:dyDescent="0.25">
      <c r="B1184" s="169" t="s">
        <v>1051</v>
      </c>
      <c r="C1184" s="234"/>
      <c r="D1184" s="234"/>
      <c r="E1184" s="235">
        <v>221</v>
      </c>
      <c r="F1184" s="232"/>
      <c r="G1184" s="231"/>
      <c r="H1184" s="242"/>
      <c r="I1184" s="171"/>
    </row>
    <row r="1185" spans="2:9" ht="15.75" customHeight="1" x14ac:dyDescent="0.25">
      <c r="B1185" s="167" t="s">
        <v>1008</v>
      </c>
      <c r="C1185" s="234"/>
      <c r="D1185" s="234"/>
      <c r="E1185" s="235"/>
      <c r="F1185" s="232" t="s">
        <v>1052</v>
      </c>
      <c r="G1185" s="231"/>
      <c r="H1185" s="242"/>
      <c r="I1185" s="58" t="s">
        <v>844</v>
      </c>
    </row>
    <row r="1186" spans="2:9" ht="15.75" customHeight="1" x14ac:dyDescent="0.25">
      <c r="B1186" s="167" t="s">
        <v>1010</v>
      </c>
      <c r="C1186" s="234"/>
      <c r="D1186" s="234"/>
      <c r="E1186" s="235"/>
      <c r="F1186" s="232" t="s">
        <v>1053</v>
      </c>
      <c r="G1186" s="231"/>
      <c r="H1186" s="242"/>
      <c r="I1186" s="58" t="s">
        <v>844</v>
      </c>
    </row>
    <row r="1187" spans="2:9" ht="15.75" customHeight="1" x14ac:dyDescent="0.25">
      <c r="B1187" s="167" t="s">
        <v>1012</v>
      </c>
      <c r="C1187" s="234"/>
      <c r="D1187" s="234"/>
      <c r="E1187" s="235"/>
      <c r="F1187" s="232" t="s">
        <v>1054</v>
      </c>
      <c r="G1187" s="231"/>
      <c r="H1187" s="242"/>
      <c r="I1187" s="58" t="s">
        <v>844</v>
      </c>
    </row>
    <row r="1188" spans="2:9" ht="15.75" customHeight="1" x14ac:dyDescent="0.25">
      <c r="B1188" s="169" t="s">
        <v>1055</v>
      </c>
      <c r="C1188" s="234"/>
      <c r="D1188" s="234"/>
      <c r="E1188" s="235">
        <v>222</v>
      </c>
      <c r="F1188" s="232"/>
      <c r="G1188" s="231"/>
      <c r="H1188" s="242"/>
      <c r="I1188" s="171"/>
    </row>
    <row r="1189" spans="2:9" ht="15.75" customHeight="1" x14ac:dyDescent="0.25">
      <c r="B1189" s="167" t="s">
        <v>1008</v>
      </c>
      <c r="C1189" s="234"/>
      <c r="D1189" s="234"/>
      <c r="E1189" s="235"/>
      <c r="F1189" s="232" t="s">
        <v>1056</v>
      </c>
      <c r="G1189" s="231"/>
      <c r="H1189" s="242"/>
      <c r="I1189" s="58" t="s">
        <v>844</v>
      </c>
    </row>
    <row r="1190" spans="2:9" ht="15.75" customHeight="1" x14ac:dyDescent="0.25">
      <c r="B1190" s="167" t="s">
        <v>1010</v>
      </c>
      <c r="C1190" s="234"/>
      <c r="D1190" s="234"/>
      <c r="E1190" s="235"/>
      <c r="F1190" s="232" t="s">
        <v>1057</v>
      </c>
      <c r="G1190" s="231"/>
      <c r="H1190" s="242"/>
      <c r="I1190" s="58" t="s">
        <v>844</v>
      </c>
    </row>
    <row r="1191" spans="2:9" ht="15.75" customHeight="1" x14ac:dyDescent="0.25">
      <c r="B1191" s="167" t="s">
        <v>1012</v>
      </c>
      <c r="C1191" s="234"/>
      <c r="D1191" s="234"/>
      <c r="E1191" s="235"/>
      <c r="F1191" s="232" t="s">
        <v>1058</v>
      </c>
      <c r="G1191" s="231"/>
      <c r="H1191" s="242"/>
      <c r="I1191" s="58" t="s">
        <v>844</v>
      </c>
    </row>
    <row r="1192" spans="2:9" ht="15.75" customHeight="1" x14ac:dyDescent="0.25">
      <c r="B1192" s="169" t="s">
        <v>1059</v>
      </c>
      <c r="C1192" s="234"/>
      <c r="D1192" s="234"/>
      <c r="E1192" s="235">
        <v>223</v>
      </c>
      <c r="F1192" s="232"/>
      <c r="G1192" s="231"/>
      <c r="H1192" s="242"/>
      <c r="I1192" s="171"/>
    </row>
    <row r="1193" spans="2:9" ht="15.75" customHeight="1" x14ac:dyDescent="0.25">
      <c r="B1193" s="167" t="s">
        <v>1008</v>
      </c>
      <c r="C1193" s="234"/>
      <c r="D1193" s="234"/>
      <c r="E1193" s="235"/>
      <c r="F1193" s="232" t="s">
        <v>1060</v>
      </c>
      <c r="G1193" s="231"/>
      <c r="H1193" s="242"/>
      <c r="I1193" s="58" t="s">
        <v>844</v>
      </c>
    </row>
    <row r="1194" spans="2:9" ht="15.75" customHeight="1" x14ac:dyDescent="0.25">
      <c r="B1194" s="167" t="s">
        <v>1010</v>
      </c>
      <c r="C1194" s="234"/>
      <c r="D1194" s="234"/>
      <c r="E1194" s="235"/>
      <c r="F1194" s="232" t="s">
        <v>1061</v>
      </c>
      <c r="G1194" s="231"/>
      <c r="H1194" s="242"/>
      <c r="I1194" s="58" t="s">
        <v>844</v>
      </c>
    </row>
    <row r="1195" spans="2:9" ht="15.75" customHeight="1" x14ac:dyDescent="0.25">
      <c r="B1195" s="167" t="s">
        <v>1012</v>
      </c>
      <c r="C1195" s="234"/>
      <c r="D1195" s="234"/>
      <c r="E1195" s="235"/>
      <c r="F1195" s="232" t="s">
        <v>1062</v>
      </c>
      <c r="G1195" s="231"/>
      <c r="H1195" s="242"/>
      <c r="I1195" s="58" t="s">
        <v>844</v>
      </c>
    </row>
    <row r="1196" spans="2:9" ht="15.75" customHeight="1" x14ac:dyDescent="0.25">
      <c r="B1196" s="169" t="s">
        <v>1063</v>
      </c>
      <c r="C1196" s="234"/>
      <c r="D1196" s="234"/>
      <c r="E1196" s="235">
        <v>224</v>
      </c>
      <c r="F1196" s="232"/>
      <c r="G1196" s="231"/>
      <c r="H1196" s="242"/>
      <c r="I1196" s="171"/>
    </row>
    <row r="1197" spans="2:9" ht="15.75" customHeight="1" x14ac:dyDescent="0.25">
      <c r="B1197" s="167" t="s">
        <v>1008</v>
      </c>
      <c r="C1197" s="234"/>
      <c r="D1197" s="234"/>
      <c r="E1197" s="235"/>
      <c r="F1197" s="232" t="s">
        <v>1064</v>
      </c>
      <c r="G1197" s="231"/>
      <c r="H1197" s="242"/>
      <c r="I1197" s="58" t="s">
        <v>844</v>
      </c>
    </row>
    <row r="1198" spans="2:9" ht="15.75" customHeight="1" x14ac:dyDescent="0.25">
      <c r="B1198" s="167" t="s">
        <v>1010</v>
      </c>
      <c r="C1198" s="234"/>
      <c r="D1198" s="234"/>
      <c r="E1198" s="235"/>
      <c r="F1198" s="232" t="s">
        <v>1065</v>
      </c>
      <c r="G1198" s="231"/>
      <c r="H1198" s="242"/>
      <c r="I1198" s="58" t="s">
        <v>844</v>
      </c>
    </row>
    <row r="1199" spans="2:9" ht="15.75" customHeight="1" x14ac:dyDescent="0.25">
      <c r="B1199" s="167" t="s">
        <v>1012</v>
      </c>
      <c r="C1199" s="234"/>
      <c r="D1199" s="234"/>
      <c r="E1199" s="235"/>
      <c r="F1199" s="232" t="s">
        <v>1066</v>
      </c>
      <c r="G1199" s="231"/>
      <c r="H1199" s="242"/>
      <c r="I1199" s="58" t="s">
        <v>844</v>
      </c>
    </row>
    <row r="1200" spans="2:9" ht="15.75" customHeight="1" x14ac:dyDescent="0.25">
      <c r="B1200" s="202"/>
      <c r="C1200" s="234"/>
      <c r="D1200" s="234"/>
      <c r="E1200" s="235">
        <v>225</v>
      </c>
      <c r="F1200" s="232"/>
      <c r="G1200" s="231"/>
      <c r="H1200" s="242"/>
      <c r="I1200" s="171"/>
    </row>
    <row r="1201" spans="2:9" ht="18.75" customHeight="1" x14ac:dyDescent="0.3">
      <c r="B1201" s="170" t="s">
        <v>1067</v>
      </c>
      <c r="C1201" s="234"/>
      <c r="D1201" s="234"/>
      <c r="E1201" s="235">
        <v>226</v>
      </c>
      <c r="F1201" s="232"/>
      <c r="G1201" s="231"/>
      <c r="H1201" s="242"/>
      <c r="I1201" s="171"/>
    </row>
    <row r="1202" spans="2:9" ht="15.75" customHeight="1" x14ac:dyDescent="0.25">
      <c r="B1202" s="172" t="s">
        <v>1068</v>
      </c>
      <c r="C1202" s="234"/>
      <c r="D1202" s="234"/>
      <c r="E1202" s="235">
        <v>227</v>
      </c>
      <c r="F1202" s="232"/>
      <c r="G1202" s="231"/>
      <c r="H1202" s="242"/>
      <c r="I1202" s="173"/>
    </row>
    <row r="1203" spans="2:9" ht="15.75" customHeight="1" x14ac:dyDescent="0.25">
      <c r="B1203" s="174"/>
      <c r="C1203" s="234"/>
      <c r="D1203" s="234"/>
      <c r="E1203" s="235">
        <v>228</v>
      </c>
      <c r="F1203" s="232"/>
      <c r="G1203" s="231"/>
      <c r="H1203" s="242"/>
      <c r="I1203" s="173"/>
    </row>
    <row r="1204" spans="2:9" ht="31.5" customHeight="1" x14ac:dyDescent="0.25">
      <c r="B1204" s="147" t="s">
        <v>1069</v>
      </c>
      <c r="C1204" s="234"/>
      <c r="D1204" s="234"/>
      <c r="E1204" s="235"/>
      <c r="F1204" s="232" t="s">
        <v>1070</v>
      </c>
      <c r="G1204" s="231"/>
      <c r="H1204" s="242"/>
      <c r="I1204" s="258" t="s">
        <v>844</v>
      </c>
    </row>
    <row r="1205" spans="2:9" ht="15.75" customHeight="1" x14ac:dyDescent="0.25">
      <c r="B1205" s="175" t="s">
        <v>1071</v>
      </c>
      <c r="C1205" s="234"/>
      <c r="D1205" s="234"/>
      <c r="E1205" s="235"/>
      <c r="F1205" s="232" t="s">
        <v>1072</v>
      </c>
      <c r="G1205" s="231"/>
      <c r="H1205" s="242"/>
      <c r="I1205" s="258" t="s">
        <v>844</v>
      </c>
    </row>
    <row r="1206" spans="2:9" ht="15.75" customHeight="1" x14ac:dyDescent="0.25">
      <c r="B1206" s="176" t="s">
        <v>1073</v>
      </c>
      <c r="C1206" s="234"/>
      <c r="D1206" s="234"/>
      <c r="E1206" s="235"/>
      <c r="F1206" s="232" t="s">
        <v>1074</v>
      </c>
      <c r="G1206" s="231"/>
      <c r="H1206" s="242"/>
      <c r="I1206" s="258" t="s">
        <v>844</v>
      </c>
    </row>
    <row r="1207" spans="2:9" ht="15.75" customHeight="1" x14ac:dyDescent="0.25">
      <c r="B1207" s="177" t="s">
        <v>26</v>
      </c>
      <c r="C1207" s="234"/>
      <c r="D1207" s="234"/>
      <c r="E1207" s="235"/>
      <c r="F1207" s="232" t="s">
        <v>1075</v>
      </c>
      <c r="G1207" s="231"/>
      <c r="H1207" s="242"/>
      <c r="I1207" s="58" t="s">
        <v>844</v>
      </c>
    </row>
    <row r="1208" spans="2:9" ht="15.75" customHeight="1" x14ac:dyDescent="0.25">
      <c r="B1208" s="177" t="s">
        <v>498</v>
      </c>
      <c r="C1208" s="234"/>
      <c r="D1208" s="234"/>
      <c r="E1208" s="235"/>
      <c r="F1208" s="232" t="s">
        <v>1076</v>
      </c>
      <c r="G1208" s="231"/>
      <c r="H1208" s="242"/>
      <c r="I1208" s="58" t="s">
        <v>844</v>
      </c>
    </row>
    <row r="1209" spans="2:9" ht="15.75" customHeight="1" x14ac:dyDescent="0.25">
      <c r="B1209" s="177" t="s">
        <v>30</v>
      </c>
      <c r="C1209" s="234"/>
      <c r="D1209" s="234"/>
      <c r="E1209" s="235"/>
      <c r="F1209" s="232" t="s">
        <v>1077</v>
      </c>
      <c r="G1209" s="231"/>
      <c r="H1209" s="242"/>
      <c r="I1209" s="58" t="s">
        <v>844</v>
      </c>
    </row>
    <row r="1210" spans="2:9" ht="15.75" customHeight="1" x14ac:dyDescent="0.25">
      <c r="B1210" s="177" t="s">
        <v>1078</v>
      </c>
      <c r="C1210" s="234"/>
      <c r="D1210" s="234"/>
      <c r="E1210" s="235"/>
      <c r="F1210" s="232" t="s">
        <v>1079</v>
      </c>
      <c r="G1210" s="231"/>
      <c r="H1210" s="242"/>
      <c r="I1210" s="58" t="s">
        <v>844</v>
      </c>
    </row>
    <row r="1211" spans="2:9" ht="15.75" customHeight="1" x14ac:dyDescent="0.25">
      <c r="B1211" s="176" t="s">
        <v>1080</v>
      </c>
      <c r="C1211" s="234"/>
      <c r="D1211" s="234"/>
      <c r="E1211" s="235"/>
      <c r="F1211" s="232" t="s">
        <v>1081</v>
      </c>
      <c r="G1211" s="231"/>
      <c r="H1211" s="242"/>
      <c r="I1211" s="258" t="s">
        <v>844</v>
      </c>
    </row>
    <row r="1212" spans="2:9" ht="15.75" customHeight="1" x14ac:dyDescent="0.25">
      <c r="B1212" s="176" t="s">
        <v>1082</v>
      </c>
      <c r="C1212" s="234"/>
      <c r="D1212" s="234"/>
      <c r="E1212" s="235"/>
      <c r="F1212" s="232" t="s">
        <v>1083</v>
      </c>
      <c r="G1212" s="231"/>
      <c r="H1212" s="242"/>
      <c r="I1212" s="258" t="s">
        <v>844</v>
      </c>
    </row>
    <row r="1213" spans="2:9" ht="15.75" customHeight="1" x14ac:dyDescent="0.25">
      <c r="B1213" s="175" t="s">
        <v>840</v>
      </c>
      <c r="C1213" s="234"/>
      <c r="D1213" s="234"/>
      <c r="E1213" s="235"/>
      <c r="F1213" s="232" t="s">
        <v>1084</v>
      </c>
      <c r="G1213" s="231"/>
      <c r="H1213" s="242"/>
      <c r="I1213" s="258" t="s">
        <v>844</v>
      </c>
    </row>
    <row r="1214" spans="2:9" ht="15.75" customHeight="1" x14ac:dyDescent="0.25">
      <c r="B1214" s="178" t="s">
        <v>1085</v>
      </c>
      <c r="C1214" s="234"/>
      <c r="D1214" s="234"/>
      <c r="E1214" s="235"/>
      <c r="F1214" s="232" t="s">
        <v>1086</v>
      </c>
      <c r="G1214" s="231"/>
      <c r="H1214" s="242"/>
      <c r="I1214" s="58" t="s">
        <v>844</v>
      </c>
    </row>
    <row r="1215" spans="2:9" ht="15.75" customHeight="1" x14ac:dyDescent="0.25">
      <c r="B1215" s="178" t="s">
        <v>1087</v>
      </c>
      <c r="C1215" s="234"/>
      <c r="D1215" s="234"/>
      <c r="E1215" s="235"/>
      <c r="F1215" s="232" t="s">
        <v>1088</v>
      </c>
      <c r="G1215" s="231"/>
      <c r="H1215" s="242"/>
      <c r="I1215" s="58" t="s">
        <v>844</v>
      </c>
    </row>
    <row r="1216" spans="2:9" ht="15.75" customHeight="1" x14ac:dyDescent="0.25">
      <c r="B1216" s="178" t="s">
        <v>1089</v>
      </c>
      <c r="C1216" s="234"/>
      <c r="D1216" s="234"/>
      <c r="E1216" s="235"/>
      <c r="F1216" s="232" t="s">
        <v>1090</v>
      </c>
      <c r="G1216" s="231"/>
      <c r="H1216" s="242"/>
      <c r="I1216" s="58" t="s">
        <v>844</v>
      </c>
    </row>
    <row r="1217" spans="2:9" ht="15.75" customHeight="1" x14ac:dyDescent="0.25">
      <c r="B1217" s="178" t="s">
        <v>1091</v>
      </c>
      <c r="C1217" s="234"/>
      <c r="D1217" s="234"/>
      <c r="E1217" s="235"/>
      <c r="F1217" s="232" t="s">
        <v>1092</v>
      </c>
      <c r="G1217" s="231"/>
      <c r="H1217" s="242"/>
      <c r="I1217" s="58" t="s">
        <v>844</v>
      </c>
    </row>
    <row r="1218" spans="2:9" ht="15.75" customHeight="1" x14ac:dyDescent="0.25">
      <c r="B1218" s="178" t="s">
        <v>1093</v>
      </c>
      <c r="C1218" s="234"/>
      <c r="D1218" s="234"/>
      <c r="E1218" s="235"/>
      <c r="F1218" s="232" t="s">
        <v>1094</v>
      </c>
      <c r="G1218" s="231"/>
      <c r="H1218" s="242"/>
      <c r="I1218" s="58" t="s">
        <v>844</v>
      </c>
    </row>
    <row r="1219" spans="2:9" ht="15.75" customHeight="1" x14ac:dyDescent="0.25">
      <c r="B1219" s="178" t="s">
        <v>1095</v>
      </c>
      <c r="C1219" s="234"/>
      <c r="D1219" s="234"/>
      <c r="E1219" s="235"/>
      <c r="F1219" s="232" t="s">
        <v>1096</v>
      </c>
      <c r="G1219" s="231"/>
      <c r="H1219" s="242"/>
      <c r="I1219" s="58" t="s">
        <v>844</v>
      </c>
    </row>
    <row r="1220" spans="2:9" ht="15.75" customHeight="1" x14ac:dyDescent="0.25">
      <c r="B1220" s="178" t="s">
        <v>1097</v>
      </c>
      <c r="C1220" s="234"/>
      <c r="D1220" s="234"/>
      <c r="E1220" s="235"/>
      <c r="F1220" s="232" t="s">
        <v>1098</v>
      </c>
      <c r="G1220" s="231"/>
      <c r="H1220" s="242"/>
      <c r="I1220" s="58" t="s">
        <v>844</v>
      </c>
    </row>
    <row r="1221" spans="2:9" ht="15.75" customHeight="1" x14ac:dyDescent="0.25">
      <c r="B1221" s="178" t="s">
        <v>1082</v>
      </c>
      <c r="C1221" s="234"/>
      <c r="D1221" s="234"/>
      <c r="E1221" s="235"/>
      <c r="F1221" s="232" t="s">
        <v>1099</v>
      </c>
      <c r="G1221" s="231"/>
      <c r="H1221" s="242"/>
      <c r="I1221" s="58" t="s">
        <v>844</v>
      </c>
    </row>
    <row r="1222" spans="2:9" ht="15.75" customHeight="1" x14ac:dyDescent="0.25">
      <c r="B1222" s="175" t="s">
        <v>1100</v>
      </c>
      <c r="C1222" s="234"/>
      <c r="D1222" s="234"/>
      <c r="E1222" s="235"/>
      <c r="F1222" s="232" t="s">
        <v>1101</v>
      </c>
      <c r="G1222" s="231"/>
      <c r="H1222" s="242"/>
      <c r="I1222" s="258" t="s">
        <v>844</v>
      </c>
    </row>
    <row r="1223" spans="2:9" ht="15.75" customHeight="1" x14ac:dyDescent="0.25">
      <c r="B1223" s="179" t="s">
        <v>1102</v>
      </c>
      <c r="C1223" s="234"/>
      <c r="D1223" s="234"/>
      <c r="E1223" s="235"/>
      <c r="F1223" s="232" t="s">
        <v>1103</v>
      </c>
      <c r="G1223" s="231"/>
      <c r="H1223" s="242"/>
      <c r="I1223" s="58" t="s">
        <v>844</v>
      </c>
    </row>
    <row r="1224" spans="2:9" ht="15.75" customHeight="1" x14ac:dyDescent="0.25">
      <c r="B1224" s="177" t="s">
        <v>26</v>
      </c>
      <c r="C1224" s="234"/>
      <c r="D1224" s="234"/>
      <c r="E1224" s="235"/>
      <c r="F1224" s="232" t="s">
        <v>1104</v>
      </c>
      <c r="G1224" s="231"/>
      <c r="H1224" s="242"/>
      <c r="I1224" s="58" t="s">
        <v>844</v>
      </c>
    </row>
    <row r="1225" spans="2:9" ht="15.75" customHeight="1" x14ac:dyDescent="0.25">
      <c r="B1225" s="180" t="s">
        <v>1105</v>
      </c>
      <c r="C1225" s="234"/>
      <c r="D1225" s="234"/>
      <c r="E1225" s="235"/>
      <c r="F1225" s="232" t="s">
        <v>1106</v>
      </c>
      <c r="G1225" s="231"/>
      <c r="H1225" s="242"/>
      <c r="I1225" s="258" t="s">
        <v>844</v>
      </c>
    </row>
    <row r="1226" spans="2:9" ht="15.75" customHeight="1" x14ac:dyDescent="0.25">
      <c r="B1226" s="147" t="s">
        <v>842</v>
      </c>
      <c r="C1226" s="234"/>
      <c r="D1226" s="234"/>
      <c r="E1226" s="235"/>
      <c r="F1226" s="232" t="s">
        <v>1107</v>
      </c>
      <c r="G1226" s="231"/>
      <c r="H1226" s="242"/>
      <c r="I1226" s="258" t="s">
        <v>844</v>
      </c>
    </row>
    <row r="1227" spans="2:9" ht="15.75" customHeight="1" x14ac:dyDescent="0.25">
      <c r="B1227" s="175" t="s">
        <v>1108</v>
      </c>
      <c r="C1227" s="234"/>
      <c r="D1227" s="234"/>
      <c r="E1227" s="235"/>
      <c r="F1227" s="232" t="s">
        <v>1109</v>
      </c>
      <c r="G1227" s="231"/>
      <c r="H1227" s="242"/>
      <c r="I1227" s="258" t="s">
        <v>844</v>
      </c>
    </row>
    <row r="1228" spans="2:9" ht="15.75" customHeight="1" x14ac:dyDescent="0.25">
      <c r="B1228" s="178" t="s">
        <v>1073</v>
      </c>
      <c r="C1228" s="234"/>
      <c r="D1228" s="234"/>
      <c r="E1228" s="235"/>
      <c r="F1228" s="232" t="s">
        <v>1110</v>
      </c>
      <c r="G1228" s="231"/>
      <c r="H1228" s="242"/>
      <c r="I1228" s="58" t="s">
        <v>844</v>
      </c>
    </row>
    <row r="1229" spans="2:9" ht="15.75" customHeight="1" x14ac:dyDescent="0.25">
      <c r="B1229" s="177" t="s">
        <v>1111</v>
      </c>
      <c r="C1229" s="234"/>
      <c r="D1229" s="234"/>
      <c r="E1229" s="235"/>
      <c r="F1229" s="232" t="s">
        <v>1112</v>
      </c>
      <c r="G1229" s="231"/>
      <c r="H1229" s="242"/>
      <c r="I1229" s="58" t="s">
        <v>844</v>
      </c>
    </row>
    <row r="1230" spans="2:9" ht="15.75" customHeight="1" x14ac:dyDescent="0.25">
      <c r="B1230" s="177" t="s">
        <v>778</v>
      </c>
      <c r="C1230" s="234"/>
      <c r="D1230" s="234"/>
      <c r="E1230" s="235"/>
      <c r="F1230" s="232" t="s">
        <v>1113</v>
      </c>
      <c r="G1230" s="231"/>
      <c r="H1230" s="242"/>
      <c r="I1230" s="58" t="s">
        <v>844</v>
      </c>
    </row>
    <row r="1231" spans="2:9" ht="15.75" customHeight="1" x14ac:dyDescent="0.25">
      <c r="B1231" s="177" t="s">
        <v>1114</v>
      </c>
      <c r="C1231" s="234"/>
      <c r="D1231" s="234"/>
      <c r="E1231" s="235"/>
      <c r="F1231" s="232" t="s">
        <v>1115</v>
      </c>
      <c r="G1231" s="231"/>
      <c r="H1231" s="242"/>
      <c r="I1231" s="58" t="s">
        <v>844</v>
      </c>
    </row>
    <row r="1232" spans="2:9" ht="15.75" customHeight="1" x14ac:dyDescent="0.25">
      <c r="B1232" s="177" t="s">
        <v>1116</v>
      </c>
      <c r="C1232" s="234"/>
      <c r="D1232" s="234"/>
      <c r="E1232" s="235"/>
      <c r="F1232" s="232" t="s">
        <v>1117</v>
      </c>
      <c r="G1232" s="231"/>
      <c r="H1232" s="242"/>
      <c r="I1232" s="58" t="s">
        <v>844</v>
      </c>
    </row>
    <row r="1233" spans="2:9" ht="15.75" customHeight="1" x14ac:dyDescent="0.25">
      <c r="B1233" s="178" t="s">
        <v>1080</v>
      </c>
      <c r="C1233" s="234"/>
      <c r="D1233" s="234"/>
      <c r="E1233" s="235"/>
      <c r="F1233" s="232" t="s">
        <v>1118</v>
      </c>
      <c r="G1233" s="231"/>
      <c r="H1233" s="242"/>
      <c r="I1233" s="58" t="s">
        <v>844</v>
      </c>
    </row>
    <row r="1234" spans="2:9" ht="15.75" customHeight="1" x14ac:dyDescent="0.25">
      <c r="B1234" s="178" t="s">
        <v>1082</v>
      </c>
      <c r="C1234" s="234"/>
      <c r="D1234" s="234"/>
      <c r="E1234" s="235"/>
      <c r="F1234" s="232" t="s">
        <v>1119</v>
      </c>
      <c r="G1234" s="231"/>
      <c r="H1234" s="242"/>
      <c r="I1234" s="58" t="s">
        <v>844</v>
      </c>
    </row>
    <row r="1235" spans="2:9" ht="15.75" customHeight="1" x14ac:dyDescent="0.25">
      <c r="B1235" s="175" t="s">
        <v>816</v>
      </c>
      <c r="C1235" s="234"/>
      <c r="D1235" s="234"/>
      <c r="E1235" s="235"/>
      <c r="F1235" s="232" t="s">
        <v>1120</v>
      </c>
      <c r="G1235" s="231"/>
      <c r="H1235" s="242"/>
      <c r="I1235" s="258" t="s">
        <v>844</v>
      </c>
    </row>
    <row r="1236" spans="2:9" ht="15.75" customHeight="1" x14ac:dyDescent="0.25">
      <c r="B1236" s="178" t="s">
        <v>1085</v>
      </c>
      <c r="C1236" s="234"/>
      <c r="D1236" s="234"/>
      <c r="E1236" s="235"/>
      <c r="F1236" s="232" t="s">
        <v>1121</v>
      </c>
      <c r="G1236" s="231"/>
      <c r="H1236" s="242"/>
      <c r="I1236" s="58" t="s">
        <v>844</v>
      </c>
    </row>
    <row r="1237" spans="2:9" ht="15.75" customHeight="1" x14ac:dyDescent="0.25">
      <c r="B1237" s="178" t="s">
        <v>1087</v>
      </c>
      <c r="C1237" s="234"/>
      <c r="D1237" s="234"/>
      <c r="E1237" s="235"/>
      <c r="F1237" s="232" t="s">
        <v>1122</v>
      </c>
      <c r="G1237" s="231"/>
      <c r="H1237" s="242"/>
      <c r="I1237" s="58" t="s">
        <v>844</v>
      </c>
    </row>
    <row r="1238" spans="2:9" ht="15.75" customHeight="1" x14ac:dyDescent="0.25">
      <c r="B1238" s="178" t="s">
        <v>1089</v>
      </c>
      <c r="C1238" s="234"/>
      <c r="D1238" s="234"/>
      <c r="E1238" s="235"/>
      <c r="F1238" s="232" t="s">
        <v>1123</v>
      </c>
      <c r="G1238" s="231"/>
      <c r="H1238" s="242"/>
      <c r="I1238" s="58" t="s">
        <v>844</v>
      </c>
    </row>
    <row r="1239" spans="2:9" ht="15.75" customHeight="1" x14ac:dyDescent="0.25">
      <c r="B1239" s="178" t="s">
        <v>1091</v>
      </c>
      <c r="C1239" s="234"/>
      <c r="D1239" s="234"/>
      <c r="E1239" s="235"/>
      <c r="F1239" s="232" t="s">
        <v>1124</v>
      </c>
      <c r="G1239" s="231"/>
      <c r="H1239" s="242"/>
      <c r="I1239" s="58" t="s">
        <v>844</v>
      </c>
    </row>
    <row r="1240" spans="2:9" ht="15.75" customHeight="1" x14ac:dyDescent="0.25">
      <c r="B1240" s="178" t="s">
        <v>1093</v>
      </c>
      <c r="C1240" s="234"/>
      <c r="D1240" s="234"/>
      <c r="E1240" s="235"/>
      <c r="F1240" s="232" t="s">
        <v>1125</v>
      </c>
      <c r="G1240" s="231"/>
      <c r="H1240" s="242"/>
      <c r="I1240" s="58" t="s">
        <v>844</v>
      </c>
    </row>
    <row r="1241" spans="2:9" ht="15.75" customHeight="1" x14ac:dyDescent="0.25">
      <c r="B1241" s="178" t="s">
        <v>1095</v>
      </c>
      <c r="C1241" s="234"/>
      <c r="D1241" s="234"/>
      <c r="E1241" s="235"/>
      <c r="F1241" s="232" t="s">
        <v>1126</v>
      </c>
      <c r="G1241" s="231"/>
      <c r="H1241" s="242"/>
      <c r="I1241" s="58" t="s">
        <v>844</v>
      </c>
    </row>
    <row r="1242" spans="2:9" ht="15.75" customHeight="1" x14ac:dyDescent="0.25">
      <c r="B1242" s="178" t="s">
        <v>1097</v>
      </c>
      <c r="C1242" s="234"/>
      <c r="D1242" s="234"/>
      <c r="E1242" s="235"/>
      <c r="F1242" s="232" t="s">
        <v>1127</v>
      </c>
      <c r="G1242" s="231"/>
      <c r="H1242" s="242"/>
      <c r="I1242" s="58" t="s">
        <v>844</v>
      </c>
    </row>
    <row r="1243" spans="2:9" ht="15.75" customHeight="1" x14ac:dyDescent="0.25">
      <c r="B1243" s="178" t="s">
        <v>1082</v>
      </c>
      <c r="C1243" s="234"/>
      <c r="D1243" s="234"/>
      <c r="E1243" s="235"/>
      <c r="F1243" s="232" t="s">
        <v>1128</v>
      </c>
      <c r="G1243" s="231"/>
      <c r="H1243" s="242"/>
      <c r="I1243" s="58" t="s">
        <v>844</v>
      </c>
    </row>
    <row r="1244" spans="2:9" ht="15.75" customHeight="1" x14ac:dyDescent="0.25">
      <c r="B1244" s="175" t="s">
        <v>1129</v>
      </c>
      <c r="C1244" s="234"/>
      <c r="D1244" s="234"/>
      <c r="E1244" s="235"/>
      <c r="F1244" s="232" t="s">
        <v>1130</v>
      </c>
      <c r="G1244" s="231"/>
      <c r="H1244" s="242"/>
      <c r="I1244" s="258" t="s">
        <v>844</v>
      </c>
    </row>
    <row r="1245" spans="2:9" ht="15.75" customHeight="1" x14ac:dyDescent="0.25">
      <c r="B1245" s="181" t="s">
        <v>1131</v>
      </c>
      <c r="C1245" s="234"/>
      <c r="D1245" s="234"/>
      <c r="E1245" s="235"/>
      <c r="F1245" s="232" t="s">
        <v>1132</v>
      </c>
      <c r="G1245" s="231"/>
      <c r="H1245" s="242"/>
      <c r="I1245" s="58" t="s">
        <v>844</v>
      </c>
    </row>
    <row r="1246" spans="2:9" ht="15.75" customHeight="1" x14ac:dyDescent="0.25">
      <c r="B1246" s="177" t="s">
        <v>26</v>
      </c>
      <c r="C1246" s="234"/>
      <c r="D1246" s="234"/>
      <c r="E1246" s="235"/>
      <c r="F1246" s="232" t="s">
        <v>1133</v>
      </c>
      <c r="G1246" s="231"/>
      <c r="H1246" s="242"/>
      <c r="I1246" s="58" t="s">
        <v>844</v>
      </c>
    </row>
    <row r="1247" spans="2:9" ht="15.75" customHeight="1" x14ac:dyDescent="0.25">
      <c r="B1247" s="180" t="s">
        <v>1134</v>
      </c>
      <c r="C1247" s="234"/>
      <c r="D1247" s="234"/>
      <c r="E1247" s="235"/>
      <c r="F1247" s="232" t="s">
        <v>1135</v>
      </c>
      <c r="G1247" s="231"/>
      <c r="H1247" s="242"/>
      <c r="I1247" s="258" t="s">
        <v>844</v>
      </c>
    </row>
    <row r="1248" spans="2:9" ht="15.75" customHeight="1" x14ac:dyDescent="0.25">
      <c r="B1248" s="182" t="s">
        <v>1136</v>
      </c>
      <c r="C1248" s="234"/>
      <c r="D1248" s="234"/>
      <c r="E1248" s="235"/>
      <c r="F1248" s="232" t="s">
        <v>1137</v>
      </c>
      <c r="G1248" s="231"/>
      <c r="H1248" s="242"/>
      <c r="I1248" s="258" t="s">
        <v>844</v>
      </c>
    </row>
    <row r="1249" spans="2:9" ht="15.75" customHeight="1" x14ac:dyDescent="0.25">
      <c r="B1249" s="180" t="s">
        <v>1138</v>
      </c>
      <c r="C1249" s="234"/>
      <c r="D1249" s="234"/>
      <c r="E1249" s="235"/>
      <c r="F1249" s="232" t="s">
        <v>1139</v>
      </c>
      <c r="G1249" s="231"/>
      <c r="H1249" s="242"/>
      <c r="I1249" s="258" t="s">
        <v>844</v>
      </c>
    </row>
    <row r="1250" spans="2:9" ht="15.75" customHeight="1" x14ac:dyDescent="0.25">
      <c r="B1250" s="183" t="s">
        <v>1140</v>
      </c>
      <c r="C1250" s="234"/>
      <c r="D1250" s="234"/>
      <c r="E1250" s="235"/>
      <c r="F1250" s="232" t="s">
        <v>1141</v>
      </c>
      <c r="G1250" s="231"/>
      <c r="H1250" s="242"/>
      <c r="I1250" s="58" t="s">
        <v>844</v>
      </c>
    </row>
    <row r="1251" spans="2:9" ht="15.75" customHeight="1" x14ac:dyDescent="0.25">
      <c r="B1251" s="180" t="s">
        <v>1142</v>
      </c>
      <c r="C1251" s="234"/>
      <c r="D1251" s="234"/>
      <c r="E1251" s="235"/>
      <c r="F1251" s="232" t="s">
        <v>1143</v>
      </c>
      <c r="G1251" s="231"/>
      <c r="H1251" s="242"/>
      <c r="I1251" s="258" t="s">
        <v>844</v>
      </c>
    </row>
    <row r="1252" spans="2:9" ht="15.75" customHeight="1" x14ac:dyDescent="0.25">
      <c r="B1252" s="175" t="s">
        <v>1144</v>
      </c>
      <c r="C1252" s="234"/>
      <c r="D1252" s="234"/>
      <c r="E1252" s="235"/>
      <c r="F1252" s="232" t="s">
        <v>1145</v>
      </c>
      <c r="G1252" s="231"/>
      <c r="H1252" s="242"/>
      <c r="I1252" s="258" t="s">
        <v>844</v>
      </c>
    </row>
    <row r="1253" spans="2:9" ht="15.75" customHeight="1" x14ac:dyDescent="0.25">
      <c r="B1253" s="184" t="s">
        <v>878</v>
      </c>
      <c r="C1253" s="234"/>
      <c r="D1253" s="234"/>
      <c r="E1253" s="235">
        <v>229</v>
      </c>
      <c r="F1253" s="232"/>
      <c r="G1253" s="231"/>
      <c r="H1253" s="242"/>
      <c r="I1253" s="258"/>
    </row>
    <row r="1254" spans="2:9" ht="15.75" customHeight="1" x14ac:dyDescent="0.25">
      <c r="B1254" s="252" t="s">
        <v>1146</v>
      </c>
      <c r="C1254" s="234"/>
      <c r="D1254" s="234"/>
      <c r="E1254" s="235"/>
      <c r="F1254" s="232" t="s">
        <v>1147</v>
      </c>
      <c r="G1254" s="231"/>
      <c r="H1254" s="242"/>
      <c r="I1254" s="258" t="s">
        <v>844</v>
      </c>
    </row>
    <row r="1255" spans="2:9" ht="15.75" customHeight="1" x14ac:dyDescent="0.25">
      <c r="B1255" s="253" t="s">
        <v>1148</v>
      </c>
      <c r="C1255" s="234"/>
      <c r="D1255" s="234"/>
      <c r="E1255" s="235"/>
      <c r="F1255" s="232" t="s">
        <v>1149</v>
      </c>
      <c r="G1255" s="231"/>
      <c r="H1255" s="242"/>
      <c r="I1255" s="58" t="s">
        <v>844</v>
      </c>
    </row>
    <row r="1256" spans="2:9" ht="15.75" customHeight="1" x14ac:dyDescent="0.25">
      <c r="B1256" s="253" t="s">
        <v>1150</v>
      </c>
      <c r="C1256" s="234"/>
      <c r="D1256" s="234"/>
      <c r="E1256" s="235"/>
      <c r="F1256" s="232" t="s">
        <v>1151</v>
      </c>
      <c r="G1256" s="231"/>
      <c r="H1256" s="242"/>
      <c r="I1256" s="58" t="s">
        <v>844</v>
      </c>
    </row>
    <row r="1257" spans="2:9" ht="15.75" customHeight="1" x14ac:dyDescent="0.25">
      <c r="B1257" s="252" t="s">
        <v>1152</v>
      </c>
      <c r="C1257" s="234"/>
      <c r="D1257" s="234"/>
      <c r="E1257" s="235"/>
      <c r="F1257" s="232" t="s">
        <v>1153</v>
      </c>
      <c r="G1257" s="231"/>
      <c r="H1257" s="242"/>
      <c r="I1257" s="258" t="s">
        <v>844</v>
      </c>
    </row>
    <row r="1258" spans="2:9" ht="15.75" customHeight="1" x14ac:dyDescent="0.25">
      <c r="B1258" s="252" t="s">
        <v>1154</v>
      </c>
      <c r="C1258" s="234"/>
      <c r="D1258" s="234"/>
      <c r="E1258" s="235"/>
      <c r="F1258" s="232" t="s">
        <v>1155</v>
      </c>
      <c r="G1258" s="231"/>
      <c r="H1258" s="242"/>
      <c r="I1258" s="258" t="s">
        <v>844</v>
      </c>
    </row>
    <row r="1259" spans="2:9" ht="15.75" customHeight="1" x14ac:dyDescent="0.25">
      <c r="B1259" s="253" t="s">
        <v>1156</v>
      </c>
      <c r="C1259" s="234"/>
      <c r="D1259" s="234"/>
      <c r="E1259" s="235"/>
      <c r="F1259" s="232" t="s">
        <v>1157</v>
      </c>
      <c r="G1259" s="231"/>
      <c r="H1259" s="242"/>
      <c r="I1259" s="58" t="s">
        <v>844</v>
      </c>
    </row>
    <row r="1260" spans="2:9" ht="15.75" customHeight="1" x14ac:dyDescent="0.25">
      <c r="B1260" s="253" t="s">
        <v>1158</v>
      </c>
      <c r="C1260" s="234"/>
      <c r="D1260" s="234"/>
      <c r="E1260" s="235"/>
      <c r="F1260" s="232" t="s">
        <v>1159</v>
      </c>
      <c r="G1260" s="231"/>
      <c r="H1260" s="242"/>
      <c r="I1260" s="58" t="s">
        <v>844</v>
      </c>
    </row>
    <row r="1261" spans="2:9" ht="15.75" customHeight="1" x14ac:dyDescent="0.25">
      <c r="B1261" s="252" t="s">
        <v>1160</v>
      </c>
      <c r="C1261" s="234"/>
      <c r="D1261" s="234"/>
      <c r="E1261" s="235"/>
      <c r="F1261" s="232" t="s">
        <v>1161</v>
      </c>
      <c r="G1261" s="231"/>
      <c r="H1261" s="242"/>
      <c r="I1261" s="258" t="s">
        <v>844</v>
      </c>
    </row>
    <row r="1262" spans="2:9" ht="15.75" customHeight="1" x14ac:dyDescent="0.25">
      <c r="B1262" s="252" t="s">
        <v>1162</v>
      </c>
      <c r="C1262" s="234"/>
      <c r="D1262" s="234"/>
      <c r="E1262" s="235"/>
      <c r="F1262" s="232" t="s">
        <v>1163</v>
      </c>
      <c r="G1262" s="231"/>
      <c r="H1262" s="242"/>
      <c r="I1262" s="258" t="s">
        <v>844</v>
      </c>
    </row>
    <row r="1263" spans="2:9" ht="15.75" customHeight="1" x14ac:dyDescent="0.25">
      <c r="B1263" s="185" t="s">
        <v>1164</v>
      </c>
      <c r="C1263" s="234"/>
      <c r="D1263" s="234"/>
      <c r="E1263" s="235"/>
      <c r="F1263" s="232" t="s">
        <v>1165</v>
      </c>
      <c r="G1263" s="231"/>
      <c r="H1263" s="242"/>
      <c r="I1263" s="58" t="s">
        <v>844</v>
      </c>
    </row>
    <row r="1264" spans="2:9" ht="15.75" customHeight="1" x14ac:dyDescent="0.25">
      <c r="B1264" s="253" t="s">
        <v>1166</v>
      </c>
      <c r="C1264" s="234"/>
      <c r="D1264" s="234"/>
      <c r="E1264" s="235"/>
      <c r="F1264" s="232" t="s">
        <v>1167</v>
      </c>
      <c r="G1264" s="231"/>
      <c r="H1264" s="242"/>
      <c r="I1264" s="58" t="s">
        <v>844</v>
      </c>
    </row>
    <row r="1265" spans="2:9" ht="15.75" customHeight="1" x14ac:dyDescent="0.25">
      <c r="B1265" s="252" t="s">
        <v>1168</v>
      </c>
      <c r="C1265" s="234"/>
      <c r="D1265" s="234"/>
      <c r="E1265" s="235"/>
      <c r="F1265" s="232" t="s">
        <v>1169</v>
      </c>
      <c r="G1265" s="231"/>
      <c r="H1265" s="242"/>
      <c r="I1265" s="258" t="s">
        <v>844</v>
      </c>
    </row>
    <row r="1266" spans="2:9" ht="15.75" customHeight="1" x14ac:dyDescent="0.25">
      <c r="B1266" s="252" t="s">
        <v>1170</v>
      </c>
      <c r="C1266" s="234"/>
      <c r="D1266" s="234"/>
      <c r="E1266" s="235"/>
      <c r="F1266" s="232" t="s">
        <v>1171</v>
      </c>
      <c r="G1266" s="231"/>
      <c r="H1266" s="242"/>
      <c r="I1266" s="258" t="s">
        <v>844</v>
      </c>
    </row>
    <row r="1267" spans="2:9" ht="15.75" customHeight="1" x14ac:dyDescent="0.25">
      <c r="B1267" s="253" t="s">
        <v>1172</v>
      </c>
      <c r="C1267" s="234"/>
      <c r="D1267" s="234"/>
      <c r="E1267" s="235"/>
      <c r="F1267" s="232" t="s">
        <v>1173</v>
      </c>
      <c r="G1267" s="231"/>
      <c r="H1267" s="242"/>
      <c r="I1267" s="58" t="s">
        <v>844</v>
      </c>
    </row>
    <row r="1268" spans="2:9" ht="15.75" customHeight="1" x14ac:dyDescent="0.25">
      <c r="B1268" s="253" t="s">
        <v>1174</v>
      </c>
      <c r="C1268" s="234"/>
      <c r="D1268" s="234"/>
      <c r="E1268" s="235"/>
      <c r="F1268" s="232" t="s">
        <v>1175</v>
      </c>
      <c r="G1268" s="231"/>
      <c r="H1268" s="242"/>
      <c r="I1268" s="58" t="s">
        <v>844</v>
      </c>
    </row>
    <row r="1269" spans="2:9" ht="15.75" customHeight="1" x14ac:dyDescent="0.25">
      <c r="B1269" s="253" t="s">
        <v>1176</v>
      </c>
      <c r="C1269" s="234"/>
      <c r="D1269" s="234"/>
      <c r="E1269" s="235"/>
      <c r="F1269" s="232" t="s">
        <v>1177</v>
      </c>
      <c r="G1269" s="231"/>
      <c r="H1269" s="242"/>
      <c r="I1269" s="58" t="s">
        <v>844</v>
      </c>
    </row>
    <row r="1270" spans="2:9" ht="15.75" customHeight="1" x14ac:dyDescent="0.25">
      <c r="B1270" s="252" t="s">
        <v>1178</v>
      </c>
      <c r="C1270" s="234"/>
      <c r="D1270" s="234"/>
      <c r="E1270" s="235"/>
      <c r="F1270" s="232" t="s">
        <v>1179</v>
      </c>
      <c r="G1270" s="231"/>
      <c r="H1270" s="242"/>
      <c r="I1270" s="258" t="s">
        <v>844</v>
      </c>
    </row>
    <row r="1271" spans="2:9" ht="15.75" customHeight="1" x14ac:dyDescent="0.25">
      <c r="B1271" s="185" t="s">
        <v>1164</v>
      </c>
      <c r="C1271" s="234"/>
      <c r="D1271" s="234"/>
      <c r="E1271" s="235"/>
      <c r="F1271" s="232" t="s">
        <v>1180</v>
      </c>
      <c r="G1271" s="231"/>
      <c r="H1271" s="242"/>
      <c r="I1271" s="58" t="s">
        <v>844</v>
      </c>
    </row>
    <row r="1272" spans="2:9" ht="15.75" customHeight="1" x14ac:dyDescent="0.25">
      <c r="B1272" s="253" t="s">
        <v>1166</v>
      </c>
      <c r="C1272" s="234"/>
      <c r="D1272" s="234"/>
      <c r="E1272" s="235"/>
      <c r="F1272" s="232" t="s">
        <v>1181</v>
      </c>
      <c r="G1272" s="231"/>
      <c r="H1272" s="242"/>
      <c r="I1272" s="58" t="s">
        <v>844</v>
      </c>
    </row>
    <row r="1273" spans="2:9" ht="15.75" customHeight="1" x14ac:dyDescent="0.25">
      <c r="B1273" s="252" t="s">
        <v>1182</v>
      </c>
      <c r="C1273" s="234"/>
      <c r="D1273" s="234"/>
      <c r="E1273" s="235"/>
      <c r="F1273" s="232" t="s">
        <v>1183</v>
      </c>
      <c r="G1273" s="231"/>
      <c r="H1273" s="242"/>
      <c r="I1273" s="258" t="s">
        <v>844</v>
      </c>
    </row>
    <row r="1274" spans="2:9" ht="15.75" customHeight="1" x14ac:dyDescent="0.25">
      <c r="B1274" s="185" t="s">
        <v>1184</v>
      </c>
      <c r="C1274" s="234"/>
      <c r="D1274" s="234"/>
      <c r="E1274" s="235"/>
      <c r="F1274" s="232" t="s">
        <v>1185</v>
      </c>
      <c r="G1274" s="231"/>
      <c r="H1274" s="242"/>
      <c r="I1274" s="58" t="s">
        <v>844</v>
      </c>
    </row>
    <row r="1275" spans="2:9" ht="15.75" customHeight="1" x14ac:dyDescent="0.25">
      <c r="B1275" s="253" t="s">
        <v>1166</v>
      </c>
      <c r="C1275" s="234"/>
      <c r="D1275" s="234"/>
      <c r="E1275" s="235"/>
      <c r="F1275" s="232" t="s">
        <v>1186</v>
      </c>
      <c r="G1275" s="231"/>
      <c r="H1275" s="242"/>
      <c r="I1275" s="58" t="s">
        <v>844</v>
      </c>
    </row>
    <row r="1276" spans="2:9" ht="15.75" customHeight="1" x14ac:dyDescent="0.25">
      <c r="B1276" s="252" t="s">
        <v>1187</v>
      </c>
      <c r="C1276" s="234"/>
      <c r="D1276" s="234"/>
      <c r="E1276" s="235"/>
      <c r="F1276" s="232" t="s">
        <v>1188</v>
      </c>
      <c r="G1276" s="231"/>
      <c r="H1276" s="242"/>
      <c r="I1276" s="258" t="s">
        <v>844</v>
      </c>
    </row>
    <row r="1277" spans="2:9" ht="15.75" customHeight="1" x14ac:dyDescent="0.25">
      <c r="B1277" s="252" t="s">
        <v>1189</v>
      </c>
      <c r="C1277" s="234"/>
      <c r="D1277" s="234"/>
      <c r="E1277" s="235"/>
      <c r="F1277" s="232" t="s">
        <v>1190</v>
      </c>
      <c r="G1277" s="231"/>
      <c r="H1277" s="242"/>
      <c r="I1277" s="258" t="s">
        <v>844</v>
      </c>
    </row>
    <row r="1278" spans="2:9" ht="15.75" customHeight="1" x14ac:dyDescent="0.25">
      <c r="B1278" s="252" t="s">
        <v>1191</v>
      </c>
      <c r="C1278" s="234"/>
      <c r="D1278" s="234"/>
      <c r="E1278" s="235"/>
      <c r="F1278" s="232" t="s">
        <v>1192</v>
      </c>
      <c r="G1278" s="231"/>
      <c r="H1278" s="242"/>
      <c r="I1278" s="258" t="s">
        <v>844</v>
      </c>
    </row>
    <row r="1279" spans="2:9" ht="15.75" customHeight="1" x14ac:dyDescent="0.25">
      <c r="B1279" s="252" t="s">
        <v>1193</v>
      </c>
      <c r="C1279" s="234"/>
      <c r="D1279" s="234"/>
      <c r="E1279" s="235"/>
      <c r="F1279" s="232" t="s">
        <v>1194</v>
      </c>
      <c r="G1279" s="231"/>
      <c r="H1279" s="242"/>
      <c r="I1279" s="258" t="s">
        <v>844</v>
      </c>
    </row>
    <row r="1280" spans="2:9" ht="15.75" customHeight="1" x14ac:dyDescent="0.25">
      <c r="B1280" s="185" t="s">
        <v>1184</v>
      </c>
      <c r="C1280" s="234"/>
      <c r="D1280" s="234"/>
      <c r="E1280" s="235"/>
      <c r="F1280" s="232" t="s">
        <v>1195</v>
      </c>
      <c r="G1280" s="231"/>
      <c r="H1280" s="242"/>
      <c r="I1280" s="58" t="s">
        <v>844</v>
      </c>
    </row>
    <row r="1281" spans="2:9" ht="15.75" customHeight="1" x14ac:dyDescent="0.25">
      <c r="B1281" s="253" t="s">
        <v>1166</v>
      </c>
      <c r="C1281" s="234"/>
      <c r="D1281" s="234"/>
      <c r="E1281" s="235"/>
      <c r="F1281" s="232" t="s">
        <v>1196</v>
      </c>
      <c r="G1281" s="231"/>
      <c r="H1281" s="242"/>
      <c r="I1281" s="58" t="s">
        <v>844</v>
      </c>
    </row>
    <row r="1282" spans="2:9" ht="15.75" customHeight="1" x14ac:dyDescent="0.25">
      <c r="B1282" s="253" t="s">
        <v>1197</v>
      </c>
      <c r="C1282" s="234"/>
      <c r="D1282" s="234"/>
      <c r="E1282" s="235"/>
      <c r="F1282" s="232" t="s">
        <v>1198</v>
      </c>
      <c r="G1282" s="231"/>
      <c r="H1282" s="242"/>
      <c r="I1282" s="58" t="s">
        <v>844</v>
      </c>
    </row>
    <row r="1283" spans="2:9" ht="15.75" customHeight="1" x14ac:dyDescent="0.25">
      <c r="B1283" s="252" t="s">
        <v>1199</v>
      </c>
      <c r="C1283" s="234"/>
      <c r="D1283" s="234"/>
      <c r="E1283" s="235"/>
      <c r="F1283" s="232" t="s">
        <v>1200</v>
      </c>
      <c r="G1283" s="231"/>
      <c r="H1283" s="242"/>
      <c r="I1283" s="258" t="s">
        <v>844</v>
      </c>
    </row>
    <row r="1284" spans="2:9" ht="15.75" customHeight="1" x14ac:dyDescent="0.25">
      <c r="B1284" s="253" t="s">
        <v>1166</v>
      </c>
      <c r="C1284" s="234"/>
      <c r="D1284" s="234"/>
      <c r="E1284" s="235"/>
      <c r="F1284" s="232" t="s">
        <v>1201</v>
      </c>
      <c r="G1284" s="231"/>
      <c r="H1284" s="242"/>
      <c r="I1284" s="58" t="s">
        <v>844</v>
      </c>
    </row>
    <row r="1285" spans="2:9" ht="15.75" customHeight="1" x14ac:dyDescent="0.25">
      <c r="B1285" s="252" t="s">
        <v>1202</v>
      </c>
      <c r="C1285" s="234"/>
      <c r="D1285" s="234"/>
      <c r="E1285" s="235"/>
      <c r="F1285" s="232" t="s">
        <v>1203</v>
      </c>
      <c r="G1285" s="231"/>
      <c r="H1285" s="242"/>
      <c r="I1285" s="258" t="s">
        <v>844</v>
      </c>
    </row>
    <row r="1286" spans="2:9" ht="15.75" customHeight="1" x14ac:dyDescent="0.25">
      <c r="B1286" s="253" t="s">
        <v>1166</v>
      </c>
      <c r="C1286" s="234"/>
      <c r="D1286" s="234"/>
      <c r="E1286" s="235"/>
      <c r="F1286" s="232" t="s">
        <v>1204</v>
      </c>
      <c r="G1286" s="231"/>
      <c r="H1286" s="242"/>
      <c r="I1286" s="58" t="s">
        <v>844</v>
      </c>
    </row>
    <row r="1287" spans="2:9" ht="15.75" customHeight="1" x14ac:dyDescent="0.25">
      <c r="B1287" s="252" t="s">
        <v>1205</v>
      </c>
      <c r="C1287" s="234"/>
      <c r="D1287" s="234"/>
      <c r="E1287" s="235"/>
      <c r="F1287" s="232" t="s">
        <v>1206</v>
      </c>
      <c r="G1287" s="231"/>
      <c r="H1287" s="242"/>
      <c r="I1287" s="258" t="s">
        <v>844</v>
      </c>
    </row>
    <row r="1288" spans="2:9" ht="15.75" customHeight="1" x14ac:dyDescent="0.25">
      <c r="B1288" s="185" t="s">
        <v>1184</v>
      </c>
      <c r="C1288" s="234"/>
      <c r="D1288" s="234"/>
      <c r="E1288" s="235"/>
      <c r="F1288" s="232" t="s">
        <v>1207</v>
      </c>
      <c r="G1288" s="231"/>
      <c r="H1288" s="242"/>
      <c r="I1288" s="58" t="s">
        <v>844</v>
      </c>
    </row>
    <row r="1289" spans="2:9" ht="15.75" customHeight="1" x14ac:dyDescent="0.25">
      <c r="B1289" s="253" t="s">
        <v>1208</v>
      </c>
      <c r="C1289" s="234"/>
      <c r="D1289" s="234"/>
      <c r="E1289" s="235"/>
      <c r="F1289" s="232" t="s">
        <v>1209</v>
      </c>
      <c r="G1289" s="231"/>
      <c r="H1289" s="242"/>
      <c r="I1289" s="58" t="s">
        <v>844</v>
      </c>
    </row>
    <row r="1290" spans="2:9" ht="15.75" customHeight="1" x14ac:dyDescent="0.25">
      <c r="B1290" s="253" t="s">
        <v>1210</v>
      </c>
      <c r="C1290" s="234"/>
      <c r="D1290" s="234"/>
      <c r="E1290" s="235"/>
      <c r="F1290" s="232" t="s">
        <v>1211</v>
      </c>
      <c r="G1290" s="231"/>
      <c r="H1290" s="242"/>
      <c r="I1290" s="58" t="s">
        <v>844</v>
      </c>
    </row>
    <row r="1291" spans="2:9" ht="15.75" customHeight="1" x14ac:dyDescent="0.25">
      <c r="B1291" s="252" t="s">
        <v>1212</v>
      </c>
      <c r="C1291" s="234"/>
      <c r="D1291" s="234"/>
      <c r="E1291" s="235"/>
      <c r="F1291" s="232" t="s">
        <v>1213</v>
      </c>
      <c r="G1291" s="231"/>
      <c r="H1291" s="242"/>
      <c r="I1291" s="258" t="s">
        <v>844</v>
      </c>
    </row>
    <row r="1292" spans="2:9" ht="15.75" customHeight="1" x14ac:dyDescent="0.25">
      <c r="B1292" s="185" t="s">
        <v>1184</v>
      </c>
      <c r="C1292" s="234"/>
      <c r="D1292" s="234"/>
      <c r="E1292" s="235"/>
      <c r="F1292" s="232" t="s">
        <v>1214</v>
      </c>
      <c r="G1292" s="231"/>
      <c r="H1292" s="242"/>
      <c r="I1292" s="58" t="s">
        <v>844</v>
      </c>
    </row>
    <row r="1293" spans="2:9" ht="15.75" customHeight="1" x14ac:dyDescent="0.25">
      <c r="B1293" s="253" t="s">
        <v>1215</v>
      </c>
      <c r="C1293" s="234"/>
      <c r="D1293" s="234"/>
      <c r="E1293" s="235"/>
      <c r="F1293" s="232" t="s">
        <v>1216</v>
      </c>
      <c r="G1293" s="231"/>
      <c r="H1293" s="242"/>
      <c r="I1293" s="58" t="s">
        <v>844</v>
      </c>
    </row>
    <row r="1294" spans="2:9" ht="15.75" customHeight="1" x14ac:dyDescent="0.25">
      <c r="B1294" s="260" t="s">
        <v>1217</v>
      </c>
      <c r="C1294" s="234"/>
      <c r="D1294" s="234"/>
      <c r="E1294" s="235"/>
      <c r="F1294" s="232" t="s">
        <v>1218</v>
      </c>
      <c r="G1294" s="231"/>
      <c r="H1294" s="242"/>
      <c r="I1294" s="258" t="s">
        <v>844</v>
      </c>
    </row>
    <row r="1295" spans="2:9" ht="15.75" customHeight="1" x14ac:dyDescent="0.25">
      <c r="B1295" s="255" t="s">
        <v>1219</v>
      </c>
      <c r="C1295" s="234"/>
      <c r="D1295" s="234"/>
      <c r="E1295" s="235"/>
      <c r="F1295" s="232" t="s">
        <v>1220</v>
      </c>
      <c r="G1295" s="231"/>
      <c r="H1295" s="242"/>
      <c r="I1295" s="58" t="s">
        <v>844</v>
      </c>
    </row>
    <row r="1296" spans="2:9" ht="15.75" customHeight="1" x14ac:dyDescent="0.25">
      <c r="B1296" s="252" t="s">
        <v>1221</v>
      </c>
      <c r="C1296" s="234"/>
      <c r="D1296" s="234"/>
      <c r="E1296" s="235"/>
      <c r="F1296" s="232" t="s">
        <v>1222</v>
      </c>
      <c r="G1296" s="231"/>
      <c r="H1296" s="242"/>
      <c r="I1296" s="258" t="s">
        <v>844</v>
      </c>
    </row>
    <row r="1297" spans="2:9" ht="15.75" customHeight="1" x14ac:dyDescent="0.25">
      <c r="B1297" s="185" t="s">
        <v>1184</v>
      </c>
      <c r="C1297" s="234"/>
      <c r="D1297" s="234"/>
      <c r="E1297" s="235"/>
      <c r="F1297" s="232" t="s">
        <v>1223</v>
      </c>
      <c r="G1297" s="231"/>
      <c r="H1297" s="242"/>
      <c r="I1297" s="58" t="s">
        <v>844</v>
      </c>
    </row>
    <row r="1298" spans="2:9" ht="15.75" customHeight="1" x14ac:dyDescent="0.25">
      <c r="B1298" s="252" t="s">
        <v>1224</v>
      </c>
      <c r="C1298" s="234"/>
      <c r="D1298" s="234"/>
      <c r="E1298" s="235"/>
      <c r="F1298" s="232" t="s">
        <v>1225</v>
      </c>
      <c r="G1298" s="231"/>
      <c r="H1298" s="242"/>
      <c r="I1298" s="258" t="s">
        <v>844</v>
      </c>
    </row>
    <row r="1299" spans="2:9" ht="15.75" customHeight="1" x14ac:dyDescent="0.25">
      <c r="B1299" s="173" t="s">
        <v>1226</v>
      </c>
      <c r="C1299" s="234"/>
      <c r="D1299" s="234"/>
      <c r="E1299" s="235"/>
      <c r="F1299" s="232" t="s">
        <v>1227</v>
      </c>
      <c r="G1299" s="231"/>
      <c r="H1299" s="242"/>
      <c r="I1299" s="258" t="s">
        <v>844</v>
      </c>
    </row>
    <row r="1300" spans="2:9" ht="15.75" customHeight="1" x14ac:dyDescent="0.25">
      <c r="B1300" s="186" t="s">
        <v>1228</v>
      </c>
      <c r="C1300" s="234"/>
      <c r="D1300" s="234"/>
      <c r="E1300" s="235"/>
      <c r="F1300" s="232" t="s">
        <v>1229</v>
      </c>
      <c r="G1300" s="231"/>
      <c r="H1300" s="242"/>
      <c r="I1300" s="258" t="s">
        <v>844</v>
      </c>
    </row>
    <row r="1301" spans="2:9" ht="15.75" customHeight="1" x14ac:dyDescent="0.25">
      <c r="B1301" s="187" t="s">
        <v>1230</v>
      </c>
      <c r="C1301" s="234"/>
      <c r="D1301" s="234"/>
      <c r="E1301" s="235"/>
      <c r="F1301" s="232" t="s">
        <v>1231</v>
      </c>
      <c r="G1301" s="231"/>
      <c r="H1301" s="242"/>
      <c r="I1301" s="171" t="s">
        <v>844</v>
      </c>
    </row>
    <row r="1302" spans="2:9" ht="15.75" customHeight="1" x14ac:dyDescent="0.25">
      <c r="B1302" s="187"/>
      <c r="C1302" s="234"/>
      <c r="D1302" s="234"/>
      <c r="E1302" s="235">
        <v>230</v>
      </c>
      <c r="F1302" s="232"/>
      <c r="G1302" s="231"/>
      <c r="H1302" s="242"/>
      <c r="I1302" s="171"/>
    </row>
    <row r="1303" spans="2:9" ht="15.75" customHeight="1" x14ac:dyDescent="0.25">
      <c r="B1303" s="172" t="s">
        <v>1232</v>
      </c>
      <c r="C1303" s="234"/>
      <c r="D1303" s="234"/>
      <c r="E1303" s="235">
        <v>231</v>
      </c>
      <c r="F1303" s="232"/>
      <c r="G1303" s="231"/>
      <c r="H1303" s="242"/>
      <c r="I1303" s="173"/>
    </row>
    <row r="1304" spans="2:9" ht="15.75" customHeight="1" x14ac:dyDescent="0.25">
      <c r="B1304" s="174"/>
      <c r="C1304" s="234"/>
      <c r="D1304" s="234"/>
      <c r="E1304" s="235">
        <v>232</v>
      </c>
      <c r="F1304" s="232"/>
      <c r="G1304" s="231"/>
      <c r="H1304" s="242"/>
      <c r="I1304" s="173"/>
    </row>
    <row r="1305" spans="2:9" ht="31.5" customHeight="1" x14ac:dyDescent="0.25">
      <c r="B1305" s="147" t="s">
        <v>1069</v>
      </c>
      <c r="C1305" s="234"/>
      <c r="D1305" s="234"/>
      <c r="E1305" s="235"/>
      <c r="F1305" s="232" t="s">
        <v>1233</v>
      </c>
      <c r="G1305" s="231"/>
      <c r="H1305" s="242"/>
      <c r="I1305" s="258" t="s">
        <v>844</v>
      </c>
    </row>
    <row r="1306" spans="2:9" ht="15.75" customHeight="1" x14ac:dyDescent="0.25">
      <c r="B1306" s="188" t="s">
        <v>1234</v>
      </c>
      <c r="C1306" s="234"/>
      <c r="D1306" s="234"/>
      <c r="E1306" s="235"/>
      <c r="F1306" s="232" t="s">
        <v>1235</v>
      </c>
      <c r="G1306" s="231"/>
      <c r="H1306" s="242"/>
      <c r="I1306" s="258" t="s">
        <v>844</v>
      </c>
    </row>
    <row r="1307" spans="2:9" ht="15.75" customHeight="1" x14ac:dyDescent="0.25">
      <c r="B1307" s="177" t="s">
        <v>1236</v>
      </c>
      <c r="C1307" s="234"/>
      <c r="D1307" s="234"/>
      <c r="E1307" s="235"/>
      <c r="F1307" s="232" t="s">
        <v>1237</v>
      </c>
      <c r="G1307" s="231"/>
      <c r="H1307" s="242"/>
      <c r="I1307" s="58" t="s">
        <v>844</v>
      </c>
    </row>
    <row r="1308" spans="2:9" ht="15.75" customHeight="1" x14ac:dyDescent="0.25">
      <c r="B1308" s="188" t="s">
        <v>1238</v>
      </c>
      <c r="C1308" s="234"/>
      <c r="D1308" s="234"/>
      <c r="E1308" s="235"/>
      <c r="F1308" s="232" t="s">
        <v>1239</v>
      </c>
      <c r="G1308" s="231"/>
      <c r="H1308" s="242"/>
      <c r="I1308" s="258" t="s">
        <v>844</v>
      </c>
    </row>
    <row r="1309" spans="2:9" ht="15.75" customHeight="1" x14ac:dyDescent="0.25">
      <c r="B1309" s="179" t="s">
        <v>1240</v>
      </c>
      <c r="C1309" s="234"/>
      <c r="D1309" s="234"/>
      <c r="E1309" s="235"/>
      <c r="F1309" s="232" t="s">
        <v>1241</v>
      </c>
      <c r="G1309" s="231"/>
      <c r="H1309" s="242"/>
      <c r="I1309" s="58" t="s">
        <v>844</v>
      </c>
    </row>
    <row r="1310" spans="2:9" ht="15.75" customHeight="1" x14ac:dyDescent="0.25">
      <c r="B1310" s="177" t="s">
        <v>26</v>
      </c>
      <c r="C1310" s="234"/>
      <c r="D1310" s="234"/>
      <c r="E1310" s="235"/>
      <c r="F1310" s="232" t="s">
        <v>1242</v>
      </c>
      <c r="G1310" s="231"/>
      <c r="H1310" s="242"/>
      <c r="I1310" s="58" t="s">
        <v>844</v>
      </c>
    </row>
    <row r="1311" spans="2:9" ht="15.75" customHeight="1" x14ac:dyDescent="0.25">
      <c r="B1311" s="177" t="s">
        <v>1243</v>
      </c>
      <c r="C1311" s="234"/>
      <c r="D1311" s="234"/>
      <c r="E1311" s="235"/>
      <c r="F1311" s="232" t="s">
        <v>1244</v>
      </c>
      <c r="G1311" s="231"/>
      <c r="H1311" s="242"/>
      <c r="I1311" s="58" t="s">
        <v>844</v>
      </c>
    </row>
    <row r="1312" spans="2:9" ht="15.75" customHeight="1" x14ac:dyDescent="0.25">
      <c r="B1312" s="177" t="s">
        <v>1236</v>
      </c>
      <c r="C1312" s="234"/>
      <c r="D1312" s="234"/>
      <c r="E1312" s="235"/>
      <c r="F1312" s="232" t="s">
        <v>1245</v>
      </c>
      <c r="G1312" s="231"/>
      <c r="H1312" s="242"/>
      <c r="I1312" s="58" t="s">
        <v>844</v>
      </c>
    </row>
    <row r="1313" spans="2:9" ht="15.75" customHeight="1" x14ac:dyDescent="0.25">
      <c r="B1313" s="173" t="s">
        <v>1246</v>
      </c>
      <c r="C1313" s="234"/>
      <c r="D1313" s="234"/>
      <c r="E1313" s="235"/>
      <c r="F1313" s="232" t="s">
        <v>1247</v>
      </c>
      <c r="G1313" s="231"/>
      <c r="H1313" s="242"/>
      <c r="I1313" s="258" t="s">
        <v>844</v>
      </c>
    </row>
    <row r="1314" spans="2:9" ht="15.75" customHeight="1" x14ac:dyDescent="0.25">
      <c r="B1314" s="177" t="s">
        <v>498</v>
      </c>
      <c r="C1314" s="234"/>
      <c r="D1314" s="234"/>
      <c r="E1314" s="235"/>
      <c r="F1314" s="232" t="s">
        <v>1248</v>
      </c>
      <c r="G1314" s="231"/>
      <c r="H1314" s="242"/>
      <c r="I1314" s="58" t="s">
        <v>844</v>
      </c>
    </row>
    <row r="1315" spans="2:9" ht="15.75" customHeight="1" x14ac:dyDescent="0.25">
      <c r="B1315" s="188" t="s">
        <v>1249</v>
      </c>
      <c r="C1315" s="234"/>
      <c r="D1315" s="234"/>
      <c r="E1315" s="235"/>
      <c r="F1315" s="232" t="s">
        <v>1250</v>
      </c>
      <c r="G1315" s="231"/>
      <c r="H1315" s="242"/>
      <c r="I1315" s="258" t="s">
        <v>844</v>
      </c>
    </row>
    <row r="1316" spans="2:9" ht="15.75" customHeight="1" x14ac:dyDescent="0.25">
      <c r="B1316" s="189" t="s">
        <v>1240</v>
      </c>
      <c r="C1316" s="234"/>
      <c r="D1316" s="234"/>
      <c r="E1316" s="235"/>
      <c r="F1316" s="232" t="s">
        <v>1251</v>
      </c>
      <c r="G1316" s="231"/>
      <c r="H1316" s="242"/>
      <c r="I1316" s="58" t="s">
        <v>844</v>
      </c>
    </row>
    <row r="1317" spans="2:9" ht="15.75" customHeight="1" x14ac:dyDescent="0.25">
      <c r="B1317" s="177" t="s">
        <v>79</v>
      </c>
      <c r="C1317" s="234"/>
      <c r="D1317" s="234"/>
      <c r="E1317" s="235"/>
      <c r="F1317" s="232" t="s">
        <v>1252</v>
      </c>
      <c r="G1317" s="231"/>
      <c r="H1317" s="242"/>
      <c r="I1317" s="58" t="s">
        <v>844</v>
      </c>
    </row>
    <row r="1318" spans="2:9" ht="31.5" customHeight="1" x14ac:dyDescent="0.25">
      <c r="B1318" s="190" t="s">
        <v>1253</v>
      </c>
      <c r="C1318" s="234"/>
      <c r="D1318" s="234"/>
      <c r="E1318" s="235"/>
      <c r="F1318" s="232" t="s">
        <v>1254</v>
      </c>
      <c r="G1318" s="231"/>
      <c r="H1318" s="242"/>
      <c r="I1318" s="258" t="s">
        <v>844</v>
      </c>
    </row>
    <row r="1319" spans="2:9" ht="15.75" customHeight="1" x14ac:dyDescent="0.25">
      <c r="B1319" s="188" t="s">
        <v>1255</v>
      </c>
      <c r="C1319" s="234"/>
      <c r="D1319" s="234"/>
      <c r="E1319" s="235"/>
      <c r="F1319" s="232" t="s">
        <v>1256</v>
      </c>
      <c r="G1319" s="231"/>
      <c r="H1319" s="242"/>
      <c r="I1319" s="258" t="s">
        <v>844</v>
      </c>
    </row>
    <row r="1320" spans="2:9" ht="15.75" customHeight="1" x14ac:dyDescent="0.25">
      <c r="B1320" s="177" t="s">
        <v>1257</v>
      </c>
      <c r="C1320" s="234"/>
      <c r="D1320" s="234"/>
      <c r="E1320" s="235"/>
      <c r="F1320" s="232" t="s">
        <v>1258</v>
      </c>
      <c r="G1320" s="231"/>
      <c r="H1320" s="242"/>
      <c r="I1320" s="58" t="s">
        <v>844</v>
      </c>
    </row>
    <row r="1321" spans="2:9" ht="15.75" customHeight="1" x14ac:dyDescent="0.25">
      <c r="B1321" s="179" t="s">
        <v>1259</v>
      </c>
      <c r="C1321" s="234"/>
      <c r="D1321" s="234"/>
      <c r="E1321" s="235"/>
      <c r="F1321" s="232" t="s">
        <v>1260</v>
      </c>
      <c r="G1321" s="231"/>
      <c r="H1321" s="242"/>
      <c r="I1321" s="58" t="s">
        <v>844</v>
      </c>
    </row>
    <row r="1322" spans="2:9" ht="15.75" customHeight="1" x14ac:dyDescent="0.25">
      <c r="B1322" s="191" t="s">
        <v>1261</v>
      </c>
      <c r="C1322" s="234"/>
      <c r="D1322" s="234"/>
      <c r="E1322" s="235"/>
      <c r="F1322" s="232" t="s">
        <v>1262</v>
      </c>
      <c r="G1322" s="231"/>
      <c r="H1322" s="242"/>
      <c r="I1322" s="58" t="s">
        <v>844</v>
      </c>
    </row>
    <row r="1323" spans="2:9" ht="15.75" customHeight="1" x14ac:dyDescent="0.25">
      <c r="B1323" s="173" t="s">
        <v>1263</v>
      </c>
      <c r="C1323" s="234"/>
      <c r="D1323" s="234"/>
      <c r="E1323" s="235"/>
      <c r="F1323" s="232" t="s">
        <v>1264</v>
      </c>
      <c r="G1323" s="231"/>
      <c r="H1323" s="242"/>
      <c r="I1323" s="258" t="s">
        <v>844</v>
      </c>
    </row>
    <row r="1324" spans="2:9" ht="15.75" customHeight="1" x14ac:dyDescent="0.25">
      <c r="B1324" s="184" t="s">
        <v>842</v>
      </c>
      <c r="C1324" s="234"/>
      <c r="D1324" s="234"/>
      <c r="E1324" s="235"/>
      <c r="F1324" s="232" t="s">
        <v>1265</v>
      </c>
      <c r="G1324" s="231"/>
      <c r="H1324" s="242"/>
      <c r="I1324" s="258" t="s">
        <v>844</v>
      </c>
    </row>
    <row r="1325" spans="2:9" ht="15.75" customHeight="1" x14ac:dyDescent="0.25">
      <c r="B1325" s="192" t="s">
        <v>1266</v>
      </c>
      <c r="C1325" s="234"/>
      <c r="D1325" s="234"/>
      <c r="E1325" s="235"/>
      <c r="F1325" s="232" t="s">
        <v>1267</v>
      </c>
      <c r="G1325" s="231"/>
      <c r="H1325" s="242"/>
      <c r="I1325" s="258" t="s">
        <v>844</v>
      </c>
    </row>
    <row r="1326" spans="2:9" ht="15.75" customHeight="1" x14ac:dyDescent="0.25">
      <c r="B1326" s="177" t="s">
        <v>1236</v>
      </c>
      <c r="C1326" s="234"/>
      <c r="D1326" s="234"/>
      <c r="E1326" s="235"/>
      <c r="F1326" s="232" t="s">
        <v>1268</v>
      </c>
      <c r="G1326" s="231"/>
      <c r="H1326" s="242"/>
      <c r="I1326" s="58" t="s">
        <v>844</v>
      </c>
    </row>
    <row r="1327" spans="2:9" ht="15.75" customHeight="1" x14ac:dyDescent="0.25">
      <c r="B1327" s="192" t="s">
        <v>1162</v>
      </c>
      <c r="C1327" s="234"/>
      <c r="D1327" s="234"/>
      <c r="E1327" s="235"/>
      <c r="F1327" s="232" t="s">
        <v>1269</v>
      </c>
      <c r="G1327" s="231"/>
      <c r="H1327" s="242"/>
      <c r="I1327" s="258" t="s">
        <v>844</v>
      </c>
    </row>
    <row r="1328" spans="2:9" ht="15.75" customHeight="1" x14ac:dyDescent="0.25">
      <c r="B1328" s="193" t="s">
        <v>1270</v>
      </c>
      <c r="C1328" s="234"/>
      <c r="D1328" s="234"/>
      <c r="E1328" s="235"/>
      <c r="F1328" s="232" t="s">
        <v>1271</v>
      </c>
      <c r="G1328" s="231"/>
      <c r="H1328" s="242"/>
      <c r="I1328" s="58" t="s">
        <v>844</v>
      </c>
    </row>
    <row r="1329" spans="2:9" ht="15.75" customHeight="1" x14ac:dyDescent="0.25">
      <c r="B1329" s="177" t="s">
        <v>26</v>
      </c>
      <c r="C1329" s="234"/>
      <c r="D1329" s="234"/>
      <c r="E1329" s="235"/>
      <c r="F1329" s="232" t="s">
        <v>1272</v>
      </c>
      <c r="G1329" s="231"/>
      <c r="H1329" s="242"/>
      <c r="I1329" s="58" t="s">
        <v>844</v>
      </c>
    </row>
    <row r="1330" spans="2:9" ht="15.75" customHeight="1" x14ac:dyDescent="0.25">
      <c r="B1330" s="177" t="s">
        <v>1243</v>
      </c>
      <c r="C1330" s="234"/>
      <c r="D1330" s="234"/>
      <c r="E1330" s="235"/>
      <c r="F1330" s="232" t="s">
        <v>1273</v>
      </c>
      <c r="G1330" s="231"/>
      <c r="H1330" s="242"/>
      <c r="I1330" s="58" t="s">
        <v>844</v>
      </c>
    </row>
    <row r="1331" spans="2:9" ht="15.75" customHeight="1" x14ac:dyDescent="0.25">
      <c r="B1331" s="191" t="s">
        <v>1274</v>
      </c>
      <c r="C1331" s="234"/>
      <c r="D1331" s="234"/>
      <c r="E1331" s="235"/>
      <c r="F1331" s="232" t="s">
        <v>1275</v>
      </c>
      <c r="G1331" s="231"/>
      <c r="H1331" s="242"/>
      <c r="I1331" s="258" t="s">
        <v>844</v>
      </c>
    </row>
    <row r="1332" spans="2:9" ht="15.75" customHeight="1" x14ac:dyDescent="0.25">
      <c r="B1332" s="192" t="s">
        <v>1276</v>
      </c>
      <c r="C1332" s="234"/>
      <c r="D1332" s="234"/>
      <c r="E1332" s="235"/>
      <c r="F1332" s="232" t="s">
        <v>1277</v>
      </c>
      <c r="G1332" s="231"/>
      <c r="H1332" s="242"/>
      <c r="I1332" s="258" t="s">
        <v>844</v>
      </c>
    </row>
    <row r="1333" spans="2:9" ht="15.75" customHeight="1" x14ac:dyDescent="0.25">
      <c r="B1333" s="177" t="s">
        <v>498</v>
      </c>
      <c r="C1333" s="234"/>
      <c r="D1333" s="234"/>
      <c r="E1333" s="235"/>
      <c r="F1333" s="232" t="s">
        <v>1278</v>
      </c>
      <c r="G1333" s="231"/>
      <c r="H1333" s="242"/>
      <c r="I1333" s="58" t="s">
        <v>844</v>
      </c>
    </row>
    <row r="1334" spans="2:9" ht="15.75" customHeight="1" x14ac:dyDescent="0.25">
      <c r="B1334" s="192" t="s">
        <v>1279</v>
      </c>
      <c r="C1334" s="234"/>
      <c r="D1334" s="234"/>
      <c r="E1334" s="235"/>
      <c r="F1334" s="232" t="s">
        <v>1280</v>
      </c>
      <c r="G1334" s="231"/>
      <c r="H1334" s="242"/>
      <c r="I1334" s="258" t="s">
        <v>844</v>
      </c>
    </row>
    <row r="1335" spans="2:9" ht="15.75" customHeight="1" x14ac:dyDescent="0.25">
      <c r="B1335" s="193" t="s">
        <v>1270</v>
      </c>
      <c r="C1335" s="234"/>
      <c r="D1335" s="234"/>
      <c r="E1335" s="235"/>
      <c r="F1335" s="232" t="s">
        <v>1281</v>
      </c>
      <c r="G1335" s="231"/>
      <c r="H1335" s="242"/>
      <c r="I1335" s="58" t="s">
        <v>844</v>
      </c>
    </row>
    <row r="1336" spans="2:9" ht="15.75" customHeight="1" x14ac:dyDescent="0.25">
      <c r="B1336" s="177" t="s">
        <v>79</v>
      </c>
      <c r="C1336" s="234"/>
      <c r="D1336" s="234"/>
      <c r="E1336" s="235"/>
      <c r="F1336" s="232" t="s">
        <v>1282</v>
      </c>
      <c r="G1336" s="231"/>
      <c r="H1336" s="242"/>
      <c r="I1336" s="58" t="s">
        <v>844</v>
      </c>
    </row>
    <row r="1337" spans="2:9" ht="31.5" customHeight="1" x14ac:dyDescent="0.25">
      <c r="B1337" s="194" t="s">
        <v>1283</v>
      </c>
      <c r="C1337" s="234"/>
      <c r="D1337" s="234"/>
      <c r="E1337" s="235"/>
      <c r="F1337" s="232" t="s">
        <v>1284</v>
      </c>
      <c r="G1337" s="231"/>
      <c r="H1337" s="242"/>
      <c r="I1337" s="258" t="s">
        <v>844</v>
      </c>
    </row>
    <row r="1338" spans="2:9" ht="15.75" customHeight="1" x14ac:dyDescent="0.25">
      <c r="B1338" s="192" t="s">
        <v>1285</v>
      </c>
      <c r="C1338" s="234"/>
      <c r="D1338" s="234"/>
      <c r="E1338" s="235"/>
      <c r="F1338" s="232" t="s">
        <v>1286</v>
      </c>
      <c r="G1338" s="231"/>
      <c r="H1338" s="242"/>
      <c r="I1338" s="258" t="s">
        <v>844</v>
      </c>
    </row>
    <row r="1339" spans="2:9" ht="15.75" customHeight="1" x14ac:dyDescent="0.25">
      <c r="B1339" s="177" t="s">
        <v>1257</v>
      </c>
      <c r="C1339" s="234"/>
      <c r="D1339" s="234"/>
      <c r="E1339" s="235"/>
      <c r="F1339" s="232" t="s">
        <v>1287</v>
      </c>
      <c r="G1339" s="231"/>
      <c r="H1339" s="242"/>
      <c r="I1339" s="58" t="s">
        <v>844</v>
      </c>
    </row>
    <row r="1340" spans="2:9" ht="15.75" customHeight="1" x14ac:dyDescent="0.25">
      <c r="B1340" s="179" t="s">
        <v>1259</v>
      </c>
      <c r="C1340" s="234"/>
      <c r="D1340" s="234"/>
      <c r="E1340" s="235"/>
      <c r="F1340" s="232" t="s">
        <v>1288</v>
      </c>
      <c r="G1340" s="231"/>
      <c r="H1340" s="242"/>
      <c r="I1340" s="58" t="s">
        <v>844</v>
      </c>
    </row>
    <row r="1341" spans="2:9" ht="15.75" customHeight="1" x14ac:dyDescent="0.25">
      <c r="B1341" s="191" t="s">
        <v>1261</v>
      </c>
      <c r="C1341" s="234"/>
      <c r="D1341" s="234"/>
      <c r="E1341" s="235"/>
      <c r="F1341" s="232" t="s">
        <v>1289</v>
      </c>
      <c r="G1341" s="231"/>
      <c r="H1341" s="242"/>
      <c r="I1341" s="58" t="s">
        <v>844</v>
      </c>
    </row>
    <row r="1342" spans="2:9" ht="15.75" customHeight="1" x14ac:dyDescent="0.25">
      <c r="B1342" s="192" t="s">
        <v>1290</v>
      </c>
      <c r="C1342" s="234"/>
      <c r="D1342" s="234"/>
      <c r="E1342" s="235"/>
      <c r="F1342" s="232" t="s">
        <v>1291</v>
      </c>
      <c r="G1342" s="231"/>
      <c r="H1342" s="242"/>
      <c r="I1342" s="258" t="s">
        <v>844</v>
      </c>
    </row>
    <row r="1343" spans="2:9" ht="18.75" customHeight="1" x14ac:dyDescent="0.25">
      <c r="B1343" s="192" t="s">
        <v>1292</v>
      </c>
      <c r="C1343" s="234"/>
      <c r="D1343" s="234"/>
      <c r="E1343" s="235"/>
      <c r="F1343" s="232" t="s">
        <v>1293</v>
      </c>
      <c r="G1343" s="231"/>
      <c r="H1343" s="242"/>
      <c r="I1343" s="258" t="s">
        <v>1294</v>
      </c>
    </row>
    <row r="1344" spans="2:9" ht="18.75" customHeight="1" x14ac:dyDescent="0.25">
      <c r="B1344" s="195"/>
      <c r="C1344" s="234"/>
      <c r="D1344" s="234"/>
      <c r="E1344" s="235">
        <v>233</v>
      </c>
      <c r="F1344" s="232"/>
      <c r="G1344" s="231"/>
      <c r="H1344" s="242"/>
      <c r="I1344" s="196"/>
    </row>
    <row r="1345" spans="2:9" ht="15.75" customHeight="1" x14ac:dyDescent="0.25">
      <c r="B1345" s="184" t="s">
        <v>878</v>
      </c>
      <c r="C1345" s="234"/>
      <c r="D1345" s="234"/>
      <c r="E1345" s="235">
        <v>234</v>
      </c>
      <c r="F1345" s="232"/>
      <c r="G1345" s="231"/>
      <c r="H1345" s="242"/>
      <c r="I1345" s="258"/>
    </row>
    <row r="1346" spans="2:9" ht="15.75" customHeight="1" x14ac:dyDescent="0.25">
      <c r="B1346" s="192" t="s">
        <v>1295</v>
      </c>
      <c r="C1346" s="234"/>
      <c r="D1346" s="234"/>
      <c r="E1346" s="235"/>
      <c r="F1346" s="232" t="s">
        <v>1296</v>
      </c>
      <c r="G1346" s="231"/>
      <c r="H1346" s="242"/>
      <c r="I1346" s="258" t="s">
        <v>844</v>
      </c>
    </row>
    <row r="1347" spans="2:9" ht="15.75" customHeight="1" x14ac:dyDescent="0.25">
      <c r="B1347" s="197" t="s">
        <v>1184</v>
      </c>
      <c r="C1347" s="234"/>
      <c r="D1347" s="234"/>
      <c r="E1347" s="235"/>
      <c r="F1347" s="232" t="s">
        <v>1297</v>
      </c>
      <c r="G1347" s="231"/>
      <c r="H1347" s="242"/>
      <c r="I1347" s="58" t="s">
        <v>844</v>
      </c>
    </row>
    <row r="1348" spans="2:9" ht="15.75" customHeight="1" x14ac:dyDescent="0.25">
      <c r="B1348" s="192" t="s">
        <v>1298</v>
      </c>
      <c r="C1348" s="234"/>
      <c r="D1348" s="234"/>
      <c r="E1348" s="235"/>
      <c r="F1348" s="232" t="s">
        <v>1299</v>
      </c>
      <c r="G1348" s="231"/>
      <c r="H1348" s="242"/>
      <c r="I1348" s="258" t="s">
        <v>844</v>
      </c>
    </row>
    <row r="1349" spans="2:9" ht="15.75" customHeight="1" x14ac:dyDescent="0.25">
      <c r="B1349" s="197" t="s">
        <v>1184</v>
      </c>
      <c r="C1349" s="234"/>
      <c r="D1349" s="234"/>
      <c r="E1349" s="235"/>
      <c r="F1349" s="232" t="s">
        <v>1300</v>
      </c>
      <c r="G1349" s="231"/>
      <c r="H1349" s="242"/>
      <c r="I1349" s="58" t="s">
        <v>844</v>
      </c>
    </row>
    <row r="1350" spans="2:9" ht="15.75" customHeight="1" x14ac:dyDescent="0.25">
      <c r="B1350" s="253" t="s">
        <v>1197</v>
      </c>
      <c r="C1350" s="234"/>
      <c r="D1350" s="234"/>
      <c r="E1350" s="235"/>
      <c r="F1350" s="232" t="s">
        <v>1301</v>
      </c>
      <c r="G1350" s="231"/>
      <c r="H1350" s="242"/>
      <c r="I1350" s="58" t="s">
        <v>844</v>
      </c>
    </row>
    <row r="1351" spans="2:9" ht="15.75" customHeight="1" x14ac:dyDescent="0.25">
      <c r="B1351" s="192" t="s">
        <v>1302</v>
      </c>
      <c r="C1351" s="234"/>
      <c r="D1351" s="234"/>
      <c r="E1351" s="235"/>
      <c r="F1351" s="232" t="s">
        <v>1303</v>
      </c>
      <c r="G1351" s="231"/>
      <c r="H1351" s="242"/>
      <c r="I1351" s="258" t="s">
        <v>844</v>
      </c>
    </row>
    <row r="1352" spans="2:9" ht="15.75" customHeight="1" x14ac:dyDescent="0.25">
      <c r="B1352" s="197" t="s">
        <v>1184</v>
      </c>
      <c r="C1352" s="234"/>
      <c r="D1352" s="234"/>
      <c r="E1352" s="235"/>
      <c r="F1352" s="232" t="s">
        <v>1304</v>
      </c>
      <c r="G1352" s="231"/>
      <c r="H1352" s="242"/>
      <c r="I1352" s="58" t="s">
        <v>844</v>
      </c>
    </row>
    <row r="1353" spans="2:9" ht="15.75" customHeight="1" x14ac:dyDescent="0.25">
      <c r="B1353" s="192" t="s">
        <v>1305</v>
      </c>
      <c r="C1353" s="234"/>
      <c r="D1353" s="234"/>
      <c r="E1353" s="235"/>
      <c r="F1353" s="232" t="s">
        <v>1306</v>
      </c>
      <c r="G1353" s="231"/>
      <c r="H1353" s="242"/>
      <c r="I1353" s="258" t="s">
        <v>844</v>
      </c>
    </row>
    <row r="1354" spans="2:9" ht="15.75" customHeight="1" x14ac:dyDescent="0.25">
      <c r="B1354" s="197" t="s">
        <v>1184</v>
      </c>
      <c r="C1354" s="234"/>
      <c r="D1354" s="234"/>
      <c r="E1354" s="235"/>
      <c r="F1354" s="232" t="s">
        <v>1307</v>
      </c>
      <c r="G1354" s="231"/>
      <c r="H1354" s="242"/>
      <c r="I1354" s="58" t="s">
        <v>844</v>
      </c>
    </row>
    <row r="1355" spans="2:9" ht="15.75" customHeight="1" x14ac:dyDescent="0.25">
      <c r="B1355" s="192" t="s">
        <v>1308</v>
      </c>
      <c r="C1355" s="234"/>
      <c r="D1355" s="234"/>
      <c r="E1355" s="235"/>
      <c r="F1355" s="232" t="s">
        <v>1309</v>
      </c>
      <c r="G1355" s="231"/>
      <c r="H1355" s="242"/>
      <c r="I1355" s="258" t="s">
        <v>844</v>
      </c>
    </row>
    <row r="1356" spans="2:9" ht="15.75" customHeight="1" x14ac:dyDescent="0.25">
      <c r="B1356" s="197" t="s">
        <v>1184</v>
      </c>
      <c r="C1356" s="234"/>
      <c r="D1356" s="234"/>
      <c r="E1356" s="235"/>
      <c r="F1356" s="232" t="s">
        <v>1310</v>
      </c>
      <c r="G1356" s="231"/>
      <c r="H1356" s="242"/>
      <c r="I1356" s="58" t="s">
        <v>844</v>
      </c>
    </row>
    <row r="1357" spans="2:9" ht="15.75" customHeight="1" x14ac:dyDescent="0.25">
      <c r="B1357" s="192" t="s">
        <v>1311</v>
      </c>
      <c r="C1357" s="234"/>
      <c r="D1357" s="234"/>
      <c r="E1357" s="235"/>
      <c r="F1357" s="232" t="s">
        <v>1312</v>
      </c>
      <c r="G1357" s="231"/>
      <c r="H1357" s="242"/>
      <c r="I1357" s="258" t="s">
        <v>844</v>
      </c>
    </row>
    <row r="1358" spans="2:9" ht="15.75" customHeight="1" x14ac:dyDescent="0.25">
      <c r="B1358" s="197" t="s">
        <v>1184</v>
      </c>
      <c r="C1358" s="234"/>
      <c r="D1358" s="234"/>
      <c r="E1358" s="235"/>
      <c r="F1358" s="232" t="s">
        <v>1313</v>
      </c>
      <c r="G1358" s="231"/>
      <c r="H1358" s="242"/>
      <c r="I1358" s="58" t="s">
        <v>844</v>
      </c>
    </row>
    <row r="1359" spans="2:9" ht="15.75" customHeight="1" x14ac:dyDescent="0.25">
      <c r="B1359" s="192" t="s">
        <v>1314</v>
      </c>
      <c r="C1359" s="234"/>
      <c r="D1359" s="234"/>
      <c r="E1359" s="235"/>
      <c r="F1359" s="232" t="s">
        <v>1315</v>
      </c>
      <c r="G1359" s="231"/>
      <c r="H1359" s="242"/>
      <c r="I1359" s="258" t="s">
        <v>844</v>
      </c>
    </row>
    <row r="1360" spans="2:9" ht="15.75" customHeight="1" x14ac:dyDescent="0.25">
      <c r="B1360" s="197" t="s">
        <v>1184</v>
      </c>
      <c r="C1360" s="234"/>
      <c r="D1360" s="234"/>
      <c r="E1360" s="235"/>
      <c r="F1360" s="232" t="s">
        <v>1316</v>
      </c>
      <c r="G1360" s="231"/>
      <c r="H1360" s="242"/>
      <c r="I1360" s="58" t="s">
        <v>844</v>
      </c>
    </row>
    <row r="1361" spans="2:9" ht="15.75" customHeight="1" x14ac:dyDescent="0.25">
      <c r="B1361" s="192" t="s">
        <v>1317</v>
      </c>
      <c r="C1361" s="234"/>
      <c r="D1361" s="234"/>
      <c r="E1361" s="235"/>
      <c r="F1361" s="232" t="s">
        <v>1318</v>
      </c>
      <c r="G1361" s="231"/>
      <c r="H1361" s="242"/>
      <c r="I1361" s="258" t="s">
        <v>844</v>
      </c>
    </row>
    <row r="1362" spans="2:9" ht="15.75" customHeight="1" x14ac:dyDescent="0.25">
      <c r="B1362" s="197" t="s">
        <v>1184</v>
      </c>
      <c r="C1362" s="234"/>
      <c r="D1362" s="234"/>
      <c r="E1362" s="235"/>
      <c r="F1362" s="232" t="s">
        <v>1319</v>
      </c>
      <c r="G1362" s="231"/>
      <c r="H1362" s="242"/>
      <c r="I1362" s="58" t="s">
        <v>844</v>
      </c>
    </row>
    <row r="1363" spans="2:9" ht="15.75" customHeight="1" x14ac:dyDescent="0.25">
      <c r="B1363" s="192" t="s">
        <v>1320</v>
      </c>
      <c r="C1363" s="234"/>
      <c r="D1363" s="234"/>
      <c r="E1363" s="235"/>
      <c r="F1363" s="232" t="s">
        <v>1321</v>
      </c>
      <c r="G1363" s="231"/>
      <c r="H1363" s="242"/>
      <c r="I1363" s="258" t="s">
        <v>844</v>
      </c>
    </row>
    <row r="1364" spans="2:9" ht="15.75" customHeight="1" x14ac:dyDescent="0.25">
      <c r="B1364" s="197" t="s">
        <v>1184</v>
      </c>
      <c r="C1364" s="234"/>
      <c r="D1364" s="234"/>
      <c r="E1364" s="235"/>
      <c r="F1364" s="232" t="s">
        <v>1322</v>
      </c>
      <c r="G1364" s="231"/>
      <c r="H1364" s="242"/>
      <c r="I1364" s="58" t="s">
        <v>844</v>
      </c>
    </row>
    <row r="1365" spans="2:9" ht="15.75" customHeight="1" x14ac:dyDescent="0.25">
      <c r="B1365" s="192" t="s">
        <v>1323</v>
      </c>
      <c r="C1365" s="234"/>
      <c r="D1365" s="234"/>
      <c r="E1365" s="235"/>
      <c r="F1365" s="232" t="s">
        <v>1324</v>
      </c>
      <c r="G1365" s="231"/>
      <c r="H1365" s="242"/>
      <c r="I1365" s="258" t="s">
        <v>844</v>
      </c>
    </row>
    <row r="1366" spans="2:9" ht="15.75" customHeight="1" x14ac:dyDescent="0.25">
      <c r="B1366" s="197" t="s">
        <v>1184</v>
      </c>
      <c r="C1366" s="234"/>
      <c r="D1366" s="234"/>
      <c r="E1366" s="235"/>
      <c r="F1366" s="232" t="s">
        <v>1325</v>
      </c>
      <c r="G1366" s="231"/>
      <c r="H1366" s="242"/>
      <c r="I1366" s="58" t="s">
        <v>844</v>
      </c>
    </row>
    <row r="1367" spans="2:9" ht="15.75" customHeight="1" x14ac:dyDescent="0.25">
      <c r="B1367" s="192" t="s">
        <v>1326</v>
      </c>
      <c r="C1367" s="234"/>
      <c r="D1367" s="234"/>
      <c r="E1367" s="235"/>
      <c r="F1367" s="232" t="s">
        <v>1327</v>
      </c>
      <c r="G1367" s="231"/>
      <c r="H1367" s="242"/>
      <c r="I1367" s="258" t="s">
        <v>844</v>
      </c>
    </row>
    <row r="1368" spans="2:9" ht="15.75" customHeight="1" x14ac:dyDescent="0.25">
      <c r="B1368" s="197" t="s">
        <v>1184</v>
      </c>
      <c r="C1368" s="234"/>
      <c r="D1368" s="234"/>
      <c r="E1368" s="235"/>
      <c r="F1368" s="232" t="s">
        <v>1328</v>
      </c>
      <c r="G1368" s="231"/>
      <c r="H1368" s="242"/>
      <c r="I1368" s="58" t="s">
        <v>844</v>
      </c>
    </row>
    <row r="1369" spans="2:9" ht="15.75" customHeight="1" x14ac:dyDescent="0.25">
      <c r="B1369" s="192" t="s">
        <v>1329</v>
      </c>
      <c r="C1369" s="234"/>
      <c r="D1369" s="234"/>
      <c r="E1369" s="235"/>
      <c r="F1369" s="232" t="s">
        <v>1330</v>
      </c>
      <c r="G1369" s="231"/>
      <c r="H1369" s="242"/>
      <c r="I1369" s="258" t="s">
        <v>844</v>
      </c>
    </row>
    <row r="1370" spans="2:9" ht="15.75" customHeight="1" x14ac:dyDescent="0.25">
      <c r="B1370" s="197" t="s">
        <v>1184</v>
      </c>
      <c r="C1370" s="234"/>
      <c r="D1370" s="234"/>
      <c r="E1370" s="235"/>
      <c r="F1370" s="232" t="s">
        <v>1331</v>
      </c>
      <c r="G1370" s="231"/>
      <c r="H1370" s="242"/>
      <c r="I1370" s="58" t="s">
        <v>844</v>
      </c>
    </row>
    <row r="1371" spans="2:9" ht="15.75" customHeight="1" x14ac:dyDescent="0.25">
      <c r="B1371" s="192" t="s">
        <v>1332</v>
      </c>
      <c r="C1371" s="234"/>
      <c r="D1371" s="234"/>
      <c r="E1371" s="235"/>
      <c r="F1371" s="232" t="s">
        <v>1333</v>
      </c>
      <c r="G1371" s="231"/>
      <c r="H1371" s="242"/>
      <c r="I1371" s="258" t="s">
        <v>844</v>
      </c>
    </row>
    <row r="1372" spans="2:9" ht="15.75" customHeight="1" x14ac:dyDescent="0.25">
      <c r="B1372" s="197" t="s">
        <v>1184</v>
      </c>
      <c r="C1372" s="234"/>
      <c r="D1372" s="234"/>
      <c r="E1372" s="235"/>
      <c r="F1372" s="232" t="s">
        <v>1334</v>
      </c>
      <c r="G1372" s="231"/>
      <c r="H1372" s="242"/>
      <c r="I1372" s="58" t="s">
        <v>844</v>
      </c>
    </row>
    <row r="1373" spans="2:9" ht="15.75" customHeight="1" x14ac:dyDescent="0.25">
      <c r="B1373" s="192" t="s">
        <v>1335</v>
      </c>
      <c r="C1373" s="234"/>
      <c r="D1373" s="234"/>
      <c r="E1373" s="235"/>
      <c r="F1373" s="232" t="s">
        <v>1336</v>
      </c>
      <c r="G1373" s="231"/>
      <c r="H1373" s="242"/>
      <c r="I1373" s="258" t="s">
        <v>844</v>
      </c>
    </row>
    <row r="1374" spans="2:9" ht="15.75" customHeight="1" x14ac:dyDescent="0.25">
      <c r="B1374" s="197" t="s">
        <v>1184</v>
      </c>
      <c r="C1374" s="234"/>
      <c r="D1374" s="234"/>
      <c r="E1374" s="235"/>
      <c r="F1374" s="232" t="s">
        <v>1337</v>
      </c>
      <c r="G1374" s="231"/>
      <c r="H1374" s="242"/>
      <c r="I1374" s="58" t="s">
        <v>844</v>
      </c>
    </row>
    <row r="1375" spans="2:9" ht="15.75" customHeight="1" x14ac:dyDescent="0.25">
      <c r="B1375" s="253" t="s">
        <v>1197</v>
      </c>
      <c r="C1375" s="234"/>
      <c r="D1375" s="234"/>
      <c r="E1375" s="235"/>
      <c r="F1375" s="232" t="s">
        <v>1338</v>
      </c>
      <c r="G1375" s="231"/>
      <c r="H1375" s="242"/>
      <c r="I1375" s="58" t="s">
        <v>844</v>
      </c>
    </row>
    <row r="1376" spans="2:9" ht="15.75" customHeight="1" x14ac:dyDescent="0.25">
      <c r="B1376" s="253" t="s">
        <v>1339</v>
      </c>
      <c r="C1376" s="234"/>
      <c r="D1376" s="234"/>
      <c r="E1376" s="235"/>
      <c r="F1376" s="232" t="s">
        <v>1340</v>
      </c>
      <c r="G1376" s="231"/>
      <c r="H1376" s="242"/>
      <c r="I1376" s="58" t="s">
        <v>844</v>
      </c>
    </row>
    <row r="1377" spans="2:9" ht="15.75" customHeight="1" x14ac:dyDescent="0.25">
      <c r="B1377" s="192" t="s">
        <v>1341</v>
      </c>
      <c r="C1377" s="234"/>
      <c r="D1377" s="234"/>
      <c r="E1377" s="235"/>
      <c r="F1377" s="232" t="s">
        <v>1342</v>
      </c>
      <c r="G1377" s="231"/>
      <c r="H1377" s="242"/>
      <c r="I1377" s="258" t="s">
        <v>844</v>
      </c>
    </row>
    <row r="1378" spans="2:9" ht="15.75" customHeight="1" x14ac:dyDescent="0.25">
      <c r="B1378" s="197" t="s">
        <v>1184</v>
      </c>
      <c r="C1378" s="234"/>
      <c r="D1378" s="234"/>
      <c r="E1378" s="235"/>
      <c r="F1378" s="232" t="s">
        <v>1343</v>
      </c>
      <c r="G1378" s="231"/>
      <c r="H1378" s="242"/>
      <c r="I1378" s="58" t="s">
        <v>844</v>
      </c>
    </row>
    <row r="1379" spans="2:9" ht="15.75" customHeight="1" x14ac:dyDescent="0.25">
      <c r="B1379" s="253" t="s">
        <v>1344</v>
      </c>
      <c r="C1379" s="234"/>
      <c r="D1379" s="234"/>
      <c r="E1379" s="235"/>
      <c r="F1379" s="232" t="s">
        <v>1345</v>
      </c>
      <c r="G1379" s="231"/>
      <c r="H1379" s="242"/>
      <c r="I1379" s="258" t="s">
        <v>844</v>
      </c>
    </row>
    <row r="1380" spans="2:9" ht="31.5" customHeight="1" x14ac:dyDescent="0.25">
      <c r="B1380" s="194" t="s">
        <v>1346</v>
      </c>
      <c r="C1380" s="234"/>
      <c r="D1380" s="234"/>
      <c r="E1380" s="235"/>
      <c r="F1380" s="232" t="s">
        <v>1347</v>
      </c>
      <c r="G1380" s="231"/>
      <c r="H1380" s="242"/>
      <c r="I1380" s="258" t="s">
        <v>844</v>
      </c>
    </row>
    <row r="1381" spans="2:9" ht="15.75" customHeight="1" x14ac:dyDescent="0.25">
      <c r="B1381" s="197" t="s">
        <v>1184</v>
      </c>
      <c r="C1381" s="234"/>
      <c r="D1381" s="234"/>
      <c r="E1381" s="235"/>
      <c r="F1381" s="232" t="s">
        <v>1348</v>
      </c>
      <c r="G1381" s="231"/>
      <c r="H1381" s="242"/>
      <c r="I1381" s="58" t="s">
        <v>844</v>
      </c>
    </row>
    <row r="1382" spans="2:9" ht="15.75" customHeight="1" x14ac:dyDescent="0.25">
      <c r="B1382" s="253" t="s">
        <v>1344</v>
      </c>
      <c r="C1382" s="234"/>
      <c r="D1382" s="234"/>
      <c r="E1382" s="235"/>
      <c r="F1382" s="232" t="s">
        <v>1349</v>
      </c>
      <c r="G1382" s="231"/>
      <c r="H1382" s="242"/>
      <c r="I1382" s="58" t="s">
        <v>844</v>
      </c>
    </row>
    <row r="1383" spans="2:9" ht="15.75" customHeight="1" x14ac:dyDescent="0.25">
      <c r="B1383" s="192" t="s">
        <v>1350</v>
      </c>
      <c r="C1383" s="234"/>
      <c r="D1383" s="234"/>
      <c r="E1383" s="235"/>
      <c r="F1383" s="232" t="s">
        <v>1351</v>
      </c>
      <c r="G1383" s="231"/>
      <c r="H1383" s="242"/>
      <c r="I1383" s="258" t="s">
        <v>844</v>
      </c>
    </row>
    <row r="1384" spans="2:9" ht="15.75" customHeight="1" x14ac:dyDescent="0.25">
      <c r="B1384" s="197" t="s">
        <v>1184</v>
      </c>
      <c r="C1384" s="234"/>
      <c r="D1384" s="234"/>
      <c r="E1384" s="235"/>
      <c r="F1384" s="232" t="s">
        <v>1352</v>
      </c>
      <c r="G1384" s="231"/>
      <c r="H1384" s="242"/>
      <c r="I1384" s="58" t="s">
        <v>844</v>
      </c>
    </row>
    <row r="1385" spans="2:9" ht="15.75" customHeight="1" x14ac:dyDescent="0.25">
      <c r="B1385" s="192" t="s">
        <v>1353</v>
      </c>
      <c r="C1385" s="234"/>
      <c r="D1385" s="234"/>
      <c r="E1385" s="235"/>
      <c r="F1385" s="232" t="s">
        <v>1354</v>
      </c>
      <c r="G1385" s="231"/>
      <c r="H1385" s="242"/>
      <c r="I1385" s="258" t="s">
        <v>844</v>
      </c>
    </row>
    <row r="1386" spans="2:9" ht="15.75" customHeight="1" x14ac:dyDescent="0.25">
      <c r="B1386" s="197" t="s">
        <v>1184</v>
      </c>
      <c r="C1386" s="234"/>
      <c r="D1386" s="234"/>
      <c r="E1386" s="235"/>
      <c r="F1386" s="232" t="s">
        <v>1355</v>
      </c>
      <c r="G1386" s="231"/>
      <c r="H1386" s="242"/>
      <c r="I1386" s="58" t="s">
        <v>844</v>
      </c>
    </row>
    <row r="1387" spans="2:9" ht="15.75" customHeight="1" x14ac:dyDescent="0.25">
      <c r="B1387" s="253" t="s">
        <v>1344</v>
      </c>
      <c r="C1387" s="234"/>
      <c r="D1387" s="234"/>
      <c r="E1387" s="235"/>
      <c r="F1387" s="232" t="s">
        <v>1356</v>
      </c>
      <c r="G1387" s="231"/>
      <c r="H1387" s="242"/>
      <c r="I1387" s="58" t="s">
        <v>844</v>
      </c>
    </row>
    <row r="1388" spans="2:9" ht="15.75" customHeight="1" x14ac:dyDescent="0.25">
      <c r="B1388" s="192" t="s">
        <v>1357</v>
      </c>
      <c r="C1388" s="234"/>
      <c r="D1388" s="234"/>
      <c r="E1388" s="235"/>
      <c r="F1388" s="232" t="s">
        <v>1358</v>
      </c>
      <c r="G1388" s="231"/>
      <c r="H1388" s="242"/>
      <c r="I1388" s="258" t="s">
        <v>844</v>
      </c>
    </row>
    <row r="1389" spans="2:9" ht="15.75" customHeight="1" x14ac:dyDescent="0.25">
      <c r="B1389" s="197" t="s">
        <v>1184</v>
      </c>
      <c r="C1389" s="234"/>
      <c r="D1389" s="234"/>
      <c r="E1389" s="235"/>
      <c r="F1389" s="232" t="s">
        <v>1359</v>
      </c>
      <c r="G1389" s="231"/>
      <c r="H1389" s="242"/>
      <c r="I1389" s="58" t="s">
        <v>844</v>
      </c>
    </row>
    <row r="1390" spans="2:9" ht="15.75" customHeight="1" x14ac:dyDescent="0.25">
      <c r="B1390" s="192" t="s">
        <v>1360</v>
      </c>
      <c r="C1390" s="234"/>
      <c r="D1390" s="234"/>
      <c r="E1390" s="235"/>
      <c r="F1390" s="232" t="s">
        <v>1361</v>
      </c>
      <c r="G1390" s="231"/>
      <c r="H1390" s="242"/>
      <c r="I1390" s="258" t="s">
        <v>844</v>
      </c>
    </row>
    <row r="1391" spans="2:9" ht="15.75" customHeight="1" x14ac:dyDescent="0.25">
      <c r="B1391" s="197" t="s">
        <v>1184</v>
      </c>
      <c r="C1391" s="234"/>
      <c r="D1391" s="234"/>
      <c r="E1391" s="235"/>
      <c r="F1391" s="232" t="s">
        <v>1362</v>
      </c>
      <c r="G1391" s="231"/>
      <c r="H1391" s="242"/>
      <c r="I1391" s="58" t="s">
        <v>844</v>
      </c>
    </row>
    <row r="1392" spans="2:9" ht="31.5" customHeight="1" x14ac:dyDescent="0.25">
      <c r="B1392" s="194" t="s">
        <v>1363</v>
      </c>
      <c r="C1392" s="234"/>
      <c r="D1392" s="234"/>
      <c r="E1392" s="235"/>
      <c r="F1392" s="232" t="s">
        <v>1364</v>
      </c>
      <c r="G1392" s="231"/>
      <c r="H1392" s="242"/>
      <c r="I1392" s="258" t="s">
        <v>844</v>
      </c>
    </row>
    <row r="1393" spans="2:9" ht="15.75" customHeight="1" x14ac:dyDescent="0.25">
      <c r="B1393" s="197" t="s">
        <v>1184</v>
      </c>
      <c r="C1393" s="234"/>
      <c r="D1393" s="234"/>
      <c r="E1393" s="235"/>
      <c r="F1393" s="232" t="s">
        <v>1365</v>
      </c>
      <c r="G1393" s="231"/>
      <c r="H1393" s="242"/>
      <c r="I1393" s="58" t="s">
        <v>844</v>
      </c>
    </row>
    <row r="1394" spans="2:9" ht="15.75" customHeight="1" x14ac:dyDescent="0.25">
      <c r="B1394" s="197"/>
      <c r="C1394" s="234"/>
      <c r="D1394" s="234"/>
      <c r="E1394" s="235">
        <v>235</v>
      </c>
      <c r="F1394" s="232"/>
      <c r="G1394" s="231"/>
      <c r="H1394" s="242"/>
      <c r="I1394" s="258"/>
    </row>
    <row r="1395" spans="2:9" ht="15.75" customHeight="1" x14ac:dyDescent="0.25">
      <c r="B1395" s="172" t="s">
        <v>1366</v>
      </c>
      <c r="C1395" s="234"/>
      <c r="D1395" s="234"/>
      <c r="E1395" s="235">
        <v>236</v>
      </c>
      <c r="F1395" s="232"/>
      <c r="G1395" s="231"/>
      <c r="H1395" s="242"/>
      <c r="I1395" s="258"/>
    </row>
    <row r="1396" spans="2:9" ht="15.75" customHeight="1" x14ac:dyDescent="0.25">
      <c r="B1396" s="174"/>
      <c r="C1396" s="234"/>
      <c r="D1396" s="234"/>
      <c r="E1396" s="235">
        <v>237</v>
      </c>
      <c r="F1396" s="232"/>
      <c r="G1396" s="231"/>
      <c r="H1396" s="242"/>
      <c r="I1396" s="258"/>
    </row>
    <row r="1397" spans="2:9" ht="15.75" customHeight="1" x14ac:dyDescent="0.25">
      <c r="B1397" s="184" t="s">
        <v>842</v>
      </c>
      <c r="C1397" s="234"/>
      <c r="D1397" s="234"/>
      <c r="E1397" s="235">
        <v>238</v>
      </c>
      <c r="F1397" s="232"/>
      <c r="G1397" s="231"/>
      <c r="H1397" s="242"/>
      <c r="I1397" s="258"/>
    </row>
    <row r="1398" spans="2:9" ht="18.75" customHeight="1" x14ac:dyDescent="0.25">
      <c r="B1398" s="198" t="s">
        <v>1367</v>
      </c>
      <c r="C1398" s="234"/>
      <c r="D1398" s="234"/>
      <c r="E1398" s="235"/>
      <c r="F1398" s="232" t="s">
        <v>1368</v>
      </c>
      <c r="G1398" s="231"/>
      <c r="H1398" s="242"/>
      <c r="I1398" s="258" t="s">
        <v>1294</v>
      </c>
    </row>
    <row r="1399" spans="2:9" ht="15.75" customHeight="1" x14ac:dyDescent="0.25">
      <c r="B1399" s="184" t="s">
        <v>878</v>
      </c>
      <c r="C1399" s="234"/>
      <c r="D1399" s="234"/>
      <c r="E1399" s="235">
        <v>239</v>
      </c>
      <c r="F1399" s="232"/>
      <c r="G1399" s="231"/>
      <c r="H1399" s="242"/>
      <c r="I1399" s="258"/>
    </row>
    <row r="1400" spans="2:9" ht="15.75" customHeight="1" x14ac:dyDescent="0.25">
      <c r="B1400" s="192" t="s">
        <v>1369</v>
      </c>
      <c r="C1400" s="234"/>
      <c r="D1400" s="234"/>
      <c r="E1400" s="235"/>
      <c r="F1400" s="232" t="s">
        <v>1370</v>
      </c>
      <c r="G1400" s="231"/>
      <c r="H1400" s="242"/>
      <c r="I1400" s="258" t="s">
        <v>844</v>
      </c>
    </row>
    <row r="1401" spans="2:9" ht="15.75" customHeight="1" x14ac:dyDescent="0.25">
      <c r="B1401" s="197" t="s">
        <v>1184</v>
      </c>
      <c r="C1401" s="234"/>
      <c r="D1401" s="234"/>
      <c r="E1401" s="235"/>
      <c r="F1401" s="232" t="s">
        <v>1371</v>
      </c>
      <c r="G1401" s="231"/>
      <c r="H1401" s="242"/>
      <c r="I1401" s="58" t="s">
        <v>844</v>
      </c>
    </row>
    <row r="1402" spans="2:9" ht="15.75" customHeight="1" x14ac:dyDescent="0.25">
      <c r="B1402" s="192" t="s">
        <v>1372</v>
      </c>
      <c r="C1402" s="234"/>
      <c r="D1402" s="234"/>
      <c r="E1402" s="235"/>
      <c r="F1402" s="232" t="s">
        <v>1373</v>
      </c>
      <c r="G1402" s="231"/>
      <c r="H1402" s="242"/>
      <c r="I1402" s="258" t="s">
        <v>844</v>
      </c>
    </row>
    <row r="1403" spans="2:9" ht="15.75" customHeight="1" x14ac:dyDescent="0.25">
      <c r="B1403" s="197" t="s">
        <v>1184</v>
      </c>
      <c r="C1403" s="234"/>
      <c r="D1403" s="234"/>
      <c r="E1403" s="235"/>
      <c r="F1403" s="232" t="s">
        <v>1374</v>
      </c>
      <c r="G1403" s="231"/>
      <c r="H1403" s="242"/>
      <c r="I1403" s="58" t="s">
        <v>844</v>
      </c>
    </row>
    <row r="1404" spans="2:9" ht="15.75" customHeight="1" x14ac:dyDescent="0.25">
      <c r="B1404" s="192" t="s">
        <v>1375</v>
      </c>
      <c r="C1404" s="234"/>
      <c r="D1404" s="234"/>
      <c r="E1404" s="235"/>
      <c r="F1404" s="232" t="s">
        <v>1376</v>
      </c>
      <c r="G1404" s="231"/>
      <c r="H1404" s="242"/>
      <c r="I1404" s="258" t="s">
        <v>844</v>
      </c>
    </row>
    <row r="1405" spans="2:9" ht="15.75" customHeight="1" x14ac:dyDescent="0.25">
      <c r="B1405" s="197" t="s">
        <v>1184</v>
      </c>
      <c r="C1405" s="234"/>
      <c r="D1405" s="234"/>
      <c r="E1405" s="235"/>
      <c r="F1405" s="232" t="s">
        <v>1377</v>
      </c>
      <c r="G1405" s="231"/>
      <c r="H1405" s="242"/>
      <c r="I1405" s="58" t="s">
        <v>844</v>
      </c>
    </row>
    <row r="1406" spans="2:9" ht="15.75" customHeight="1" x14ac:dyDescent="0.25">
      <c r="B1406" s="197"/>
      <c r="C1406" s="234"/>
      <c r="D1406" s="234"/>
      <c r="E1406" s="235">
        <v>240</v>
      </c>
      <c r="F1406" s="232"/>
      <c r="G1406" s="231"/>
      <c r="H1406" s="242"/>
      <c r="I1406" s="258"/>
    </row>
    <row r="1407" spans="2:9" ht="15.75" customHeight="1" x14ac:dyDescent="0.25">
      <c r="B1407" s="172" t="s">
        <v>1378</v>
      </c>
      <c r="C1407" s="234"/>
      <c r="D1407" s="234"/>
      <c r="E1407" s="235">
        <v>241</v>
      </c>
      <c r="F1407" s="232"/>
      <c r="G1407" s="231"/>
      <c r="H1407" s="242"/>
      <c r="I1407" s="258"/>
    </row>
    <row r="1408" spans="2:9" ht="15.75" customHeight="1" x14ac:dyDescent="0.25">
      <c r="B1408" s="174"/>
      <c r="C1408" s="234"/>
      <c r="D1408" s="234"/>
      <c r="E1408" s="235">
        <v>242</v>
      </c>
      <c r="F1408" s="232"/>
      <c r="G1408" s="231"/>
      <c r="H1408" s="242"/>
      <c r="I1408" s="258"/>
    </row>
    <row r="1409" spans="2:9" ht="15.75" customHeight="1" x14ac:dyDescent="0.25">
      <c r="B1409" s="184" t="s">
        <v>842</v>
      </c>
      <c r="C1409" s="234"/>
      <c r="D1409" s="234"/>
      <c r="E1409" s="235"/>
      <c r="F1409" s="232" t="s">
        <v>1379</v>
      </c>
      <c r="G1409" s="231"/>
      <c r="H1409" s="242"/>
      <c r="I1409" s="258" t="s">
        <v>844</v>
      </c>
    </row>
    <row r="1410" spans="2:9" ht="31.5" customHeight="1" x14ac:dyDescent="0.25">
      <c r="B1410" s="199" t="s">
        <v>1380</v>
      </c>
      <c r="C1410" s="234"/>
      <c r="D1410" s="234"/>
      <c r="E1410" s="235"/>
      <c r="F1410" s="232" t="s">
        <v>1381</v>
      </c>
      <c r="G1410" s="231"/>
      <c r="H1410" s="242"/>
      <c r="I1410" s="258" t="s">
        <v>844</v>
      </c>
    </row>
    <row r="1411" spans="2:9" ht="31.5" customHeight="1" x14ac:dyDescent="0.25">
      <c r="B1411" s="199" t="s">
        <v>1382</v>
      </c>
      <c r="C1411" s="234"/>
      <c r="D1411" s="234"/>
      <c r="E1411" s="235"/>
      <c r="F1411" s="232" t="s">
        <v>1383</v>
      </c>
      <c r="G1411" s="231"/>
      <c r="H1411" s="242"/>
      <c r="I1411" s="258" t="s">
        <v>844</v>
      </c>
    </row>
    <row r="1412" spans="2:9" ht="15.75" customHeight="1" x14ac:dyDescent="0.25">
      <c r="B1412" s="184" t="s">
        <v>878</v>
      </c>
      <c r="C1412" s="234"/>
      <c r="D1412" s="234"/>
      <c r="E1412" s="235">
        <v>243</v>
      </c>
      <c r="F1412" s="232"/>
      <c r="G1412" s="231"/>
      <c r="H1412" s="242"/>
      <c r="I1412" s="258"/>
    </row>
    <row r="1413" spans="2:9" ht="15.75" customHeight="1" x14ac:dyDescent="0.25">
      <c r="B1413" s="192" t="s">
        <v>1384</v>
      </c>
      <c r="C1413" s="234"/>
      <c r="D1413" s="234"/>
      <c r="E1413" s="235"/>
      <c r="F1413" s="232" t="s">
        <v>1385</v>
      </c>
      <c r="G1413" s="231"/>
      <c r="H1413" s="242"/>
      <c r="I1413" s="258" t="s">
        <v>844</v>
      </c>
    </row>
    <row r="1414" spans="2:9" ht="15.75" customHeight="1" x14ac:dyDescent="0.25">
      <c r="B1414" s="192" t="s">
        <v>1386</v>
      </c>
      <c r="C1414" s="234"/>
      <c r="D1414" s="234"/>
      <c r="E1414" s="235"/>
      <c r="F1414" s="232" t="s">
        <v>1387</v>
      </c>
      <c r="G1414" s="231"/>
      <c r="H1414" s="242"/>
      <c r="I1414" s="258" t="s">
        <v>844</v>
      </c>
    </row>
    <row r="1415" spans="2:9" ht="26.25" customHeight="1" x14ac:dyDescent="0.4">
      <c r="B1415" s="200"/>
      <c r="C1415" s="234"/>
      <c r="D1415" s="234"/>
      <c r="E1415" s="235">
        <v>244</v>
      </c>
      <c r="F1415" s="232"/>
      <c r="G1415" s="231"/>
      <c r="H1415" s="242"/>
      <c r="I1415" s="171"/>
    </row>
    <row r="1416" spans="2:9" ht="31.5" customHeight="1" x14ac:dyDescent="0.25">
      <c r="B1416" s="201" t="s">
        <v>1388</v>
      </c>
      <c r="C1416" s="234"/>
      <c r="D1416" s="234"/>
      <c r="E1416" s="235">
        <v>245</v>
      </c>
      <c r="F1416" s="232"/>
      <c r="G1416" s="231"/>
      <c r="H1416" s="242"/>
      <c r="I1416" s="201"/>
    </row>
    <row r="1417" spans="2:9" ht="31.5" customHeight="1" x14ac:dyDescent="0.25">
      <c r="B1417" s="201" t="s">
        <v>1389</v>
      </c>
      <c r="C1417" s="234"/>
      <c r="D1417" s="234"/>
      <c r="E1417" s="235">
        <v>246</v>
      </c>
      <c r="F1417" s="232"/>
      <c r="G1417" s="231"/>
      <c r="H1417" s="242"/>
      <c r="I1417" s="201"/>
    </row>
    <row r="1418" spans="2:9" ht="15.75" customHeight="1" x14ac:dyDescent="0.25">
      <c r="B1418" s="202"/>
      <c r="C1418" s="234"/>
      <c r="D1418" s="234"/>
      <c r="E1418" s="235">
        <v>247</v>
      </c>
      <c r="F1418" s="232"/>
      <c r="G1418" s="231"/>
      <c r="H1418" s="242"/>
      <c r="I1418" s="171"/>
    </row>
    <row r="1419" spans="2:9" ht="15.75" customHeight="1" x14ac:dyDescent="0.25">
      <c r="B1419" s="88" t="s">
        <v>19</v>
      </c>
      <c r="C1419" s="234"/>
      <c r="D1419" s="234"/>
      <c r="E1419" s="235">
        <v>248</v>
      </c>
      <c r="F1419" s="232"/>
      <c r="G1419" s="231"/>
      <c r="H1419" s="242"/>
      <c r="I1419" s="171"/>
    </row>
    <row r="1420" spans="2:9" ht="15.75" customHeight="1" x14ac:dyDescent="0.25">
      <c r="B1420" s="202"/>
      <c r="C1420" s="234"/>
      <c r="D1420" s="234"/>
      <c r="E1420" s="235">
        <v>249</v>
      </c>
      <c r="F1420" s="232"/>
      <c r="G1420" s="231"/>
      <c r="H1420" s="242"/>
      <c r="I1420" s="171"/>
    </row>
    <row r="1421" spans="2:9" ht="15.75" customHeight="1" x14ac:dyDescent="0.25">
      <c r="B1421" s="79" t="s">
        <v>1390</v>
      </c>
      <c r="C1421" s="234"/>
      <c r="D1421" s="234"/>
      <c r="E1421" s="235"/>
      <c r="F1421" s="232" t="s">
        <v>1391</v>
      </c>
      <c r="G1421" s="231"/>
      <c r="H1421" s="242"/>
      <c r="I1421" s="171" t="s">
        <v>826</v>
      </c>
    </row>
    <row r="1422" spans="2:9" ht="15.75" customHeight="1" x14ac:dyDescent="0.25">
      <c r="B1422" s="120" t="s">
        <v>1392</v>
      </c>
      <c r="C1422" s="234"/>
      <c r="D1422" s="234"/>
      <c r="E1422" s="235"/>
      <c r="F1422" s="232" t="s">
        <v>1391</v>
      </c>
      <c r="G1422" s="231"/>
      <c r="H1422" s="242"/>
      <c r="I1422" s="58" t="s">
        <v>826</v>
      </c>
    </row>
    <row r="1423" spans="2:9" ht="15.75" customHeight="1" x14ac:dyDescent="0.25">
      <c r="B1423" s="120" t="s">
        <v>1393</v>
      </c>
      <c r="C1423" s="234"/>
      <c r="D1423" s="234"/>
      <c r="E1423" s="235"/>
      <c r="F1423" s="232" t="s">
        <v>1394</v>
      </c>
      <c r="G1423" s="231"/>
      <c r="H1423" s="242"/>
      <c r="I1423" s="58" t="s">
        <v>826</v>
      </c>
    </row>
    <row r="1424" spans="2:9" ht="15.75" customHeight="1" x14ac:dyDescent="0.25">
      <c r="B1424" s="88" t="s">
        <v>1395</v>
      </c>
      <c r="C1424" s="234"/>
      <c r="D1424" s="234"/>
      <c r="E1424" s="235"/>
      <c r="F1424" s="232" t="s">
        <v>1396</v>
      </c>
      <c r="G1424" s="231"/>
      <c r="H1424" s="242"/>
      <c r="I1424" s="171" t="s">
        <v>826</v>
      </c>
    </row>
    <row r="1425" spans="2:9" ht="15.75" customHeight="1" x14ac:dyDescent="0.25">
      <c r="B1425" s="120" t="s">
        <v>1392</v>
      </c>
      <c r="C1425" s="234"/>
      <c r="D1425" s="234"/>
      <c r="E1425" s="235"/>
      <c r="F1425" s="232" t="s">
        <v>1396</v>
      </c>
      <c r="G1425" s="231"/>
      <c r="H1425" s="242"/>
      <c r="I1425" s="58" t="s">
        <v>826</v>
      </c>
    </row>
    <row r="1426" spans="2:9" ht="15.75" customHeight="1" x14ac:dyDescent="0.25">
      <c r="B1426" s="202"/>
      <c r="C1426" s="234"/>
      <c r="D1426" s="234"/>
      <c r="E1426" s="235">
        <v>250</v>
      </c>
      <c r="F1426" s="232"/>
      <c r="G1426" s="231"/>
      <c r="H1426" s="242"/>
      <c r="I1426" s="171"/>
    </row>
    <row r="1427" spans="2:9" ht="15.75" customHeight="1" x14ac:dyDescent="0.25">
      <c r="B1427" s="88" t="s">
        <v>296</v>
      </c>
      <c r="C1427" s="234"/>
      <c r="D1427" s="234"/>
      <c r="E1427" s="235">
        <v>251</v>
      </c>
      <c r="F1427" s="232"/>
      <c r="G1427" s="231"/>
      <c r="H1427" s="242"/>
      <c r="I1427" s="171"/>
    </row>
    <row r="1428" spans="2:9" ht="15.75" customHeight="1" x14ac:dyDescent="0.25">
      <c r="B1428" s="88" t="s">
        <v>1397</v>
      </c>
      <c r="C1428" s="234"/>
      <c r="D1428" s="234"/>
      <c r="E1428" s="235">
        <v>252</v>
      </c>
      <c r="F1428" s="232"/>
      <c r="G1428" s="231"/>
      <c r="H1428" s="242"/>
      <c r="I1428" s="171"/>
    </row>
    <row r="1429" spans="2:9" ht="15.75" customHeight="1" x14ac:dyDescent="0.25">
      <c r="B1429" s="202" t="s">
        <v>1398</v>
      </c>
      <c r="C1429" s="234"/>
      <c r="D1429" s="234"/>
      <c r="E1429" s="235"/>
      <c r="F1429" s="232" t="s">
        <v>1399</v>
      </c>
      <c r="G1429" s="231"/>
      <c r="H1429" s="242"/>
      <c r="I1429" s="171" t="s">
        <v>10</v>
      </c>
    </row>
    <row r="1430" spans="2:9" ht="15.75" customHeight="1" x14ac:dyDescent="0.25">
      <c r="B1430" s="120" t="s">
        <v>1400</v>
      </c>
      <c r="C1430" s="234"/>
      <c r="D1430" s="234"/>
      <c r="E1430" s="235"/>
      <c r="F1430" s="232" t="s">
        <v>1399</v>
      </c>
      <c r="G1430" s="231"/>
      <c r="H1430" s="242"/>
      <c r="I1430" s="58" t="s">
        <v>10</v>
      </c>
    </row>
    <row r="1431" spans="2:9" ht="15.75" customHeight="1" x14ac:dyDescent="0.25">
      <c r="B1431" s="88" t="s">
        <v>1401</v>
      </c>
      <c r="C1431" s="234"/>
      <c r="D1431" s="234"/>
      <c r="E1431" s="235">
        <v>253</v>
      </c>
      <c r="F1431" s="232"/>
      <c r="G1431" s="231"/>
      <c r="H1431" s="242"/>
      <c r="I1431" s="171"/>
    </row>
    <row r="1432" spans="2:9" ht="15.75" customHeight="1" x14ac:dyDescent="0.25">
      <c r="B1432" s="202" t="s">
        <v>1398</v>
      </c>
      <c r="C1432" s="234"/>
      <c r="D1432" s="234"/>
      <c r="E1432" s="235"/>
      <c r="F1432" s="232" t="s">
        <v>1402</v>
      </c>
      <c r="G1432" s="231"/>
      <c r="H1432" s="242"/>
      <c r="I1432" s="171" t="s">
        <v>10</v>
      </c>
    </row>
    <row r="1433" spans="2:9" ht="15.75" customHeight="1" x14ac:dyDescent="0.25">
      <c r="B1433" s="120" t="s">
        <v>1400</v>
      </c>
      <c r="C1433" s="234"/>
      <c r="D1433" s="234"/>
      <c r="E1433" s="235"/>
      <c r="F1433" s="232" t="s">
        <v>1402</v>
      </c>
      <c r="G1433" s="231"/>
      <c r="H1433" s="242"/>
      <c r="I1433" s="58" t="s">
        <v>10</v>
      </c>
    </row>
    <row r="1434" spans="2:9" ht="15.75" customHeight="1" x14ac:dyDescent="0.25">
      <c r="B1434" s="88" t="s">
        <v>1403</v>
      </c>
      <c r="C1434" s="234"/>
      <c r="D1434" s="234"/>
      <c r="E1434" s="235">
        <v>254</v>
      </c>
      <c r="F1434" s="232"/>
      <c r="G1434" s="231"/>
      <c r="H1434" s="242"/>
      <c r="I1434" s="171"/>
    </row>
    <row r="1435" spans="2:9" ht="15.75" customHeight="1" x14ac:dyDescent="0.25">
      <c r="B1435" s="202" t="s">
        <v>1398</v>
      </c>
      <c r="C1435" s="234"/>
      <c r="D1435" s="234"/>
      <c r="E1435" s="235"/>
      <c r="F1435" s="232" t="s">
        <v>1404</v>
      </c>
      <c r="G1435" s="231"/>
      <c r="H1435" s="242"/>
      <c r="I1435" s="171" t="s">
        <v>10</v>
      </c>
    </row>
    <row r="1436" spans="2:9" ht="15.75" customHeight="1" x14ac:dyDescent="0.25">
      <c r="B1436" s="120" t="s">
        <v>1400</v>
      </c>
      <c r="C1436" s="234"/>
      <c r="D1436" s="234"/>
      <c r="E1436" s="235"/>
      <c r="F1436" s="232" t="s">
        <v>1404</v>
      </c>
      <c r="G1436" s="231"/>
      <c r="H1436" s="242"/>
      <c r="I1436" s="58" t="s">
        <v>10</v>
      </c>
    </row>
    <row r="1437" spans="2:9" ht="15.75" customHeight="1" x14ac:dyDescent="0.25">
      <c r="B1437" s="88" t="s">
        <v>1405</v>
      </c>
      <c r="C1437" s="234"/>
      <c r="D1437" s="234"/>
      <c r="E1437" s="235">
        <v>255</v>
      </c>
      <c r="F1437" s="232"/>
      <c r="G1437" s="231"/>
      <c r="H1437" s="242"/>
      <c r="I1437" s="171"/>
    </row>
    <row r="1438" spans="2:9" ht="15.75" customHeight="1" x14ac:dyDescent="0.25">
      <c r="B1438" s="202" t="s">
        <v>1398</v>
      </c>
      <c r="C1438" s="234"/>
      <c r="D1438" s="234"/>
      <c r="E1438" s="235"/>
      <c r="F1438" s="232" t="s">
        <v>1406</v>
      </c>
      <c r="G1438" s="231"/>
      <c r="H1438" s="242"/>
      <c r="I1438" s="171" t="s">
        <v>10</v>
      </c>
    </row>
    <row r="1439" spans="2:9" ht="15.75" customHeight="1" x14ac:dyDescent="0.25">
      <c r="B1439" s="120" t="s">
        <v>1400</v>
      </c>
      <c r="C1439" s="234"/>
      <c r="D1439" s="234"/>
      <c r="E1439" s="235"/>
      <c r="F1439" s="232" t="s">
        <v>1406</v>
      </c>
      <c r="G1439" s="231"/>
      <c r="H1439" s="242"/>
      <c r="I1439" s="58" t="s">
        <v>10</v>
      </c>
    </row>
    <row r="1440" spans="2:9" ht="15.75" customHeight="1" x14ac:dyDescent="0.25">
      <c r="B1440" s="88" t="s">
        <v>1407</v>
      </c>
      <c r="C1440" s="234"/>
      <c r="D1440" s="234"/>
      <c r="E1440" s="235">
        <v>256</v>
      </c>
      <c r="F1440" s="232"/>
      <c r="G1440" s="231"/>
      <c r="H1440" s="242"/>
      <c r="I1440" s="171"/>
    </row>
    <row r="1441" spans="2:9" ht="15.75" customHeight="1" x14ac:dyDescent="0.25">
      <c r="B1441" s="202" t="s">
        <v>1398</v>
      </c>
      <c r="C1441" s="234"/>
      <c r="D1441" s="234"/>
      <c r="E1441" s="235"/>
      <c r="F1441" s="232" t="s">
        <v>1408</v>
      </c>
      <c r="G1441" s="231"/>
      <c r="H1441" s="242"/>
      <c r="I1441" s="171" t="s">
        <v>10</v>
      </c>
    </row>
    <row r="1442" spans="2:9" ht="15.75" customHeight="1" x14ac:dyDescent="0.25">
      <c r="B1442" s="120" t="s">
        <v>1400</v>
      </c>
      <c r="C1442" s="234"/>
      <c r="D1442" s="234"/>
      <c r="E1442" s="235"/>
      <c r="F1442" s="232" t="s">
        <v>1408</v>
      </c>
      <c r="G1442" s="231"/>
      <c r="H1442" s="242"/>
      <c r="I1442" s="58" t="s">
        <v>10</v>
      </c>
    </row>
    <row r="1443" spans="2:9" ht="15.75" customHeight="1" x14ac:dyDescent="0.25">
      <c r="B1443" s="88" t="s">
        <v>1409</v>
      </c>
      <c r="C1443" s="234"/>
      <c r="D1443" s="234"/>
      <c r="E1443" s="235">
        <v>257</v>
      </c>
      <c r="F1443" s="232"/>
      <c r="G1443" s="231"/>
      <c r="H1443" s="242"/>
      <c r="I1443" s="171"/>
    </row>
    <row r="1444" spans="2:9" ht="15.75" customHeight="1" x14ac:dyDescent="0.25">
      <c r="B1444" s="202" t="s">
        <v>1398</v>
      </c>
      <c r="C1444" s="234"/>
      <c r="D1444" s="234"/>
      <c r="E1444" s="235"/>
      <c r="F1444" s="232" t="s">
        <v>1410</v>
      </c>
      <c r="G1444" s="231"/>
      <c r="H1444" s="242"/>
      <c r="I1444" s="171" t="s">
        <v>826</v>
      </c>
    </row>
    <row r="1445" spans="2:9" ht="15.75" customHeight="1" x14ac:dyDescent="0.25">
      <c r="B1445" s="120" t="s">
        <v>1400</v>
      </c>
      <c r="C1445" s="234"/>
      <c r="D1445" s="234"/>
      <c r="E1445" s="235"/>
      <c r="F1445" s="232" t="s">
        <v>1410</v>
      </c>
      <c r="G1445" s="231"/>
      <c r="H1445" s="242"/>
      <c r="I1445" s="58" t="s">
        <v>826</v>
      </c>
    </row>
    <row r="1446" spans="2:9" ht="15.75" customHeight="1" x14ac:dyDescent="0.25">
      <c r="B1446" s="88" t="s">
        <v>1411</v>
      </c>
      <c r="C1446" s="234"/>
      <c r="D1446" s="234"/>
      <c r="E1446" s="235">
        <v>258</v>
      </c>
      <c r="F1446" s="232"/>
      <c r="G1446" s="231"/>
      <c r="H1446" s="242"/>
      <c r="I1446" s="171"/>
    </row>
    <row r="1447" spans="2:9" ht="15.75" customHeight="1" x14ac:dyDescent="0.25">
      <c r="B1447" s="202" t="s">
        <v>1398</v>
      </c>
      <c r="C1447" s="234"/>
      <c r="D1447" s="234"/>
      <c r="E1447" s="235"/>
      <c r="F1447" s="232" t="s">
        <v>1412</v>
      </c>
      <c r="G1447" s="231"/>
      <c r="H1447" s="242"/>
      <c r="I1447" s="171" t="s">
        <v>10</v>
      </c>
    </row>
    <row r="1448" spans="2:9" ht="15.75" customHeight="1" x14ac:dyDescent="0.25">
      <c r="B1448" s="120" t="s">
        <v>1400</v>
      </c>
      <c r="C1448" s="234"/>
      <c r="D1448" s="234"/>
      <c r="E1448" s="235"/>
      <c r="F1448" s="232" t="s">
        <v>1412</v>
      </c>
      <c r="G1448" s="231"/>
      <c r="H1448" s="242"/>
      <c r="I1448" s="58" t="s">
        <v>10</v>
      </c>
    </row>
    <row r="1449" spans="2:9" ht="15.75" customHeight="1" x14ac:dyDescent="0.25">
      <c r="B1449" s="88" t="s">
        <v>1413</v>
      </c>
      <c r="C1449" s="234"/>
      <c r="D1449" s="234"/>
      <c r="E1449" s="235">
        <v>259</v>
      </c>
      <c r="F1449" s="232"/>
      <c r="G1449" s="231"/>
      <c r="H1449" s="242"/>
      <c r="I1449" s="171"/>
    </row>
    <row r="1450" spans="2:9" ht="15.75" customHeight="1" x14ac:dyDescent="0.25">
      <c r="B1450" s="202" t="s">
        <v>1398</v>
      </c>
      <c r="C1450" s="234"/>
      <c r="D1450" s="234"/>
      <c r="E1450" s="235"/>
      <c r="F1450" s="232" t="s">
        <v>1414</v>
      </c>
      <c r="G1450" s="231"/>
      <c r="H1450" s="242"/>
      <c r="I1450" s="171" t="s">
        <v>826</v>
      </c>
    </row>
    <row r="1451" spans="2:9" ht="15.75" customHeight="1" x14ac:dyDescent="0.25">
      <c r="B1451" s="120" t="s">
        <v>1400</v>
      </c>
      <c r="C1451" s="234"/>
      <c r="D1451" s="234"/>
      <c r="E1451" s="235"/>
      <c r="F1451" s="232" t="s">
        <v>1414</v>
      </c>
      <c r="G1451" s="231"/>
      <c r="H1451" s="242"/>
      <c r="I1451" s="58" t="s">
        <v>826</v>
      </c>
    </row>
    <row r="1452" spans="2:9" x14ac:dyDescent="0.25">
      <c r="B1452" s="41"/>
      <c r="C1452" s="41"/>
      <c r="D1452" s="41"/>
      <c r="E1452" s="41">
        <v>260</v>
      </c>
      <c r="F1452" s="41"/>
      <c r="G1452" s="41"/>
      <c r="H1452" s="41"/>
      <c r="I1452" s="42"/>
    </row>
    <row r="1453" spans="2:9" x14ac:dyDescent="0.25">
      <c r="B1453" s="41"/>
      <c r="C1453" s="41"/>
      <c r="D1453" s="41"/>
      <c r="E1453" s="41">
        <v>261</v>
      </c>
      <c r="F1453" s="41"/>
      <c r="G1453" s="41"/>
      <c r="H1453" s="41"/>
      <c r="I1453" s="42"/>
    </row>
    <row r="1454" spans="2:9" x14ac:dyDescent="0.25">
      <c r="B1454" s="41"/>
      <c r="C1454" s="41"/>
      <c r="D1454" s="41"/>
      <c r="E1454" s="41">
        <v>262</v>
      </c>
      <c r="F1454" s="41"/>
      <c r="G1454" s="41"/>
      <c r="H1454" s="41"/>
      <c r="I1454" s="42"/>
    </row>
    <row r="1455" spans="2:9" ht="15.75" customHeight="1" x14ac:dyDescent="0.25">
      <c r="B1455" s="54" t="s">
        <v>1415</v>
      </c>
      <c r="C1455" s="54"/>
      <c r="D1455" s="54"/>
      <c r="E1455" s="54">
        <v>263</v>
      </c>
      <c r="F1455" s="54"/>
      <c r="G1455" s="54"/>
      <c r="H1455" s="54"/>
      <c r="I1455" s="42"/>
    </row>
  </sheetData>
  <mergeCells count="43">
    <mergeCell ref="B1072:B1073"/>
    <mergeCell ref="B1074:B1075"/>
    <mergeCell ref="B1117:B1118"/>
    <mergeCell ref="B1015:B1016"/>
    <mergeCell ref="B1084:B1085"/>
    <mergeCell ref="B1111:B1112"/>
    <mergeCell ref="B1064:B1065"/>
    <mergeCell ref="B1040:B1041"/>
    <mergeCell ref="B1113:B1114"/>
    <mergeCell ref="B1078:B1079"/>
    <mergeCell ref="B1086:B1087"/>
    <mergeCell ref="B1062:B1063"/>
    <mergeCell ref="B1019:B1020"/>
    <mergeCell ref="B1044:B1045"/>
    <mergeCell ref="B1082:B1083"/>
    <mergeCell ref="C2:H2"/>
    <mergeCell ref="B1005:B1006"/>
    <mergeCell ref="B1068:B1069"/>
    <mergeCell ref="B1017:B1018"/>
    <mergeCell ref="G3:G4"/>
    <mergeCell ref="D3:D4"/>
    <mergeCell ref="B1036:B1037"/>
    <mergeCell ref="B1050:B1051"/>
    <mergeCell ref="B1054:B1055"/>
    <mergeCell ref="B1023:B1024"/>
    <mergeCell ref="F3:F4"/>
    <mergeCell ref="B1013:B1014"/>
    <mergeCell ref="I2:I4"/>
    <mergeCell ref="B1080:B1081"/>
    <mergeCell ref="B1115:B1116"/>
    <mergeCell ref="H3:H4"/>
    <mergeCell ref="B1038:B1039"/>
    <mergeCell ref="B1070:B1071"/>
    <mergeCell ref="B1046:B1047"/>
    <mergeCell ref="B2:B4"/>
    <mergeCell ref="B1076:B1077"/>
    <mergeCell ref="B1052:B1053"/>
    <mergeCell ref="B1066:B1067"/>
    <mergeCell ref="C3:C4"/>
    <mergeCell ref="E3:E4"/>
    <mergeCell ref="B1048:B1049"/>
    <mergeCell ref="B1042:B1043"/>
    <mergeCell ref="B1011:B1012"/>
  </mergeCells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2:M9"/>
  <sheetViews>
    <sheetView workbookViewId="0">
      <selection activeCell="C8" sqref="C8:C9"/>
    </sheetView>
  </sheetViews>
  <sheetFormatPr defaultRowHeight="15" outlineLevelCol="1" x14ac:dyDescent="0.25"/>
  <cols>
    <col min="2" max="2" width="36.5703125" style="261" customWidth="1"/>
    <col min="3" max="3" width="35.28515625" style="261" customWidth="1" outlineLevel="1"/>
    <col min="4" max="4" width="14.140625" style="261" customWidth="1" outlineLevel="1"/>
    <col min="5" max="5" width="12.28515625" style="261" customWidth="1"/>
    <col min="6" max="6" width="21.140625" style="261" customWidth="1"/>
    <col min="7" max="7" width="14.28515625" style="261" customWidth="1"/>
    <col min="8" max="8" width="13" style="261" customWidth="1"/>
    <col min="9" max="9" width="15.5703125" style="261" customWidth="1"/>
    <col min="10" max="10" width="15.140625" style="261" customWidth="1"/>
    <col min="11" max="11" width="11.28515625" style="261" customWidth="1"/>
    <col min="12" max="12" width="30.28515625" style="261" customWidth="1"/>
    <col min="13" max="13" width="21.42578125" style="261" customWidth="1"/>
  </cols>
  <sheetData>
    <row r="2" spans="1:13" ht="25.5" customHeight="1" x14ac:dyDescent="0.25">
      <c r="B2" s="279" t="s">
        <v>0</v>
      </c>
      <c r="C2" s="295" t="s">
        <v>1</v>
      </c>
      <c r="D2" s="288"/>
      <c r="E2" s="294" t="s">
        <v>2</v>
      </c>
      <c r="F2" s="294" t="s">
        <v>1416</v>
      </c>
      <c r="G2" s="294" t="s">
        <v>1417</v>
      </c>
      <c r="H2" s="299" t="s">
        <v>1418</v>
      </c>
      <c r="I2" s="300"/>
      <c r="J2" s="294" t="s">
        <v>1419</v>
      </c>
      <c r="K2" s="294" t="s">
        <v>1420</v>
      </c>
      <c r="L2" s="294" t="s">
        <v>1421</v>
      </c>
      <c r="M2" s="294" t="s">
        <v>1422</v>
      </c>
    </row>
    <row r="3" spans="1:13" ht="15" customHeight="1" x14ac:dyDescent="0.25">
      <c r="B3" s="280"/>
      <c r="C3" s="298" t="s">
        <v>1423</v>
      </c>
      <c r="D3" s="298" t="s">
        <v>1424</v>
      </c>
      <c r="E3" s="271"/>
      <c r="F3" s="271"/>
      <c r="G3" s="271"/>
      <c r="H3" s="301"/>
      <c r="I3" s="302"/>
      <c r="J3" s="271"/>
      <c r="K3" s="271"/>
      <c r="L3" s="271"/>
      <c r="M3" s="271"/>
    </row>
    <row r="4" spans="1:13" ht="15" customHeight="1" x14ac:dyDescent="0.25">
      <c r="B4" s="274"/>
      <c r="C4" s="272"/>
      <c r="D4" s="272"/>
      <c r="E4" s="272"/>
      <c r="F4" s="272"/>
      <c r="G4" s="272"/>
      <c r="H4" s="244" t="s">
        <v>1425</v>
      </c>
      <c r="I4" s="244" t="s">
        <v>1426</v>
      </c>
      <c r="J4" s="272"/>
      <c r="K4" s="272"/>
      <c r="L4" s="272"/>
      <c r="M4" s="272"/>
    </row>
    <row r="6" spans="1:13" x14ac:dyDescent="0.25">
      <c r="A6" s="246" t="s">
        <v>1427</v>
      </c>
      <c r="B6" s="247" t="s">
        <v>1428</v>
      </c>
      <c r="C6" s="237"/>
    </row>
    <row r="7" spans="1:13" x14ac:dyDescent="0.25">
      <c r="B7" s="245" t="s">
        <v>1429</v>
      </c>
      <c r="F7" s="248">
        <v>0.5</v>
      </c>
      <c r="M7" t="s">
        <v>1430</v>
      </c>
    </row>
    <row r="8" spans="1:13" ht="30" customHeight="1" x14ac:dyDescent="0.25">
      <c r="B8" s="245" t="s">
        <v>1431</v>
      </c>
      <c r="C8" s="237" t="s">
        <v>1432</v>
      </c>
      <c r="F8" s="248">
        <v>0.25</v>
      </c>
      <c r="G8" s="250"/>
      <c r="H8" s="249">
        <f>G8*0.95</f>
        <v>0</v>
      </c>
      <c r="I8" s="249">
        <f>G8*1.1</f>
        <v>0</v>
      </c>
      <c r="J8" s="250"/>
      <c r="K8" s="251" t="e">
        <f>G8/J8</f>
        <v>#DIV/0!</v>
      </c>
      <c r="L8" s="296"/>
      <c r="M8" t="s">
        <v>1430</v>
      </c>
    </row>
    <row r="9" spans="1:13" ht="75" customHeight="1" x14ac:dyDescent="0.25">
      <c r="B9" s="245" t="s">
        <v>1433</v>
      </c>
      <c r="C9" s="237" t="s">
        <v>1434</v>
      </c>
      <c r="F9" s="248">
        <v>0.25</v>
      </c>
      <c r="G9" s="250"/>
      <c r="H9" s="249">
        <f>G9*0.95</f>
        <v>0</v>
      </c>
      <c r="I9" s="249">
        <f>G9*1.1</f>
        <v>0</v>
      </c>
      <c r="J9" s="250"/>
      <c r="K9" s="251" t="e">
        <f>G9/J9</f>
        <v>#DIV/0!</v>
      </c>
      <c r="L9" s="297"/>
      <c r="M9" t="s">
        <v>1430</v>
      </c>
    </row>
  </sheetData>
  <mergeCells count="13">
    <mergeCell ref="M2:M4"/>
    <mergeCell ref="B2:B4"/>
    <mergeCell ref="E2:E4"/>
    <mergeCell ref="C2:D2"/>
    <mergeCell ref="L8:L9"/>
    <mergeCell ref="C3:C4"/>
    <mergeCell ref="F2:F4"/>
    <mergeCell ref="H2:I3"/>
    <mergeCell ref="K2:K4"/>
    <mergeCell ref="G2:G4"/>
    <mergeCell ref="J2:J4"/>
    <mergeCell ref="L2:L4"/>
    <mergeCell ref="D3:D4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B2:I16"/>
  <sheetViews>
    <sheetView workbookViewId="0">
      <selection activeCell="F7" sqref="F7"/>
    </sheetView>
  </sheetViews>
  <sheetFormatPr defaultRowHeight="15" outlineLevelCol="1" x14ac:dyDescent="0.25"/>
  <cols>
    <col min="2" max="2" width="66.28515625" style="261" customWidth="1"/>
    <col min="3" max="5" width="22.85546875" style="261" customWidth="1" outlineLevel="1"/>
    <col min="6" max="6" width="31.7109375" style="261" customWidth="1" outlineLevel="1"/>
    <col min="7" max="7" width="14.140625" style="261" customWidth="1" outlineLevel="1"/>
    <col min="8" max="8" width="15.7109375" style="261" customWidth="1" outlineLevel="1"/>
    <col min="9" max="9" width="12.28515625" style="261" customWidth="1"/>
  </cols>
  <sheetData>
    <row r="2" spans="2:9" ht="15.75" customHeight="1" x14ac:dyDescent="0.25">
      <c r="B2" s="279" t="s">
        <v>0</v>
      </c>
      <c r="C2" s="287" t="s">
        <v>1</v>
      </c>
      <c r="D2" s="288"/>
      <c r="E2" s="288"/>
      <c r="F2" s="288"/>
      <c r="G2" s="288"/>
      <c r="H2" s="289"/>
      <c r="I2" s="270" t="s">
        <v>2</v>
      </c>
    </row>
    <row r="3" spans="2:9" x14ac:dyDescent="0.25">
      <c r="B3" s="280"/>
      <c r="C3" s="284" t="s">
        <v>3</v>
      </c>
      <c r="D3" s="276" t="s">
        <v>4</v>
      </c>
      <c r="E3" s="276" t="s">
        <v>5</v>
      </c>
      <c r="F3" s="276" t="s">
        <v>6</v>
      </c>
      <c r="G3" s="276" t="s">
        <v>7</v>
      </c>
      <c r="H3" s="276" t="s">
        <v>8</v>
      </c>
      <c r="I3" s="271"/>
    </row>
    <row r="4" spans="2:9" ht="21" customHeight="1" x14ac:dyDescent="0.25">
      <c r="B4" s="274"/>
      <c r="C4" s="285"/>
      <c r="D4" s="272"/>
      <c r="E4" s="272"/>
      <c r="F4" s="272"/>
      <c r="G4" s="272"/>
      <c r="H4" s="272"/>
      <c r="I4" s="272"/>
    </row>
    <row r="6" spans="2:9" x14ac:dyDescent="0.25">
      <c r="C6" s="234"/>
      <c r="D6" s="234"/>
      <c r="E6" s="235"/>
      <c r="F6" s="232" t="s">
        <v>1435</v>
      </c>
      <c r="G6" s="231"/>
      <c r="H6" s="242"/>
    </row>
    <row r="7" spans="2:9" x14ac:dyDescent="0.25">
      <c r="C7" s="234"/>
      <c r="D7" s="234"/>
      <c r="E7" s="235">
        <v>1</v>
      </c>
      <c r="F7" s="232"/>
      <c r="G7" s="231"/>
      <c r="H7" s="242"/>
    </row>
    <row r="8" spans="2:9" x14ac:dyDescent="0.25">
      <c r="C8" s="234"/>
      <c r="D8" s="234"/>
      <c r="E8" s="235">
        <v>2</v>
      </c>
      <c r="F8" s="232"/>
      <c r="G8" s="231"/>
      <c r="H8" s="242"/>
    </row>
    <row r="9" spans="2:9" x14ac:dyDescent="0.25">
      <c r="C9" s="234"/>
      <c r="D9" s="234"/>
      <c r="E9" s="235"/>
      <c r="F9" s="232" t="e">
        <f>F10+F11+1000</f>
        <v>#VALUE!</v>
      </c>
      <c r="G9" s="231"/>
      <c r="H9" s="242"/>
    </row>
    <row r="10" spans="2:9" x14ac:dyDescent="0.25">
      <c r="C10" s="234"/>
      <c r="D10" s="234"/>
      <c r="E10" s="235"/>
      <c r="F10" s="232" t="s">
        <v>1436</v>
      </c>
      <c r="G10" s="231"/>
      <c r="H10" s="242"/>
    </row>
    <row r="11" spans="2:9" x14ac:dyDescent="0.25">
      <c r="C11" s="234"/>
      <c r="D11" s="234"/>
      <c r="E11" s="235"/>
      <c r="F11" s="232" t="s">
        <v>1437</v>
      </c>
      <c r="G11" s="231"/>
      <c r="H11" s="242"/>
    </row>
    <row r="12" spans="2:9" x14ac:dyDescent="0.25">
      <c r="C12" s="234"/>
      <c r="D12" s="234"/>
      <c r="E12" s="235"/>
      <c r="F12" s="232" t="s">
        <v>1438</v>
      </c>
      <c r="G12" s="231"/>
      <c r="H12" s="242"/>
    </row>
    <row r="13" spans="2:9" x14ac:dyDescent="0.25">
      <c r="C13" s="234"/>
      <c r="D13" s="234"/>
      <c r="E13" s="235">
        <v>3</v>
      </c>
      <c r="F13" s="232"/>
      <c r="G13" s="231"/>
      <c r="H13" s="242"/>
    </row>
    <row r="14" spans="2:9" x14ac:dyDescent="0.25">
      <c r="C14" s="234"/>
      <c r="D14" s="234"/>
      <c r="E14" s="235">
        <v>4</v>
      </c>
      <c r="F14" s="232"/>
      <c r="G14" s="231"/>
      <c r="H14" s="242"/>
    </row>
    <row r="15" spans="2:9" x14ac:dyDescent="0.25">
      <c r="C15" s="234"/>
      <c r="D15" s="234"/>
      <c r="E15" s="235">
        <v>5</v>
      </c>
      <c r="F15" s="232"/>
      <c r="G15" s="231"/>
      <c r="H15" s="242"/>
    </row>
    <row r="16" spans="2:9" ht="25.5" customHeight="1" x14ac:dyDescent="0.25">
      <c r="C16" s="234"/>
      <c r="D16" s="234"/>
      <c r="E16" s="235"/>
      <c r="F16" s="232" t="s">
        <v>1439</v>
      </c>
      <c r="G16" s="231"/>
      <c r="H16" s="242"/>
    </row>
  </sheetData>
  <mergeCells count="9">
    <mergeCell ref="B2:B4"/>
    <mergeCell ref="I2:I4"/>
    <mergeCell ref="C2:H2"/>
    <mergeCell ref="C3:C4"/>
    <mergeCell ref="G3:G4"/>
    <mergeCell ref="E3:E4"/>
    <mergeCell ref="H3:H4"/>
    <mergeCell ref="F3:F4"/>
    <mergeCell ref="D3:D4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2:P84"/>
  <sheetViews>
    <sheetView tabSelected="1" topLeftCell="A16" workbookViewId="0">
      <selection activeCell="A25" sqref="A25:XFD25"/>
    </sheetView>
  </sheetViews>
  <sheetFormatPr defaultRowHeight="15" outlineLevelCol="1" x14ac:dyDescent="0.25"/>
  <cols>
    <col min="1" max="1" width="14.42578125" style="261" bestFit="1" customWidth="1"/>
    <col min="2" max="2" width="77.7109375" style="261" customWidth="1"/>
    <col min="3" max="3" width="15.85546875" style="212" customWidth="1" outlineLevel="1"/>
    <col min="4" max="4" width="11.85546875" style="212" customWidth="1" outlineLevel="1"/>
    <col min="5" max="5" width="10.5703125" style="212" customWidth="1" outlineLevel="1"/>
    <col min="6" max="6" width="20.85546875" style="212" customWidth="1" outlineLevel="1"/>
    <col min="7" max="7" width="43.28515625" style="212" customWidth="1" outlineLevel="1"/>
    <col min="8" max="8" width="23.42578125" style="212" customWidth="1" outlineLevel="1"/>
    <col min="9" max="9" width="19.7109375" style="261" customWidth="1"/>
    <col min="10" max="11" width="8.42578125" style="261" customWidth="1"/>
    <col min="12" max="12" width="8.42578125" style="261" customWidth="1" collapsed="1"/>
    <col min="13" max="13" width="8.42578125" style="261" customWidth="1"/>
    <col min="14" max="14" width="8.42578125" style="261" customWidth="1" collapsed="1"/>
    <col min="16" max="16" width="8.42578125" style="261" customWidth="1"/>
  </cols>
  <sheetData>
    <row r="2" spans="1:9" ht="18.75" customHeight="1" x14ac:dyDescent="0.25">
      <c r="A2" s="311" t="s">
        <v>1440</v>
      </c>
      <c r="B2" s="308" t="s">
        <v>0</v>
      </c>
      <c r="C2" s="287" t="s">
        <v>1</v>
      </c>
      <c r="D2" s="288"/>
      <c r="E2" s="288"/>
      <c r="F2" s="288"/>
      <c r="G2" s="288"/>
      <c r="H2" s="289"/>
      <c r="I2" s="270" t="s">
        <v>2</v>
      </c>
    </row>
    <row r="3" spans="1:9" ht="18.75" customHeight="1" x14ac:dyDescent="0.25">
      <c r="A3" s="271"/>
      <c r="B3" s="280"/>
      <c r="C3" s="284" t="s">
        <v>3</v>
      </c>
      <c r="D3" s="276" t="s">
        <v>4</v>
      </c>
      <c r="E3" s="276" t="s">
        <v>5</v>
      </c>
      <c r="F3" s="276" t="s">
        <v>6</v>
      </c>
      <c r="G3" s="276" t="s">
        <v>7</v>
      </c>
      <c r="H3" s="276" t="s">
        <v>8</v>
      </c>
      <c r="I3" s="271"/>
    </row>
    <row r="4" spans="1:9" ht="18.75" customHeight="1" x14ac:dyDescent="0.25">
      <c r="A4" s="272"/>
      <c r="B4" s="274"/>
      <c r="C4" s="285"/>
      <c r="D4" s="272"/>
      <c r="E4" s="272"/>
      <c r="F4" s="272"/>
      <c r="G4" s="272"/>
      <c r="H4" s="272"/>
      <c r="I4" s="272"/>
    </row>
    <row r="5" spans="1:9" ht="18.75" customHeight="1" x14ac:dyDescent="0.25">
      <c r="A5" s="35"/>
      <c r="B5" s="211"/>
      <c r="C5" s="215"/>
      <c r="D5" s="215"/>
      <c r="E5" s="215"/>
      <c r="F5" s="216"/>
      <c r="G5" s="216"/>
      <c r="H5" s="216"/>
      <c r="I5" s="210"/>
    </row>
    <row r="6" spans="1:9" ht="37.5" customHeight="1" x14ac:dyDescent="0.25">
      <c r="A6" s="1">
        <v>1</v>
      </c>
      <c r="B6" s="217" t="s">
        <v>1441</v>
      </c>
      <c r="C6" s="234" t="s">
        <v>1442</v>
      </c>
      <c r="D6" s="234"/>
      <c r="E6" s="235"/>
      <c r="F6" s="232" t="s">
        <v>1443</v>
      </c>
      <c r="G6" s="231" t="s">
        <v>1444</v>
      </c>
      <c r="H6" s="242" t="s">
        <v>1445</v>
      </c>
      <c r="I6" s="257"/>
    </row>
    <row r="7" spans="1:9" x14ac:dyDescent="0.25">
      <c r="A7" s="304" t="s">
        <v>1446</v>
      </c>
      <c r="B7" s="305" t="s">
        <v>1447</v>
      </c>
      <c r="C7" s="234" t="s">
        <v>1448</v>
      </c>
      <c r="D7" s="234"/>
      <c r="E7" s="235"/>
      <c r="F7" s="232"/>
      <c r="G7" s="236"/>
      <c r="H7" s="243"/>
      <c r="I7" s="257"/>
    </row>
    <row r="8" spans="1:9" ht="25.5" customHeight="1" x14ac:dyDescent="0.25">
      <c r="A8" s="271"/>
      <c r="B8" s="271"/>
      <c r="C8" s="234" t="s">
        <v>1449</v>
      </c>
      <c r="D8" s="234"/>
      <c r="E8" s="235"/>
      <c r="F8" s="232"/>
      <c r="G8" s="231" t="s">
        <v>1450</v>
      </c>
      <c r="H8" s="242" t="s">
        <v>1451</v>
      </c>
      <c r="I8" s="257"/>
    </row>
    <row r="9" spans="1:9" ht="56.25" customHeight="1" x14ac:dyDescent="0.25">
      <c r="A9" s="264" t="s">
        <v>1452</v>
      </c>
      <c r="B9" s="263" t="s">
        <v>1453</v>
      </c>
      <c r="C9" s="234" t="s">
        <v>1454</v>
      </c>
      <c r="D9" s="234"/>
      <c r="E9" s="235"/>
      <c r="F9" s="232"/>
      <c r="G9" s="236"/>
      <c r="H9" s="243"/>
      <c r="I9" s="257"/>
    </row>
    <row r="10" spans="1:9" ht="39" customHeight="1" x14ac:dyDescent="0.25">
      <c r="A10" s="264"/>
      <c r="B10" s="218" t="s">
        <v>1455</v>
      </c>
      <c r="C10" s="234" t="s">
        <v>1456</v>
      </c>
      <c r="D10" s="234"/>
      <c r="E10" s="235"/>
      <c r="F10" s="233" t="s">
        <v>1436</v>
      </c>
      <c r="G10" s="236"/>
      <c r="H10" s="243"/>
      <c r="I10" s="257"/>
    </row>
    <row r="11" spans="1:9" ht="18.75" customHeight="1" x14ac:dyDescent="0.25">
      <c r="A11" s="264"/>
      <c r="B11" s="219" t="s">
        <v>1457</v>
      </c>
      <c r="C11" s="234" t="s">
        <v>1458</v>
      </c>
      <c r="D11" s="234"/>
      <c r="E11" s="235"/>
      <c r="F11" s="232"/>
      <c r="G11" s="236" t="s">
        <v>1459</v>
      </c>
      <c r="H11" s="243"/>
      <c r="I11" s="257"/>
    </row>
    <row r="12" spans="1:9" ht="37.5" customHeight="1" x14ac:dyDescent="0.25">
      <c r="A12" s="8" t="s">
        <v>1460</v>
      </c>
      <c r="B12" s="263" t="s">
        <v>1461</v>
      </c>
      <c r="C12" s="234" t="s">
        <v>1462</v>
      </c>
      <c r="D12" s="234"/>
      <c r="E12" s="235"/>
      <c r="F12" s="232" t="s">
        <v>1438</v>
      </c>
      <c r="G12" s="236" t="s">
        <v>1463</v>
      </c>
      <c r="H12" s="243"/>
      <c r="I12" s="257"/>
    </row>
    <row r="13" spans="1:9" x14ac:dyDescent="0.25">
      <c r="A13" s="307" t="s">
        <v>1464</v>
      </c>
      <c r="B13" s="310" t="s">
        <v>1465</v>
      </c>
      <c r="C13" s="234" t="s">
        <v>1466</v>
      </c>
      <c r="D13" s="234"/>
      <c r="E13" s="235"/>
      <c r="F13" s="232"/>
      <c r="G13" s="236"/>
      <c r="H13" s="243"/>
      <c r="I13" s="257"/>
    </row>
    <row r="14" spans="1:9" x14ac:dyDescent="0.25">
      <c r="A14" s="271"/>
      <c r="B14" s="271"/>
      <c r="C14" s="234" t="s">
        <v>1467</v>
      </c>
      <c r="D14" s="234"/>
      <c r="E14" s="235"/>
      <c r="F14" s="232"/>
      <c r="G14" s="236"/>
      <c r="H14" s="243"/>
      <c r="I14" s="257"/>
    </row>
    <row r="15" spans="1:9" ht="18.75" customHeight="1" x14ac:dyDescent="0.25">
      <c r="A15" s="268" t="s">
        <v>1468</v>
      </c>
      <c r="B15" s="265" t="s">
        <v>1469</v>
      </c>
      <c r="C15" s="234" t="s">
        <v>1470</v>
      </c>
      <c r="D15" s="234"/>
      <c r="E15" s="235"/>
      <c r="F15" s="232"/>
      <c r="G15" s="236"/>
      <c r="H15" s="243"/>
      <c r="I15" s="257"/>
    </row>
    <row r="16" spans="1:9" ht="37.5" customHeight="1" x14ac:dyDescent="0.25">
      <c r="A16" s="264" t="s">
        <v>1471</v>
      </c>
      <c r="B16" s="263" t="s">
        <v>1472</v>
      </c>
      <c r="C16" s="234" t="s">
        <v>1473</v>
      </c>
      <c r="D16" s="234"/>
      <c r="E16" s="235"/>
      <c r="F16" s="232" t="s">
        <v>1439</v>
      </c>
      <c r="G16" s="236"/>
      <c r="H16" s="243"/>
      <c r="I16" s="257"/>
    </row>
    <row r="17" spans="1:9" x14ac:dyDescent="0.25">
      <c r="A17" s="304" t="s">
        <v>1474</v>
      </c>
      <c r="B17" s="309" t="s">
        <v>1475</v>
      </c>
      <c r="C17" s="234" t="s">
        <v>1476</v>
      </c>
      <c r="D17" s="234"/>
      <c r="E17" s="235"/>
      <c r="F17" s="232"/>
      <c r="G17" s="236"/>
      <c r="H17" s="243"/>
      <c r="I17" s="257"/>
    </row>
    <row r="18" spans="1:9" x14ac:dyDescent="0.25">
      <c r="A18" s="271"/>
      <c r="B18" s="271"/>
      <c r="C18" s="234" t="s">
        <v>1477</v>
      </c>
      <c r="D18" s="234"/>
      <c r="E18" s="235"/>
      <c r="F18" s="232"/>
      <c r="G18" s="236"/>
      <c r="H18" s="243"/>
      <c r="I18" s="257"/>
    </row>
    <row r="19" spans="1:9" ht="56.25" customHeight="1" x14ac:dyDescent="0.3">
      <c r="A19" s="264" t="s">
        <v>1478</v>
      </c>
      <c r="B19" s="220" t="s">
        <v>1479</v>
      </c>
      <c r="C19" s="234" t="s">
        <v>1480</v>
      </c>
      <c r="D19" s="234"/>
      <c r="E19" s="235"/>
      <c r="F19" s="232"/>
      <c r="G19" s="236"/>
      <c r="H19" s="243"/>
      <c r="I19" s="257"/>
    </row>
    <row r="20" spans="1:9" ht="18.75" customHeight="1" x14ac:dyDescent="0.25">
      <c r="A20" s="8" t="s">
        <v>1481</v>
      </c>
      <c r="B20" s="267" t="s">
        <v>1482</v>
      </c>
      <c r="C20" s="234" t="s">
        <v>1483</v>
      </c>
      <c r="D20" s="234"/>
      <c r="E20" s="235"/>
      <c r="F20" s="232"/>
      <c r="G20" s="236"/>
      <c r="H20" s="243"/>
      <c r="I20" s="257"/>
    </row>
    <row r="21" spans="1:9" ht="37.5" customHeight="1" x14ac:dyDescent="0.25">
      <c r="A21" s="268" t="s">
        <v>1484</v>
      </c>
      <c r="B21" s="221" t="s">
        <v>1485</v>
      </c>
      <c r="C21" s="234" t="s">
        <v>1486</v>
      </c>
      <c r="D21" s="234"/>
      <c r="E21" s="235"/>
      <c r="F21" s="232" t="s">
        <v>1487</v>
      </c>
      <c r="G21" s="236"/>
      <c r="H21" s="243"/>
      <c r="I21" s="257"/>
    </row>
    <row r="22" spans="1:9" ht="18.75" customHeight="1" x14ac:dyDescent="0.3">
      <c r="A22" s="268" t="s">
        <v>1488</v>
      </c>
      <c r="B22" s="222" t="s">
        <v>1489</v>
      </c>
      <c r="C22" s="234" t="s">
        <v>1490</v>
      </c>
      <c r="D22" s="234"/>
      <c r="E22" s="235"/>
      <c r="F22" s="232"/>
      <c r="G22" s="236"/>
      <c r="H22" s="243"/>
      <c r="I22" s="257"/>
    </row>
    <row r="23" spans="1:9" ht="37.5" customHeight="1" x14ac:dyDescent="0.25">
      <c r="A23" s="268" t="s">
        <v>1491</v>
      </c>
      <c r="B23" s="221" t="s">
        <v>1492</v>
      </c>
      <c r="C23" s="234" t="s">
        <v>1493</v>
      </c>
      <c r="D23" s="234"/>
      <c r="E23" s="235"/>
      <c r="F23" s="232"/>
      <c r="G23" s="236"/>
      <c r="H23" s="243"/>
      <c r="I23" s="257"/>
    </row>
    <row r="24" spans="1:9" ht="18.75" customHeight="1" x14ac:dyDescent="0.25">
      <c r="A24" s="268" t="s">
        <v>1494</v>
      </c>
      <c r="B24" s="221" t="s">
        <v>1495</v>
      </c>
      <c r="C24" s="234" t="s">
        <v>1496</v>
      </c>
      <c r="D24" s="234"/>
      <c r="E24" s="235"/>
      <c r="F24" s="232"/>
      <c r="G24" s="236"/>
      <c r="H24" s="243"/>
      <c r="I24" s="257"/>
    </row>
    <row r="25" spans="1:9" ht="19.5" customHeight="1" x14ac:dyDescent="0.25">
      <c r="A25" s="266"/>
      <c r="B25" s="223" t="s">
        <v>815</v>
      </c>
      <c r="C25" s="234"/>
      <c r="D25" s="234"/>
      <c r="E25" s="235">
        <v>1</v>
      </c>
      <c r="F25" s="232"/>
      <c r="G25" s="236"/>
      <c r="H25" s="243"/>
      <c r="I25" s="257"/>
    </row>
    <row r="26" spans="1:9" ht="39" customHeight="1" x14ac:dyDescent="0.25">
      <c r="A26" s="6">
        <v>3</v>
      </c>
      <c r="B26" s="223" t="s">
        <v>1497</v>
      </c>
      <c r="C26" s="234" t="s">
        <v>1498</v>
      </c>
      <c r="D26" s="234"/>
      <c r="E26" s="235"/>
      <c r="F26" s="232"/>
      <c r="G26" s="236"/>
      <c r="H26" s="243"/>
      <c r="I26" s="257"/>
    </row>
    <row r="27" spans="1:9" ht="18.75" customHeight="1" x14ac:dyDescent="0.25">
      <c r="A27" s="14" t="s">
        <v>1499</v>
      </c>
      <c r="B27" s="224" t="s">
        <v>1367</v>
      </c>
      <c r="C27" s="234" t="s">
        <v>1500</v>
      </c>
      <c r="D27" s="234"/>
      <c r="E27" s="235"/>
      <c r="F27" s="232"/>
      <c r="G27" s="236"/>
      <c r="H27" s="243"/>
      <c r="I27" s="257"/>
    </row>
    <row r="28" spans="1:9" ht="18.75" customHeight="1" x14ac:dyDescent="0.3">
      <c r="A28" s="14" t="s">
        <v>1501</v>
      </c>
      <c r="B28" s="24" t="s">
        <v>1502</v>
      </c>
      <c r="C28" s="234"/>
      <c r="D28" s="234"/>
      <c r="E28" s="235">
        <v>6</v>
      </c>
      <c r="F28" s="232"/>
      <c r="G28" s="236"/>
      <c r="H28" s="243"/>
      <c r="I28" s="257"/>
    </row>
    <row r="29" spans="1:9" ht="37.5" customHeight="1" x14ac:dyDescent="0.25">
      <c r="A29" s="4">
        <v>4</v>
      </c>
      <c r="B29" s="267" t="s">
        <v>1503</v>
      </c>
      <c r="C29" s="234" t="s">
        <v>1504</v>
      </c>
      <c r="D29" s="234"/>
      <c r="E29" s="235"/>
      <c r="F29" s="232"/>
      <c r="G29" s="236"/>
      <c r="H29" s="243"/>
      <c r="I29" s="257"/>
    </row>
    <row r="30" spans="1:9" x14ac:dyDescent="0.25">
      <c r="A30" s="304" t="s">
        <v>1505</v>
      </c>
      <c r="B30" s="309" t="s">
        <v>1506</v>
      </c>
      <c r="C30" s="234" t="s">
        <v>1507</v>
      </c>
      <c r="D30" s="234"/>
      <c r="E30" s="235"/>
      <c r="F30" s="232"/>
      <c r="G30" s="236"/>
      <c r="H30" s="243"/>
      <c r="I30" s="257"/>
    </row>
    <row r="31" spans="1:9" x14ac:dyDescent="0.25">
      <c r="A31" s="271"/>
      <c r="B31" s="271"/>
      <c r="C31" s="234" t="s">
        <v>1508</v>
      </c>
      <c r="D31" s="234"/>
      <c r="E31" s="235"/>
      <c r="F31" s="232"/>
      <c r="G31" s="236"/>
      <c r="H31" s="243"/>
      <c r="I31" s="257"/>
    </row>
    <row r="32" spans="1:9" x14ac:dyDescent="0.25">
      <c r="A32" s="303" t="s">
        <v>1509</v>
      </c>
      <c r="B32" s="306" t="s">
        <v>1510</v>
      </c>
      <c r="C32" s="234" t="s">
        <v>1511</v>
      </c>
      <c r="D32" s="234"/>
      <c r="E32" s="235"/>
      <c r="F32" s="232"/>
      <c r="G32" s="236"/>
      <c r="H32" s="243"/>
      <c r="I32" s="257"/>
    </row>
    <row r="33" spans="1:9" x14ac:dyDescent="0.25">
      <c r="A33" s="271"/>
      <c r="B33" s="271"/>
      <c r="C33" s="234" t="s">
        <v>1512</v>
      </c>
      <c r="D33" s="234"/>
      <c r="E33" s="235"/>
      <c r="F33" s="232"/>
      <c r="G33" s="236"/>
      <c r="H33" s="243"/>
      <c r="I33" s="257"/>
    </row>
    <row r="34" spans="1:9" ht="18.75" customHeight="1" x14ac:dyDescent="0.25">
      <c r="A34" s="266" t="s">
        <v>1513</v>
      </c>
      <c r="B34" s="306" t="s">
        <v>1514</v>
      </c>
      <c r="C34" s="234" t="s">
        <v>1515</v>
      </c>
      <c r="D34" s="234"/>
      <c r="E34" s="235"/>
      <c r="F34" s="232"/>
      <c r="G34" s="236"/>
      <c r="H34" s="243"/>
      <c r="I34" s="257"/>
    </row>
    <row r="35" spans="1:9" ht="18.75" customHeight="1" x14ac:dyDescent="0.25">
      <c r="A35" s="266"/>
      <c r="B35" s="271"/>
      <c r="C35" s="234" t="s">
        <v>1516</v>
      </c>
      <c r="D35" s="234"/>
      <c r="E35" s="235"/>
      <c r="F35" s="232"/>
      <c r="G35" s="236"/>
      <c r="H35" s="243"/>
      <c r="I35" s="257"/>
    </row>
    <row r="36" spans="1:9" ht="18.75" customHeight="1" x14ac:dyDescent="0.25">
      <c r="A36" s="266" t="s">
        <v>1517</v>
      </c>
      <c r="B36" s="306" t="s">
        <v>1518</v>
      </c>
      <c r="C36" s="234" t="s">
        <v>1519</v>
      </c>
      <c r="D36" s="234"/>
      <c r="E36" s="235"/>
      <c r="F36" s="232"/>
      <c r="G36" s="236"/>
      <c r="H36" s="243"/>
      <c r="I36" s="257"/>
    </row>
    <row r="37" spans="1:9" ht="18.75" customHeight="1" x14ac:dyDescent="0.25">
      <c r="A37" s="266"/>
      <c r="B37" s="271"/>
      <c r="C37" s="234" t="s">
        <v>1520</v>
      </c>
      <c r="D37" s="234"/>
      <c r="E37" s="235"/>
      <c r="F37" s="232"/>
      <c r="G37" s="236"/>
      <c r="H37" s="243"/>
      <c r="I37" s="257"/>
    </row>
    <row r="38" spans="1:9" ht="18.75" customHeight="1" x14ac:dyDescent="0.25">
      <c r="A38" s="264" t="s">
        <v>1521</v>
      </c>
      <c r="B38" s="267" t="s">
        <v>1522</v>
      </c>
      <c r="C38" s="234" t="s">
        <v>1523</v>
      </c>
      <c r="D38" s="234"/>
      <c r="E38" s="235"/>
      <c r="F38" s="232"/>
      <c r="G38" s="236"/>
      <c r="H38" s="243"/>
      <c r="I38" s="257"/>
    </row>
    <row r="39" spans="1:9" ht="18.75" customHeight="1" x14ac:dyDescent="0.3">
      <c r="A39" s="266" t="s">
        <v>1524</v>
      </c>
      <c r="B39" s="225" t="s">
        <v>1525</v>
      </c>
      <c r="C39" s="234" t="s">
        <v>1526</v>
      </c>
      <c r="D39" s="234"/>
      <c r="E39" s="235"/>
      <c r="F39" s="232"/>
      <c r="G39" s="236"/>
      <c r="H39" s="243"/>
      <c r="I39" s="257"/>
    </row>
    <row r="40" spans="1:9" ht="18.75" customHeight="1" x14ac:dyDescent="0.3">
      <c r="A40" s="266" t="s">
        <v>1527</v>
      </c>
      <c r="B40" s="222" t="s">
        <v>394</v>
      </c>
      <c r="C40" s="234" t="s">
        <v>1528</v>
      </c>
      <c r="D40" s="234"/>
      <c r="E40" s="235"/>
      <c r="F40" s="232"/>
      <c r="G40" s="236"/>
      <c r="H40" s="243"/>
      <c r="I40" s="257"/>
    </row>
    <row r="41" spans="1:9" ht="18.75" customHeight="1" x14ac:dyDescent="0.3">
      <c r="A41" s="266" t="s">
        <v>1529</v>
      </c>
      <c r="B41" s="222" t="s">
        <v>396</v>
      </c>
      <c r="C41" s="234" t="s">
        <v>1530</v>
      </c>
      <c r="D41" s="234"/>
      <c r="E41" s="235"/>
      <c r="F41" s="232"/>
      <c r="G41" s="236"/>
      <c r="H41" s="243"/>
      <c r="I41" s="257"/>
    </row>
    <row r="42" spans="1:9" ht="18.75" customHeight="1" x14ac:dyDescent="0.3">
      <c r="A42" s="266" t="s">
        <v>1531</v>
      </c>
      <c r="B42" s="222" t="s">
        <v>403</v>
      </c>
      <c r="C42" s="234" t="s">
        <v>1532</v>
      </c>
      <c r="D42" s="234"/>
      <c r="E42" s="235"/>
      <c r="F42" s="232"/>
      <c r="G42" s="236"/>
      <c r="H42" s="243"/>
      <c r="I42" s="257"/>
    </row>
    <row r="43" spans="1:9" ht="18.75" customHeight="1" x14ac:dyDescent="0.3">
      <c r="A43" s="266" t="s">
        <v>1533</v>
      </c>
      <c r="B43" s="222" t="s">
        <v>1534</v>
      </c>
      <c r="C43" s="234" t="s">
        <v>1535</v>
      </c>
      <c r="D43" s="234"/>
      <c r="E43" s="235"/>
      <c r="F43" s="232"/>
      <c r="G43" s="236"/>
      <c r="H43" s="243"/>
      <c r="I43" s="257"/>
    </row>
    <row r="44" spans="1:9" ht="18.75" customHeight="1" x14ac:dyDescent="0.3">
      <c r="A44" s="266" t="s">
        <v>1536</v>
      </c>
      <c r="B44" s="222" t="s">
        <v>405</v>
      </c>
      <c r="C44" s="234" t="s">
        <v>1537</v>
      </c>
      <c r="D44" s="234"/>
      <c r="E44" s="235"/>
      <c r="F44" s="232"/>
      <c r="G44" s="236"/>
      <c r="H44" s="243"/>
      <c r="I44" s="257"/>
    </row>
    <row r="45" spans="1:9" ht="19.5" customHeight="1" x14ac:dyDescent="0.25">
      <c r="A45" s="266"/>
      <c r="B45" s="223" t="s">
        <v>815</v>
      </c>
      <c r="C45" s="234"/>
      <c r="D45" s="234"/>
      <c r="E45" s="235">
        <v>2</v>
      </c>
      <c r="F45" s="232"/>
      <c r="G45" s="236"/>
      <c r="H45" s="243"/>
      <c r="I45" s="257"/>
    </row>
    <row r="46" spans="1:9" ht="18.75" customHeight="1" x14ac:dyDescent="0.25">
      <c r="A46" s="266"/>
      <c r="B46" s="226" t="s">
        <v>1538</v>
      </c>
      <c r="C46" s="234" t="s">
        <v>1539</v>
      </c>
      <c r="D46" s="234"/>
      <c r="E46" s="235"/>
      <c r="F46" s="232"/>
      <c r="G46" s="236"/>
      <c r="H46" s="243"/>
      <c r="I46" s="257"/>
    </row>
    <row r="47" spans="1:9" ht="18.75" customHeight="1" x14ac:dyDescent="0.25">
      <c r="A47" s="266"/>
      <c r="B47" s="226" t="s">
        <v>1540</v>
      </c>
      <c r="C47" s="234" t="s">
        <v>1541</v>
      </c>
      <c r="D47" s="234"/>
      <c r="E47" s="235"/>
      <c r="F47" s="232"/>
      <c r="G47" s="236"/>
      <c r="H47" s="243"/>
      <c r="I47" s="257"/>
    </row>
    <row r="48" spans="1:9" ht="18.75" customHeight="1" x14ac:dyDescent="0.25">
      <c r="A48" s="266"/>
      <c r="B48" s="226" t="s">
        <v>1542</v>
      </c>
      <c r="C48" s="234" t="s">
        <v>1543</v>
      </c>
      <c r="D48" s="234"/>
      <c r="E48" s="235"/>
      <c r="F48" s="232"/>
      <c r="G48" s="236"/>
      <c r="H48" s="243"/>
      <c r="I48" s="257"/>
    </row>
    <row r="49" spans="1:9" ht="18.75" customHeight="1" x14ac:dyDescent="0.3">
      <c r="A49" s="264" t="s">
        <v>1544</v>
      </c>
      <c r="B49" s="227" t="s">
        <v>1545</v>
      </c>
      <c r="C49" s="234" t="s">
        <v>1546</v>
      </c>
      <c r="D49" s="234"/>
      <c r="E49" s="235"/>
      <c r="F49" s="232"/>
      <c r="G49" s="236"/>
      <c r="H49" s="243"/>
      <c r="I49" s="257"/>
    </row>
    <row r="50" spans="1:9" ht="18.75" customHeight="1" x14ac:dyDescent="0.3">
      <c r="A50" s="266" t="s">
        <v>1547</v>
      </c>
      <c r="B50" s="225" t="s">
        <v>1548</v>
      </c>
      <c r="C50" s="234" t="s">
        <v>1549</v>
      </c>
      <c r="D50" s="234"/>
      <c r="E50" s="235"/>
      <c r="F50" s="232"/>
      <c r="G50" s="236"/>
      <c r="H50" s="243"/>
      <c r="I50" s="257"/>
    </row>
    <row r="51" spans="1:9" ht="18.75" customHeight="1" x14ac:dyDescent="0.3">
      <c r="A51" s="14"/>
      <c r="B51" s="228" t="s">
        <v>1550</v>
      </c>
      <c r="C51" s="234" t="s">
        <v>1551</v>
      </c>
      <c r="D51" s="234"/>
      <c r="E51" s="235"/>
      <c r="F51" s="232"/>
      <c r="G51" s="236"/>
      <c r="H51" s="243"/>
      <c r="I51" s="257"/>
    </row>
    <row r="52" spans="1:9" ht="19.5" customHeight="1" x14ac:dyDescent="0.35">
      <c r="A52" s="22"/>
      <c r="B52" s="23" t="s">
        <v>815</v>
      </c>
      <c r="C52" s="234"/>
      <c r="D52" s="234"/>
      <c r="E52" s="235">
        <v>3</v>
      </c>
      <c r="F52" s="232"/>
      <c r="G52" s="236"/>
      <c r="H52" s="243"/>
      <c r="I52" s="257"/>
    </row>
    <row r="53" spans="1:9" ht="18.75" customHeight="1" x14ac:dyDescent="0.3">
      <c r="A53" s="22"/>
      <c r="B53" s="24" t="s">
        <v>1552</v>
      </c>
      <c r="C53" s="234" t="s">
        <v>1553</v>
      </c>
      <c r="D53" s="234"/>
      <c r="E53" s="235"/>
      <c r="F53" s="232"/>
      <c r="G53" s="236"/>
      <c r="H53" s="243"/>
      <c r="I53" s="257"/>
    </row>
    <row r="54" spans="1:9" ht="18.75" customHeight="1" x14ac:dyDescent="0.3">
      <c r="A54" s="25"/>
      <c r="B54" s="24" t="s">
        <v>1554</v>
      </c>
      <c r="C54" s="234" t="s">
        <v>1555</v>
      </c>
      <c r="D54" s="234"/>
      <c r="E54" s="235"/>
      <c r="F54" s="232"/>
      <c r="G54" s="236"/>
      <c r="H54" s="243"/>
      <c r="I54" s="257"/>
    </row>
    <row r="55" spans="1:9" ht="18.75" customHeight="1" x14ac:dyDescent="0.3">
      <c r="A55" s="25"/>
      <c r="B55" s="26" t="s">
        <v>1550</v>
      </c>
      <c r="C55" s="234" t="s">
        <v>1556</v>
      </c>
      <c r="D55" s="234"/>
      <c r="E55" s="235"/>
      <c r="F55" s="232"/>
      <c r="G55" s="236"/>
      <c r="H55" s="243"/>
      <c r="I55" s="257"/>
    </row>
    <row r="56" spans="1:9" ht="18.75" customHeight="1" x14ac:dyDescent="0.3">
      <c r="A56" s="22"/>
      <c r="B56" s="24" t="s">
        <v>1557</v>
      </c>
      <c r="C56" s="234" t="s">
        <v>1558</v>
      </c>
      <c r="D56" s="234"/>
      <c r="E56" s="235"/>
      <c r="F56" s="232"/>
      <c r="G56" s="236"/>
      <c r="H56" s="243"/>
      <c r="I56" s="257"/>
    </row>
    <row r="57" spans="1:9" ht="18.75" customHeight="1" x14ac:dyDescent="0.3">
      <c r="A57" s="14"/>
      <c r="B57" s="26" t="s">
        <v>1550</v>
      </c>
      <c r="C57" s="234" t="s">
        <v>1559</v>
      </c>
      <c r="D57" s="234"/>
      <c r="E57" s="235"/>
      <c r="F57" s="232"/>
      <c r="G57" s="236"/>
      <c r="H57" s="243"/>
      <c r="I57" s="257"/>
    </row>
    <row r="58" spans="1:9" ht="18.75" customHeight="1" x14ac:dyDescent="0.25">
      <c r="A58" s="264" t="s">
        <v>1560</v>
      </c>
      <c r="B58" s="267" t="s">
        <v>1561</v>
      </c>
      <c r="C58" s="234" t="s">
        <v>1562</v>
      </c>
      <c r="D58" s="234"/>
      <c r="E58" s="235"/>
      <c r="F58" s="232"/>
      <c r="G58" s="236"/>
      <c r="H58" s="243"/>
      <c r="I58" s="257"/>
    </row>
    <row r="59" spans="1:9" ht="18.75" customHeight="1" x14ac:dyDescent="0.3">
      <c r="A59" s="264" t="s">
        <v>1563</v>
      </c>
      <c r="B59" s="227" t="s">
        <v>1564</v>
      </c>
      <c r="C59" s="234" t="s">
        <v>1565</v>
      </c>
      <c r="D59" s="234"/>
      <c r="E59" s="235"/>
      <c r="F59" s="232"/>
      <c r="G59" s="236"/>
      <c r="H59" s="243"/>
      <c r="I59" s="257"/>
    </row>
    <row r="60" spans="1:9" ht="18.75" customHeight="1" x14ac:dyDescent="0.3">
      <c r="A60" s="28" t="s">
        <v>1566</v>
      </c>
      <c r="B60" s="229" t="s">
        <v>1567</v>
      </c>
      <c r="C60" s="234" t="s">
        <v>1568</v>
      </c>
      <c r="D60" s="234"/>
      <c r="E60" s="235"/>
      <c r="F60" s="232"/>
      <c r="G60" s="236"/>
      <c r="H60" s="243"/>
      <c r="I60" s="257"/>
    </row>
    <row r="61" spans="1:9" ht="19.5" customHeight="1" x14ac:dyDescent="0.35">
      <c r="A61" s="30"/>
      <c r="B61" s="23" t="s">
        <v>815</v>
      </c>
      <c r="C61" s="234"/>
      <c r="D61" s="234"/>
      <c r="E61" s="235">
        <v>4</v>
      </c>
      <c r="F61" s="232"/>
      <c r="G61" s="236"/>
      <c r="H61" s="243"/>
      <c r="I61" s="257"/>
    </row>
    <row r="62" spans="1:9" ht="18.75" customHeight="1" x14ac:dyDescent="0.3">
      <c r="A62" s="14"/>
      <c r="B62" s="24" t="s">
        <v>1569</v>
      </c>
      <c r="C62" s="234" t="s">
        <v>1570</v>
      </c>
      <c r="D62" s="234"/>
      <c r="E62" s="235"/>
      <c r="F62" s="232"/>
      <c r="G62" s="236"/>
      <c r="H62" s="243"/>
      <c r="I62" s="257"/>
    </row>
    <row r="63" spans="1:9" ht="18.75" customHeight="1" x14ac:dyDescent="0.3">
      <c r="A63" s="14"/>
      <c r="B63" s="24" t="s">
        <v>1571</v>
      </c>
      <c r="C63" s="234" t="s">
        <v>1572</v>
      </c>
      <c r="D63" s="234"/>
      <c r="E63" s="235"/>
      <c r="F63" s="232"/>
      <c r="G63" s="236"/>
      <c r="H63" s="243"/>
      <c r="I63" s="257"/>
    </row>
    <row r="64" spans="1:9" ht="18.75" customHeight="1" x14ac:dyDescent="0.3">
      <c r="A64" s="14"/>
      <c r="B64" s="24" t="s">
        <v>1573</v>
      </c>
      <c r="C64" s="234" t="s">
        <v>1574</v>
      </c>
      <c r="D64" s="234"/>
      <c r="E64" s="235"/>
      <c r="F64" s="232"/>
      <c r="G64" s="236"/>
      <c r="H64" s="243"/>
      <c r="I64" s="257"/>
    </row>
    <row r="65" spans="1:9" ht="18.75" customHeight="1" x14ac:dyDescent="0.3">
      <c r="A65" s="264" t="s">
        <v>1575</v>
      </c>
      <c r="B65" s="227" t="s">
        <v>1576</v>
      </c>
      <c r="C65" s="234" t="s">
        <v>1577</v>
      </c>
      <c r="D65" s="234"/>
      <c r="E65" s="235"/>
      <c r="F65" s="232"/>
      <c r="G65" s="236"/>
      <c r="H65" s="243"/>
      <c r="I65" s="257"/>
    </row>
    <row r="66" spans="1:9" ht="18.75" customHeight="1" x14ac:dyDescent="0.3">
      <c r="A66" s="264"/>
      <c r="B66" s="230" t="s">
        <v>635</v>
      </c>
      <c r="C66" s="234" t="s">
        <v>1578</v>
      </c>
      <c r="D66" s="234"/>
      <c r="E66" s="235"/>
      <c r="F66" s="232"/>
      <c r="G66" s="236"/>
      <c r="H66" s="243"/>
      <c r="I66" s="257"/>
    </row>
    <row r="67" spans="1:9" ht="18.75" customHeight="1" x14ac:dyDescent="0.3">
      <c r="A67" s="266" t="s">
        <v>1579</v>
      </c>
      <c r="B67" s="230" t="s">
        <v>637</v>
      </c>
      <c r="C67" s="234" t="s">
        <v>1580</v>
      </c>
      <c r="D67" s="234"/>
      <c r="E67" s="235"/>
      <c r="F67" s="232"/>
      <c r="G67" s="236"/>
      <c r="H67" s="243"/>
      <c r="I67" s="257"/>
    </row>
    <row r="68" spans="1:9" ht="18.75" customHeight="1" x14ac:dyDescent="0.3">
      <c r="A68" s="266" t="s">
        <v>1581</v>
      </c>
      <c r="B68" s="230" t="s">
        <v>646</v>
      </c>
      <c r="C68" s="234" t="s">
        <v>1582</v>
      </c>
      <c r="D68" s="234"/>
      <c r="E68" s="235"/>
      <c r="F68" s="232"/>
      <c r="G68" s="236"/>
      <c r="H68" s="243"/>
      <c r="I68" s="257"/>
    </row>
    <row r="69" spans="1:9" ht="18.75" customHeight="1" x14ac:dyDescent="0.3">
      <c r="A69" s="264" t="s">
        <v>1583</v>
      </c>
      <c r="B69" s="227" t="s">
        <v>1584</v>
      </c>
      <c r="C69" s="234" t="s">
        <v>1585</v>
      </c>
      <c r="D69" s="234"/>
      <c r="E69" s="235"/>
      <c r="F69" s="232"/>
      <c r="G69" s="236"/>
      <c r="H69" s="243"/>
      <c r="I69" s="257"/>
    </row>
    <row r="70" spans="1:9" ht="18.75" customHeight="1" x14ac:dyDescent="0.3">
      <c r="A70" s="264" t="s">
        <v>1586</v>
      </c>
      <c r="B70" s="227" t="s">
        <v>1587</v>
      </c>
      <c r="C70" s="234" t="s">
        <v>1588</v>
      </c>
      <c r="D70" s="234"/>
      <c r="E70" s="235"/>
      <c r="F70" s="232"/>
      <c r="G70" s="236"/>
      <c r="H70" s="243"/>
      <c r="I70" s="257"/>
    </row>
    <row r="71" spans="1:9" ht="18.75" customHeight="1" x14ac:dyDescent="0.3">
      <c r="A71" s="264" t="s">
        <v>1589</v>
      </c>
      <c r="B71" s="227" t="s">
        <v>1590</v>
      </c>
      <c r="C71" s="234" t="s">
        <v>1591</v>
      </c>
      <c r="D71" s="234"/>
      <c r="E71" s="235"/>
      <c r="F71" s="232"/>
      <c r="G71" s="236"/>
      <c r="H71" s="243"/>
      <c r="I71" s="257"/>
    </row>
    <row r="72" spans="1:9" ht="18.75" customHeight="1" x14ac:dyDescent="0.3">
      <c r="A72" s="264" t="s">
        <v>1592</v>
      </c>
      <c r="B72" s="227" t="s">
        <v>1593</v>
      </c>
      <c r="C72" s="234" t="s">
        <v>1594</v>
      </c>
      <c r="D72" s="234"/>
      <c r="E72" s="235"/>
      <c r="F72" s="232"/>
      <c r="G72" s="236"/>
      <c r="H72" s="243"/>
      <c r="I72" s="257"/>
    </row>
    <row r="73" spans="1:9" ht="18.75" customHeight="1" x14ac:dyDescent="0.3">
      <c r="A73" s="264" t="s">
        <v>1595</v>
      </c>
      <c r="B73" s="227" t="s">
        <v>1596</v>
      </c>
      <c r="C73" s="234" t="s">
        <v>1597</v>
      </c>
      <c r="D73" s="234"/>
      <c r="E73" s="235"/>
      <c r="F73" s="232"/>
      <c r="G73" s="236"/>
      <c r="H73" s="243"/>
      <c r="I73" s="257"/>
    </row>
    <row r="74" spans="1:9" x14ac:dyDescent="0.25">
      <c r="A74" s="304" t="s">
        <v>1598</v>
      </c>
      <c r="B74" s="305" t="s">
        <v>1599</v>
      </c>
      <c r="C74" s="234" t="s">
        <v>1600</v>
      </c>
      <c r="D74" s="234"/>
      <c r="E74" s="235"/>
      <c r="F74" s="232"/>
      <c r="G74" s="236"/>
      <c r="H74" s="243"/>
      <c r="I74" s="257"/>
    </row>
    <row r="75" spans="1:9" x14ac:dyDescent="0.25">
      <c r="A75" s="271"/>
      <c r="B75" s="271"/>
      <c r="C75" s="234" t="s">
        <v>1601</v>
      </c>
      <c r="D75" s="234"/>
      <c r="E75" s="235"/>
      <c r="F75" s="232"/>
      <c r="G75" s="236"/>
      <c r="H75" s="243"/>
      <c r="I75" s="257"/>
    </row>
    <row r="76" spans="1:9" ht="39" customHeight="1" x14ac:dyDescent="0.35">
      <c r="A76" s="264" t="s">
        <v>1602</v>
      </c>
      <c r="B76" s="32" t="s">
        <v>1603</v>
      </c>
      <c r="C76" s="234" t="s">
        <v>1604</v>
      </c>
      <c r="D76" s="234"/>
      <c r="E76" s="235"/>
      <c r="F76" s="232"/>
      <c r="G76" s="236"/>
      <c r="H76" s="243"/>
      <c r="I76" s="257"/>
    </row>
    <row r="77" spans="1:9" ht="39" customHeight="1" x14ac:dyDescent="0.35">
      <c r="A77" s="264"/>
      <c r="B77" s="32" t="s">
        <v>1605</v>
      </c>
      <c r="C77" s="234" t="s">
        <v>1606</v>
      </c>
      <c r="D77" s="234"/>
      <c r="E77" s="235"/>
      <c r="F77" s="232"/>
      <c r="G77" s="236"/>
      <c r="H77" s="243"/>
      <c r="I77" s="257"/>
    </row>
    <row r="78" spans="1:9" ht="19.5" customHeight="1" x14ac:dyDescent="0.35">
      <c r="A78" s="264" t="s">
        <v>1607</v>
      </c>
      <c r="B78" s="32" t="s">
        <v>1608</v>
      </c>
      <c r="C78" s="234"/>
      <c r="D78" s="234"/>
      <c r="E78" s="235">
        <v>5</v>
      </c>
      <c r="F78" s="232"/>
      <c r="G78" s="236"/>
      <c r="H78" s="243"/>
      <c r="I78" s="257"/>
    </row>
    <row r="79" spans="1:9" ht="39" customHeight="1" x14ac:dyDescent="0.35">
      <c r="A79" s="264"/>
      <c r="B79" s="23" t="s">
        <v>1609</v>
      </c>
      <c r="C79" s="234" t="s">
        <v>1610</v>
      </c>
      <c r="D79" s="234"/>
      <c r="E79" s="235"/>
      <c r="F79" s="232"/>
      <c r="G79" s="236"/>
      <c r="H79" s="243"/>
      <c r="I79" s="257"/>
    </row>
    <row r="80" spans="1:9" ht="19.5" customHeight="1" x14ac:dyDescent="0.35">
      <c r="A80" s="213"/>
      <c r="B80" s="23" t="s">
        <v>1230</v>
      </c>
      <c r="C80" s="234" t="s">
        <v>1611</v>
      </c>
      <c r="D80" s="234"/>
      <c r="E80" s="235"/>
      <c r="F80" s="232"/>
      <c r="G80" s="236"/>
      <c r="H80" s="243"/>
      <c r="I80" s="257"/>
    </row>
    <row r="81" spans="1:9" ht="25.5" customHeight="1" x14ac:dyDescent="0.25">
      <c r="A81" s="214"/>
      <c r="B81" s="257"/>
      <c r="C81" s="234"/>
      <c r="D81" s="234" t="s">
        <v>1612</v>
      </c>
      <c r="E81" s="235"/>
      <c r="F81" s="233" t="s">
        <v>1613</v>
      </c>
      <c r="G81" s="236"/>
      <c r="H81" s="243"/>
      <c r="I81" s="257"/>
    </row>
    <row r="82" spans="1:9" ht="26.25" customHeight="1" x14ac:dyDescent="0.25">
      <c r="A82" s="214"/>
      <c r="B82" s="259"/>
      <c r="C82" s="234"/>
      <c r="D82" s="234" t="s">
        <v>1614</v>
      </c>
      <c r="E82" s="235"/>
      <c r="F82" s="236" t="s">
        <v>1615</v>
      </c>
      <c r="G82" s="236"/>
      <c r="H82" s="243"/>
      <c r="I82" s="259"/>
    </row>
    <row r="83" spans="1:9" ht="39" customHeight="1" x14ac:dyDescent="0.25">
      <c r="A83" s="214"/>
      <c r="B83" s="259"/>
      <c r="C83" s="234"/>
      <c r="D83" s="234" t="s">
        <v>1616</v>
      </c>
      <c r="E83" s="235"/>
      <c r="F83" s="236" t="s">
        <v>1617</v>
      </c>
      <c r="G83" s="236"/>
      <c r="H83" s="243"/>
      <c r="I83" s="259"/>
    </row>
    <row r="84" spans="1:9" x14ac:dyDescent="0.25">
      <c r="A84" s="262"/>
      <c r="B84" s="254"/>
      <c r="C84" s="238"/>
      <c r="D84" s="238" t="s">
        <v>1618</v>
      </c>
      <c r="E84" s="239"/>
      <c r="F84" s="240" t="s">
        <v>1619</v>
      </c>
      <c r="G84" s="240"/>
      <c r="H84" s="243"/>
      <c r="I84" s="254"/>
    </row>
  </sheetData>
  <mergeCells count="24">
    <mergeCell ref="G3:G4"/>
    <mergeCell ref="D3:D4"/>
    <mergeCell ref="B34:B35"/>
    <mergeCell ref="A2:A4"/>
    <mergeCell ref="B17:B18"/>
    <mergeCell ref="A7:A8"/>
    <mergeCell ref="F3:F4"/>
    <mergeCell ref="C2:H2"/>
    <mergeCell ref="I2:I4"/>
    <mergeCell ref="A32:A33"/>
    <mergeCell ref="A17:A18"/>
    <mergeCell ref="B74:B75"/>
    <mergeCell ref="B36:B37"/>
    <mergeCell ref="A13:A14"/>
    <mergeCell ref="H3:H4"/>
    <mergeCell ref="B2:B4"/>
    <mergeCell ref="B30:B31"/>
    <mergeCell ref="B32:B33"/>
    <mergeCell ref="C3:C4"/>
    <mergeCell ref="E3:E4"/>
    <mergeCell ref="B7:B8"/>
    <mergeCell ref="A30:A31"/>
    <mergeCell ref="A74:A75"/>
    <mergeCell ref="B13:B14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2"/>
  <dimension ref="A2:I80"/>
  <sheetViews>
    <sheetView workbookViewId="0">
      <selection activeCell="B29" sqref="B29"/>
    </sheetView>
  </sheetViews>
  <sheetFormatPr defaultRowHeight="15" outlineLevelCol="1" x14ac:dyDescent="0.25"/>
  <cols>
    <col min="1" max="1" width="14.42578125" style="261" bestFit="1" customWidth="1"/>
    <col min="2" max="2" width="77.7109375" style="261" customWidth="1"/>
    <col min="3" max="3" width="14.85546875" style="261" customWidth="1" outlineLevel="1"/>
    <col min="4" max="4" width="28.5703125" style="261" customWidth="1" outlineLevel="1"/>
    <col min="5" max="5" width="16.42578125" style="261" customWidth="1" outlineLevel="1"/>
    <col min="6" max="6" width="22.85546875" style="261" customWidth="1" outlineLevel="1"/>
    <col min="7" max="8" width="14" style="261" customWidth="1" outlineLevel="1"/>
  </cols>
  <sheetData>
    <row r="2" spans="1:9" ht="18.75" customHeight="1" x14ac:dyDescent="0.25">
      <c r="A2" s="311" t="s">
        <v>1440</v>
      </c>
      <c r="B2" s="270" t="s">
        <v>0</v>
      </c>
      <c r="C2" s="287" t="s">
        <v>1</v>
      </c>
      <c r="D2" s="288"/>
      <c r="E2" s="288"/>
      <c r="F2" s="288"/>
      <c r="G2" s="288"/>
      <c r="H2" s="289"/>
      <c r="I2" s="270" t="s">
        <v>2</v>
      </c>
    </row>
    <row r="3" spans="1:9" ht="18.75" customHeight="1" x14ac:dyDescent="0.25">
      <c r="A3" s="271"/>
      <c r="B3" s="271"/>
      <c r="C3" s="284" t="s">
        <v>3</v>
      </c>
      <c r="D3" s="276" t="s">
        <v>4</v>
      </c>
      <c r="E3" s="276" t="s">
        <v>5</v>
      </c>
      <c r="F3" s="276" t="s">
        <v>6</v>
      </c>
      <c r="G3" s="276" t="s">
        <v>7</v>
      </c>
      <c r="H3" s="276" t="s">
        <v>8</v>
      </c>
      <c r="I3" s="271"/>
    </row>
    <row r="4" spans="1:9" ht="18.75" customHeight="1" x14ac:dyDescent="0.25">
      <c r="A4" s="272"/>
      <c r="B4" s="272"/>
      <c r="C4" s="285"/>
      <c r="D4" s="272"/>
      <c r="E4" s="272"/>
      <c r="F4" s="272"/>
      <c r="G4" s="272"/>
      <c r="H4" s="272"/>
      <c r="I4" s="272"/>
    </row>
    <row r="5" spans="1:9" ht="18.75" customHeight="1" x14ac:dyDescent="0.25">
      <c r="A5" s="35"/>
      <c r="B5" s="36"/>
      <c r="C5" s="37"/>
      <c r="D5" s="37"/>
      <c r="E5" s="37"/>
    </row>
    <row r="6" spans="1:9" ht="37.5" customHeight="1" x14ac:dyDescent="0.25">
      <c r="A6" s="1">
        <v>1</v>
      </c>
      <c r="B6" s="2" t="s">
        <v>1441</v>
      </c>
      <c r="C6" s="234" t="s">
        <v>1620</v>
      </c>
      <c r="D6" s="234"/>
      <c r="E6" s="235"/>
      <c r="F6" s="232"/>
      <c r="G6" s="231"/>
      <c r="H6" s="242"/>
    </row>
    <row r="7" spans="1:9" x14ac:dyDescent="0.25">
      <c r="A7" s="304" t="s">
        <v>1446</v>
      </c>
      <c r="B7" s="305" t="s">
        <v>1447</v>
      </c>
      <c r="C7" s="234" t="s">
        <v>1621</v>
      </c>
      <c r="D7" s="234"/>
      <c r="E7" s="235"/>
      <c r="F7" s="232"/>
      <c r="G7" s="231"/>
      <c r="H7" s="242"/>
    </row>
    <row r="8" spans="1:9" x14ac:dyDescent="0.25">
      <c r="A8" s="271"/>
      <c r="B8" s="271"/>
      <c r="C8" s="234" t="s">
        <v>1622</v>
      </c>
      <c r="D8" s="234"/>
      <c r="E8" s="235"/>
      <c r="F8" s="232"/>
      <c r="G8" s="231"/>
      <c r="H8" s="242"/>
    </row>
    <row r="9" spans="1:9" ht="56.25" customHeight="1" x14ac:dyDescent="0.25">
      <c r="A9" s="264" t="s">
        <v>1452</v>
      </c>
      <c r="B9" s="3" t="s">
        <v>1453</v>
      </c>
      <c r="C9" s="234" t="s">
        <v>1623</v>
      </c>
      <c r="D9" s="234"/>
      <c r="E9" s="235"/>
      <c r="F9" s="232"/>
      <c r="G9" s="231"/>
      <c r="H9" s="242"/>
    </row>
    <row r="10" spans="1:9" ht="39" customHeight="1" x14ac:dyDescent="0.25">
      <c r="A10" s="264"/>
      <c r="B10" s="5" t="s">
        <v>1455</v>
      </c>
      <c r="C10" s="234" t="s">
        <v>1624</v>
      </c>
      <c r="D10" s="234"/>
      <c r="E10" s="235"/>
      <c r="F10" s="232"/>
      <c r="G10" s="231"/>
      <c r="H10" s="242"/>
    </row>
    <row r="11" spans="1:9" ht="18.75" customHeight="1" x14ac:dyDescent="0.25">
      <c r="A11" s="264"/>
      <c r="B11" s="7" t="s">
        <v>1457</v>
      </c>
      <c r="C11" s="234" t="s">
        <v>1625</v>
      </c>
      <c r="D11" s="234"/>
      <c r="E11" s="235"/>
      <c r="F11" s="232"/>
      <c r="G11" s="231"/>
      <c r="H11" s="242"/>
    </row>
    <row r="12" spans="1:9" ht="37.5" customHeight="1" x14ac:dyDescent="0.25">
      <c r="A12" s="8" t="s">
        <v>1460</v>
      </c>
      <c r="B12" s="3" t="s">
        <v>1461</v>
      </c>
      <c r="C12" s="234" t="s">
        <v>1626</v>
      </c>
      <c r="D12" s="234"/>
      <c r="E12" s="235"/>
      <c r="F12" s="232"/>
      <c r="G12" s="231"/>
      <c r="H12" s="242"/>
    </row>
    <row r="13" spans="1:9" x14ac:dyDescent="0.25">
      <c r="A13" s="307" t="s">
        <v>1464</v>
      </c>
      <c r="B13" s="310" t="s">
        <v>1465</v>
      </c>
      <c r="C13" s="234" t="s">
        <v>1627</v>
      </c>
      <c r="D13" s="234"/>
      <c r="E13" s="235"/>
      <c r="F13" s="232"/>
      <c r="G13" s="231"/>
      <c r="H13" s="242"/>
    </row>
    <row r="14" spans="1:9" x14ac:dyDescent="0.25">
      <c r="A14" s="271"/>
      <c r="B14" s="271"/>
      <c r="C14" s="234" t="s">
        <v>1628</v>
      </c>
      <c r="D14" s="234"/>
      <c r="E14" s="235"/>
      <c r="F14" s="232"/>
      <c r="G14" s="231"/>
      <c r="H14" s="242"/>
    </row>
    <row r="15" spans="1:9" ht="18.75" customHeight="1" x14ac:dyDescent="0.25">
      <c r="A15" s="268" t="s">
        <v>1468</v>
      </c>
      <c r="B15" s="265" t="s">
        <v>1469</v>
      </c>
      <c r="C15" s="234" t="s">
        <v>1629</v>
      </c>
      <c r="D15" s="234"/>
      <c r="E15" s="235"/>
      <c r="F15" s="232"/>
      <c r="G15" s="231"/>
      <c r="H15" s="242"/>
    </row>
    <row r="16" spans="1:9" ht="37.5" customHeight="1" x14ac:dyDescent="0.25">
      <c r="A16" s="264" t="s">
        <v>1471</v>
      </c>
      <c r="B16" s="3" t="s">
        <v>1472</v>
      </c>
      <c r="C16" s="234" t="s">
        <v>1630</v>
      </c>
      <c r="D16" s="234"/>
      <c r="E16" s="235"/>
      <c r="F16" s="232"/>
      <c r="G16" s="231"/>
      <c r="H16" s="242"/>
    </row>
    <row r="17" spans="1:8" ht="25.5" customHeight="1" x14ac:dyDescent="0.25">
      <c r="A17" s="304" t="s">
        <v>1474</v>
      </c>
      <c r="B17" s="309" t="s">
        <v>1475</v>
      </c>
      <c r="C17" s="234" t="s">
        <v>1631</v>
      </c>
      <c r="D17" s="234"/>
      <c r="E17" s="235"/>
      <c r="F17" s="232" t="s">
        <v>1632</v>
      </c>
      <c r="G17" s="231"/>
      <c r="H17" s="242"/>
    </row>
    <row r="18" spans="1:8" x14ac:dyDescent="0.25">
      <c r="A18" s="271"/>
      <c r="B18" s="271"/>
      <c r="C18" s="234"/>
      <c r="D18" s="234" t="s">
        <v>1633</v>
      </c>
      <c r="E18" s="235"/>
      <c r="F18" s="232" t="s">
        <v>1634</v>
      </c>
      <c r="G18" s="231"/>
      <c r="H18" s="242"/>
    </row>
    <row r="19" spans="1:8" ht="56.25" customHeight="1" x14ac:dyDescent="0.3">
      <c r="A19" s="264" t="s">
        <v>1478</v>
      </c>
      <c r="B19" s="9" t="s">
        <v>1479</v>
      </c>
      <c r="C19" s="234"/>
      <c r="D19" s="234"/>
      <c r="E19" s="235">
        <v>1</v>
      </c>
      <c r="F19" s="232"/>
      <c r="G19" s="231"/>
      <c r="H19" s="242"/>
    </row>
    <row r="20" spans="1:8" ht="18.75" customHeight="1" x14ac:dyDescent="0.25">
      <c r="A20" s="8" t="s">
        <v>1481</v>
      </c>
      <c r="B20" s="269" t="s">
        <v>1482</v>
      </c>
      <c r="C20" s="234"/>
      <c r="D20" s="234"/>
      <c r="E20" s="235">
        <v>2</v>
      </c>
      <c r="F20" s="232"/>
      <c r="G20" s="231"/>
      <c r="H20" s="242"/>
    </row>
    <row r="21" spans="1:8" ht="37.5" customHeight="1" x14ac:dyDescent="0.25">
      <c r="A21" s="268" t="s">
        <v>1484</v>
      </c>
      <c r="B21" s="10" t="s">
        <v>1485</v>
      </c>
      <c r="C21" s="234"/>
      <c r="D21" s="234"/>
      <c r="E21" s="235">
        <v>3</v>
      </c>
      <c r="F21" s="232"/>
      <c r="G21" s="231"/>
      <c r="H21" s="242"/>
    </row>
    <row r="22" spans="1:8" ht="18.75" customHeight="1" x14ac:dyDescent="0.3">
      <c r="A22" s="268" t="s">
        <v>1488</v>
      </c>
      <c r="B22" s="11" t="s">
        <v>1489</v>
      </c>
      <c r="C22" s="234"/>
      <c r="D22" s="234"/>
      <c r="E22" s="235">
        <v>4</v>
      </c>
      <c r="F22" s="232"/>
      <c r="G22" s="231"/>
      <c r="H22" s="242"/>
    </row>
    <row r="23" spans="1:8" ht="37.5" customHeight="1" x14ac:dyDescent="0.25">
      <c r="A23" s="268" t="s">
        <v>1491</v>
      </c>
      <c r="B23" s="10" t="s">
        <v>1492</v>
      </c>
      <c r="C23" s="234"/>
      <c r="D23" s="234"/>
      <c r="E23" s="235">
        <v>5</v>
      </c>
      <c r="F23" s="232"/>
      <c r="G23" s="231"/>
      <c r="H23" s="242"/>
    </row>
    <row r="24" spans="1:8" ht="18.75" customHeight="1" x14ac:dyDescent="0.25">
      <c r="A24" s="268" t="s">
        <v>1494</v>
      </c>
      <c r="B24" s="12" t="s">
        <v>1495</v>
      </c>
      <c r="C24" s="234"/>
      <c r="D24" s="234"/>
      <c r="E24" s="235">
        <v>6</v>
      </c>
      <c r="F24" s="232"/>
      <c r="G24" s="231"/>
      <c r="H24" s="242"/>
    </row>
    <row r="25" spans="1:8" ht="19.5" customHeight="1" x14ac:dyDescent="0.25">
      <c r="A25" s="266"/>
      <c r="B25" s="13" t="s">
        <v>815</v>
      </c>
      <c r="C25" s="234"/>
      <c r="D25" s="234"/>
      <c r="E25" s="235">
        <v>7</v>
      </c>
      <c r="F25" s="232"/>
      <c r="G25" s="231"/>
      <c r="H25" s="242"/>
    </row>
    <row r="26" spans="1:8" ht="39" customHeight="1" x14ac:dyDescent="0.25">
      <c r="A26" s="6">
        <v>3</v>
      </c>
      <c r="B26" s="13" t="s">
        <v>1497</v>
      </c>
      <c r="C26" s="234"/>
      <c r="D26" s="234"/>
      <c r="E26" s="235">
        <v>8</v>
      </c>
      <c r="F26" s="232"/>
      <c r="G26" s="231"/>
      <c r="H26" s="242"/>
    </row>
    <row r="27" spans="1:8" ht="18.75" customHeight="1" x14ac:dyDescent="0.25">
      <c r="A27" s="14" t="s">
        <v>1499</v>
      </c>
      <c r="B27" s="15" t="s">
        <v>1367</v>
      </c>
      <c r="C27" s="234"/>
      <c r="D27" s="234"/>
      <c r="E27" s="235">
        <v>9</v>
      </c>
      <c r="F27" s="232"/>
      <c r="G27" s="231"/>
      <c r="H27" s="242"/>
    </row>
    <row r="28" spans="1:8" ht="18.75" customHeight="1" x14ac:dyDescent="0.3">
      <c r="A28" s="14" t="s">
        <v>1501</v>
      </c>
      <c r="B28" s="16" t="s">
        <v>1502</v>
      </c>
      <c r="C28" s="234"/>
      <c r="D28" s="234"/>
      <c r="E28" s="235">
        <v>10</v>
      </c>
      <c r="F28" s="232"/>
      <c r="G28" s="231"/>
      <c r="H28" s="242"/>
    </row>
    <row r="29" spans="1:8" ht="37.5" customHeight="1" x14ac:dyDescent="0.25">
      <c r="A29" s="4">
        <v>4</v>
      </c>
      <c r="B29" s="269" t="s">
        <v>1503</v>
      </c>
      <c r="C29" s="234"/>
      <c r="D29" s="234"/>
      <c r="E29" s="235">
        <v>11</v>
      </c>
      <c r="F29" s="232"/>
      <c r="G29" s="231"/>
      <c r="H29" s="242"/>
    </row>
    <row r="30" spans="1:8" x14ac:dyDescent="0.25">
      <c r="A30" s="304" t="s">
        <v>1505</v>
      </c>
      <c r="B30" s="309" t="s">
        <v>1506</v>
      </c>
      <c r="C30" s="234"/>
      <c r="D30" s="234"/>
      <c r="E30" s="235">
        <v>12</v>
      </c>
      <c r="F30" s="232"/>
      <c r="G30" s="231"/>
      <c r="H30" s="242"/>
    </row>
    <row r="31" spans="1:8" x14ac:dyDescent="0.25">
      <c r="A31" s="271"/>
      <c r="B31" s="271"/>
      <c r="C31" s="234"/>
      <c r="D31" s="234"/>
      <c r="E31" s="235">
        <v>13</v>
      </c>
      <c r="F31" s="232"/>
      <c r="G31" s="231"/>
      <c r="H31" s="242"/>
    </row>
    <row r="32" spans="1:8" x14ac:dyDescent="0.25">
      <c r="A32" s="303" t="s">
        <v>1509</v>
      </c>
      <c r="B32" s="306" t="s">
        <v>1510</v>
      </c>
      <c r="C32" s="234"/>
      <c r="D32" s="234"/>
      <c r="E32" s="235">
        <v>14</v>
      </c>
      <c r="F32" s="232"/>
      <c r="G32" s="231"/>
      <c r="H32" s="242"/>
    </row>
    <row r="33" spans="1:8" x14ac:dyDescent="0.25">
      <c r="A33" s="271"/>
      <c r="B33" s="271"/>
      <c r="C33" s="234"/>
      <c r="D33" s="234"/>
      <c r="E33" s="235">
        <v>15</v>
      </c>
      <c r="F33" s="232"/>
      <c r="G33" s="231"/>
      <c r="H33" s="242"/>
    </row>
    <row r="34" spans="1:8" ht="18.75" customHeight="1" x14ac:dyDescent="0.25">
      <c r="A34" s="266" t="s">
        <v>1513</v>
      </c>
      <c r="B34" s="314" t="s">
        <v>1514</v>
      </c>
      <c r="C34" s="234"/>
      <c r="D34" s="234"/>
      <c r="E34" s="235">
        <v>16</v>
      </c>
      <c r="F34" s="232"/>
      <c r="G34" s="231"/>
      <c r="H34" s="242"/>
    </row>
    <row r="35" spans="1:8" ht="18.75" customHeight="1" x14ac:dyDescent="0.25">
      <c r="A35" s="266"/>
      <c r="B35" s="313"/>
      <c r="C35" s="234"/>
      <c r="D35" s="234"/>
      <c r="E35" s="235">
        <v>17</v>
      </c>
      <c r="F35" s="232"/>
      <c r="G35" s="231"/>
      <c r="H35" s="242"/>
    </row>
    <row r="36" spans="1:8" ht="18.75" customHeight="1" x14ac:dyDescent="0.25">
      <c r="A36" s="266" t="s">
        <v>1517</v>
      </c>
      <c r="B36" s="306" t="s">
        <v>1518</v>
      </c>
      <c r="C36" s="234"/>
      <c r="D36" s="234"/>
      <c r="E36" s="235">
        <v>18</v>
      </c>
      <c r="F36" s="232"/>
      <c r="G36" s="231"/>
      <c r="H36" s="242"/>
    </row>
    <row r="37" spans="1:8" ht="18.75" customHeight="1" x14ac:dyDescent="0.25">
      <c r="A37" s="266"/>
      <c r="B37" s="271"/>
      <c r="C37" s="234"/>
      <c r="D37" s="234"/>
      <c r="E37" s="235">
        <v>19</v>
      </c>
      <c r="F37" s="232"/>
      <c r="G37" s="231"/>
      <c r="H37" s="242"/>
    </row>
    <row r="38" spans="1:8" ht="18.75" customHeight="1" x14ac:dyDescent="0.25">
      <c r="A38" s="264" t="s">
        <v>1521</v>
      </c>
      <c r="B38" s="269" t="s">
        <v>1522</v>
      </c>
      <c r="C38" s="234"/>
      <c r="D38" s="234"/>
      <c r="E38" s="235">
        <v>20</v>
      </c>
      <c r="F38" s="232"/>
      <c r="G38" s="231"/>
      <c r="H38" s="242"/>
    </row>
    <row r="39" spans="1:8" ht="18.75" customHeight="1" x14ac:dyDescent="0.3">
      <c r="A39" s="266" t="s">
        <v>1524</v>
      </c>
      <c r="B39" s="17" t="s">
        <v>1525</v>
      </c>
      <c r="C39" s="234"/>
      <c r="D39" s="234"/>
      <c r="E39" s="235">
        <v>21</v>
      </c>
      <c r="F39" s="232"/>
      <c r="G39" s="231"/>
      <c r="H39" s="242"/>
    </row>
    <row r="40" spans="1:8" ht="18.75" customHeight="1" x14ac:dyDescent="0.3">
      <c r="A40" s="266" t="s">
        <v>1527</v>
      </c>
      <c r="B40" s="18" t="s">
        <v>394</v>
      </c>
      <c r="C40" s="234"/>
      <c r="D40" s="234"/>
      <c r="E40" s="235">
        <v>22</v>
      </c>
      <c r="F40" s="232"/>
      <c r="G40" s="231"/>
      <c r="H40" s="242"/>
    </row>
    <row r="41" spans="1:8" ht="18.75" customHeight="1" x14ac:dyDescent="0.3">
      <c r="A41" s="266" t="s">
        <v>1529</v>
      </c>
      <c r="B41" s="18" t="s">
        <v>396</v>
      </c>
      <c r="C41" s="234"/>
      <c r="D41" s="234"/>
      <c r="E41" s="235">
        <v>23</v>
      </c>
      <c r="F41" s="232"/>
      <c r="G41" s="231"/>
      <c r="H41" s="242"/>
    </row>
    <row r="42" spans="1:8" ht="18.75" customHeight="1" x14ac:dyDescent="0.3">
      <c r="A42" s="266" t="s">
        <v>1531</v>
      </c>
      <c r="B42" s="18" t="s">
        <v>403</v>
      </c>
      <c r="C42" s="234"/>
      <c r="D42" s="234"/>
      <c r="E42" s="235">
        <v>24</v>
      </c>
      <c r="F42" s="232"/>
      <c r="G42" s="231"/>
      <c r="H42" s="242"/>
    </row>
    <row r="43" spans="1:8" ht="18.75" customHeight="1" x14ac:dyDescent="0.3">
      <c r="A43" s="266" t="s">
        <v>1533</v>
      </c>
      <c r="B43" s="18" t="s">
        <v>1534</v>
      </c>
      <c r="C43" s="234"/>
      <c r="D43" s="234"/>
      <c r="E43" s="235">
        <v>25</v>
      </c>
      <c r="F43" s="232"/>
      <c r="G43" s="231"/>
      <c r="H43" s="242"/>
    </row>
    <row r="44" spans="1:8" ht="18.75" customHeight="1" x14ac:dyDescent="0.3">
      <c r="A44" s="266" t="s">
        <v>1536</v>
      </c>
      <c r="B44" s="18" t="s">
        <v>405</v>
      </c>
      <c r="C44" s="234"/>
      <c r="D44" s="234"/>
      <c r="E44" s="235">
        <v>26</v>
      </c>
      <c r="F44" s="232"/>
      <c r="G44" s="231"/>
      <c r="H44" s="242"/>
    </row>
    <row r="45" spans="1:8" ht="19.5" customHeight="1" x14ac:dyDescent="0.25">
      <c r="A45" s="266"/>
      <c r="B45" s="13" t="s">
        <v>815</v>
      </c>
      <c r="C45" s="234"/>
      <c r="D45" s="234"/>
      <c r="E45" s="235">
        <v>27</v>
      </c>
      <c r="F45" s="232"/>
      <c r="G45" s="231"/>
      <c r="H45" s="242"/>
    </row>
    <row r="46" spans="1:8" ht="18.75" customHeight="1" x14ac:dyDescent="0.25">
      <c r="A46" s="266"/>
      <c r="B46" s="19" t="s">
        <v>1538</v>
      </c>
      <c r="C46" s="234"/>
      <c r="D46" s="234"/>
      <c r="E46" s="235">
        <v>28</v>
      </c>
      <c r="F46" s="232"/>
      <c r="G46" s="231"/>
      <c r="H46" s="242"/>
    </row>
    <row r="47" spans="1:8" ht="18.75" customHeight="1" x14ac:dyDescent="0.25">
      <c r="A47" s="266"/>
      <c r="B47" s="19" t="s">
        <v>1540</v>
      </c>
      <c r="C47" s="234"/>
      <c r="D47" s="234"/>
      <c r="E47" s="235">
        <v>29</v>
      </c>
      <c r="F47" s="232"/>
      <c r="G47" s="231"/>
      <c r="H47" s="242"/>
    </row>
    <row r="48" spans="1:8" ht="18.75" customHeight="1" x14ac:dyDescent="0.25">
      <c r="A48" s="266"/>
      <c r="B48" s="19" t="s">
        <v>1542</v>
      </c>
      <c r="C48" s="234"/>
      <c r="D48" s="234"/>
      <c r="E48" s="235">
        <v>30</v>
      </c>
      <c r="F48" s="232"/>
      <c r="G48" s="231"/>
      <c r="H48" s="242"/>
    </row>
    <row r="49" spans="1:8" ht="18.75" customHeight="1" x14ac:dyDescent="0.3">
      <c r="A49" s="264" t="s">
        <v>1544</v>
      </c>
      <c r="B49" s="20" t="s">
        <v>1545</v>
      </c>
      <c r="C49" s="234"/>
      <c r="D49" s="234"/>
      <c r="E49" s="235">
        <v>31</v>
      </c>
      <c r="F49" s="232"/>
      <c r="G49" s="231"/>
      <c r="H49" s="242"/>
    </row>
    <row r="50" spans="1:8" ht="18.75" customHeight="1" x14ac:dyDescent="0.3">
      <c r="A50" s="266" t="s">
        <v>1547</v>
      </c>
      <c r="B50" s="17" t="s">
        <v>1548</v>
      </c>
      <c r="C50" s="234"/>
      <c r="D50" s="234"/>
      <c r="E50" s="235">
        <v>32</v>
      </c>
      <c r="F50" s="232"/>
      <c r="G50" s="231"/>
      <c r="H50" s="242"/>
    </row>
    <row r="51" spans="1:8" ht="18.75" customHeight="1" x14ac:dyDescent="0.3">
      <c r="A51" s="14"/>
      <c r="B51" s="21" t="s">
        <v>1550</v>
      </c>
      <c r="C51" s="234"/>
      <c r="D51" s="234"/>
      <c r="E51" s="235">
        <v>33</v>
      </c>
      <c r="F51" s="232"/>
      <c r="G51" s="231"/>
      <c r="H51" s="242"/>
    </row>
    <row r="52" spans="1:8" ht="19.5" customHeight="1" x14ac:dyDescent="0.35">
      <c r="A52" s="22"/>
      <c r="B52" s="23" t="s">
        <v>815</v>
      </c>
      <c r="C52" s="234"/>
      <c r="D52" s="234"/>
      <c r="E52" s="235">
        <v>34</v>
      </c>
      <c r="F52" s="232"/>
      <c r="G52" s="231"/>
      <c r="H52" s="242"/>
    </row>
    <row r="53" spans="1:8" ht="18.75" customHeight="1" x14ac:dyDescent="0.3">
      <c r="A53" s="22"/>
      <c r="B53" s="24" t="s">
        <v>1552</v>
      </c>
      <c r="C53" s="234"/>
      <c r="D53" s="234"/>
      <c r="E53" s="235">
        <v>35</v>
      </c>
      <c r="F53" s="232"/>
      <c r="G53" s="231"/>
      <c r="H53" s="242"/>
    </row>
    <row r="54" spans="1:8" ht="18.75" customHeight="1" x14ac:dyDescent="0.3">
      <c r="A54" s="25"/>
      <c r="B54" s="24" t="s">
        <v>1554</v>
      </c>
      <c r="C54" s="234"/>
      <c r="D54" s="234"/>
      <c r="E54" s="235">
        <v>36</v>
      </c>
      <c r="F54" s="232"/>
      <c r="G54" s="231"/>
      <c r="H54" s="242"/>
    </row>
    <row r="55" spans="1:8" ht="18.75" customHeight="1" x14ac:dyDescent="0.3">
      <c r="A55" s="25"/>
      <c r="B55" s="26" t="s">
        <v>1550</v>
      </c>
      <c r="C55" s="234"/>
      <c r="D55" s="234"/>
      <c r="E55" s="235">
        <v>37</v>
      </c>
      <c r="F55" s="232"/>
      <c r="G55" s="231"/>
      <c r="H55" s="242"/>
    </row>
    <row r="56" spans="1:8" ht="18.75" customHeight="1" x14ac:dyDescent="0.3">
      <c r="A56" s="22"/>
      <c r="B56" s="24" t="s">
        <v>1557</v>
      </c>
      <c r="C56" s="234"/>
      <c r="D56" s="234"/>
      <c r="E56" s="235">
        <v>38</v>
      </c>
      <c r="F56" s="232"/>
      <c r="G56" s="231"/>
      <c r="H56" s="242"/>
    </row>
    <row r="57" spans="1:8" ht="18.75" customHeight="1" x14ac:dyDescent="0.3">
      <c r="A57" s="14"/>
      <c r="B57" s="27" t="s">
        <v>1550</v>
      </c>
      <c r="C57" s="234"/>
      <c r="D57" s="234"/>
      <c r="E57" s="235">
        <v>39</v>
      </c>
      <c r="F57" s="232"/>
      <c r="G57" s="231"/>
      <c r="H57" s="242"/>
    </row>
    <row r="58" spans="1:8" ht="18.75" customHeight="1" x14ac:dyDescent="0.25">
      <c r="A58" s="264" t="s">
        <v>1560</v>
      </c>
      <c r="B58" s="269" t="s">
        <v>1561</v>
      </c>
      <c r="C58" s="234"/>
      <c r="D58" s="234"/>
      <c r="E58" s="235">
        <v>40</v>
      </c>
      <c r="F58" s="232"/>
      <c r="G58" s="231"/>
      <c r="H58" s="242"/>
    </row>
    <row r="59" spans="1:8" ht="18.75" customHeight="1" x14ac:dyDescent="0.3">
      <c r="A59" s="264" t="s">
        <v>1563</v>
      </c>
      <c r="B59" s="20" t="s">
        <v>1564</v>
      </c>
      <c r="C59" s="234"/>
      <c r="D59" s="234"/>
      <c r="E59" s="235">
        <v>41</v>
      </c>
      <c r="F59" s="232"/>
      <c r="G59" s="231"/>
      <c r="H59" s="242"/>
    </row>
    <row r="60" spans="1:8" ht="18.75" customHeight="1" x14ac:dyDescent="0.3">
      <c r="A60" s="28" t="s">
        <v>1566</v>
      </c>
      <c r="B60" s="29" t="s">
        <v>1567</v>
      </c>
      <c r="C60" s="234"/>
      <c r="D60" s="234"/>
      <c r="E60" s="235">
        <v>42</v>
      </c>
      <c r="F60" s="232"/>
      <c r="G60" s="231"/>
      <c r="H60" s="242"/>
    </row>
    <row r="61" spans="1:8" ht="19.5" customHeight="1" x14ac:dyDescent="0.35">
      <c r="A61" s="30"/>
      <c r="B61" s="23" t="s">
        <v>815</v>
      </c>
      <c r="C61" s="234"/>
      <c r="D61" s="234"/>
      <c r="E61" s="235">
        <v>43</v>
      </c>
      <c r="F61" s="232"/>
      <c r="G61" s="231"/>
      <c r="H61" s="242"/>
    </row>
    <row r="62" spans="1:8" ht="18.75" customHeight="1" x14ac:dyDescent="0.3">
      <c r="A62" s="14"/>
      <c r="B62" s="16" t="s">
        <v>1569</v>
      </c>
      <c r="C62" s="234"/>
      <c r="D62" s="234"/>
      <c r="E62" s="235">
        <v>44</v>
      </c>
      <c r="F62" s="232"/>
      <c r="G62" s="231"/>
      <c r="H62" s="242"/>
    </row>
    <row r="63" spans="1:8" ht="18.75" customHeight="1" x14ac:dyDescent="0.3">
      <c r="A63" s="14"/>
      <c r="B63" s="16" t="s">
        <v>1571</v>
      </c>
      <c r="C63" s="234"/>
      <c r="D63" s="234"/>
      <c r="E63" s="235">
        <v>45</v>
      </c>
      <c r="F63" s="232"/>
      <c r="G63" s="231"/>
      <c r="H63" s="242"/>
    </row>
    <row r="64" spans="1:8" ht="18.75" customHeight="1" x14ac:dyDescent="0.3">
      <c r="A64" s="14"/>
      <c r="B64" s="16" t="s">
        <v>1573</v>
      </c>
      <c r="C64" s="234"/>
      <c r="D64" s="234"/>
      <c r="E64" s="235">
        <v>46</v>
      </c>
      <c r="F64" s="232"/>
      <c r="G64" s="231"/>
      <c r="H64" s="242"/>
    </row>
    <row r="65" spans="1:8" ht="18.75" customHeight="1" x14ac:dyDescent="0.3">
      <c r="A65" s="264" t="s">
        <v>1575</v>
      </c>
      <c r="B65" s="20" t="s">
        <v>1576</v>
      </c>
      <c r="C65" s="234"/>
      <c r="D65" s="234"/>
      <c r="E65" s="235">
        <v>47</v>
      </c>
      <c r="F65" s="232"/>
      <c r="G65" s="231"/>
      <c r="H65" s="242"/>
    </row>
    <row r="66" spans="1:8" ht="18.75" customHeight="1" x14ac:dyDescent="0.3">
      <c r="A66" s="264"/>
      <c r="B66" s="31" t="s">
        <v>635</v>
      </c>
      <c r="C66" s="234"/>
      <c r="D66" s="234"/>
      <c r="E66" s="235">
        <v>48</v>
      </c>
      <c r="F66" s="232"/>
      <c r="G66" s="231"/>
      <c r="H66" s="242"/>
    </row>
    <row r="67" spans="1:8" ht="18.75" customHeight="1" x14ac:dyDescent="0.3">
      <c r="A67" s="266" t="s">
        <v>1579</v>
      </c>
      <c r="B67" s="31" t="s">
        <v>637</v>
      </c>
      <c r="C67" s="234"/>
      <c r="D67" s="234"/>
      <c r="E67" s="235">
        <v>49</v>
      </c>
      <c r="F67" s="232"/>
      <c r="G67" s="231"/>
      <c r="H67" s="242"/>
    </row>
    <row r="68" spans="1:8" ht="18.75" customHeight="1" x14ac:dyDescent="0.3">
      <c r="A68" s="266" t="s">
        <v>1581</v>
      </c>
      <c r="B68" s="31" t="s">
        <v>646</v>
      </c>
      <c r="C68" s="234"/>
      <c r="D68" s="234"/>
      <c r="E68" s="235">
        <v>50</v>
      </c>
      <c r="F68" s="232"/>
      <c r="G68" s="231"/>
      <c r="H68" s="242"/>
    </row>
    <row r="69" spans="1:8" ht="18.75" customHeight="1" x14ac:dyDescent="0.3">
      <c r="A69" s="264" t="s">
        <v>1583</v>
      </c>
      <c r="B69" s="20" t="s">
        <v>1584</v>
      </c>
      <c r="C69" s="234"/>
      <c r="D69" s="234"/>
      <c r="E69" s="235">
        <v>51</v>
      </c>
      <c r="F69" s="232"/>
      <c r="G69" s="231"/>
      <c r="H69" s="242"/>
    </row>
    <row r="70" spans="1:8" ht="18.75" customHeight="1" x14ac:dyDescent="0.3">
      <c r="A70" s="264" t="s">
        <v>1586</v>
      </c>
      <c r="B70" s="20" t="s">
        <v>1587</v>
      </c>
      <c r="C70" s="234"/>
      <c r="D70" s="234"/>
      <c r="E70" s="235">
        <v>52</v>
      </c>
      <c r="F70" s="232"/>
      <c r="G70" s="231"/>
      <c r="H70" s="242"/>
    </row>
    <row r="71" spans="1:8" ht="18.75" customHeight="1" x14ac:dyDescent="0.3">
      <c r="A71" s="264" t="s">
        <v>1589</v>
      </c>
      <c r="B71" s="20" t="s">
        <v>1590</v>
      </c>
      <c r="C71" s="234"/>
      <c r="D71" s="234"/>
      <c r="E71" s="235">
        <v>53</v>
      </c>
      <c r="F71" s="232"/>
      <c r="G71" s="231"/>
      <c r="H71" s="242"/>
    </row>
    <row r="72" spans="1:8" ht="18.75" customHeight="1" x14ac:dyDescent="0.3">
      <c r="A72" s="264" t="s">
        <v>1592</v>
      </c>
      <c r="B72" s="20" t="s">
        <v>1593</v>
      </c>
      <c r="C72" s="234"/>
      <c r="D72" s="234"/>
      <c r="E72" s="235">
        <v>54</v>
      </c>
      <c r="F72" s="232"/>
      <c r="G72" s="231"/>
      <c r="H72" s="242"/>
    </row>
    <row r="73" spans="1:8" ht="18.75" customHeight="1" x14ac:dyDescent="0.3">
      <c r="A73" s="264" t="s">
        <v>1595</v>
      </c>
      <c r="B73" s="20" t="s">
        <v>1596</v>
      </c>
      <c r="C73" s="234"/>
      <c r="D73" s="234"/>
      <c r="E73" s="235">
        <v>55</v>
      </c>
      <c r="F73" s="232"/>
      <c r="G73" s="231"/>
      <c r="H73" s="242"/>
    </row>
    <row r="74" spans="1:8" x14ac:dyDescent="0.25">
      <c r="A74" s="304" t="s">
        <v>1598</v>
      </c>
      <c r="B74" s="312" t="s">
        <v>1599</v>
      </c>
      <c r="C74" s="234"/>
      <c r="D74" s="234"/>
      <c r="E74" s="235">
        <v>56</v>
      </c>
      <c r="F74" s="232"/>
      <c r="G74" s="231"/>
      <c r="H74" s="242"/>
    </row>
    <row r="75" spans="1:8" x14ac:dyDescent="0.25">
      <c r="A75" s="271"/>
      <c r="B75" s="313"/>
      <c r="C75" s="234"/>
      <c r="D75" s="234"/>
      <c r="E75" s="235">
        <v>57</v>
      </c>
      <c r="F75" s="232"/>
      <c r="G75" s="231"/>
      <c r="H75" s="242"/>
    </row>
    <row r="76" spans="1:8" ht="39" customHeight="1" x14ac:dyDescent="0.35">
      <c r="A76" s="264" t="s">
        <v>1602</v>
      </c>
      <c r="B76" s="32" t="s">
        <v>1603</v>
      </c>
      <c r="C76" s="234"/>
      <c r="D76" s="234"/>
      <c r="E76" s="235">
        <v>58</v>
      </c>
      <c r="F76" s="232"/>
      <c r="G76" s="231"/>
      <c r="H76" s="242"/>
    </row>
    <row r="77" spans="1:8" ht="39" customHeight="1" x14ac:dyDescent="0.35">
      <c r="A77" s="264"/>
      <c r="B77" s="32" t="s">
        <v>1605</v>
      </c>
      <c r="C77" s="234"/>
      <c r="D77" s="234"/>
      <c r="E77" s="235">
        <v>59</v>
      </c>
      <c r="F77" s="232"/>
      <c r="G77" s="231"/>
      <c r="H77" s="242"/>
    </row>
    <row r="78" spans="1:8" ht="19.5" customHeight="1" x14ac:dyDescent="0.35">
      <c r="A78" s="264" t="s">
        <v>1607</v>
      </c>
      <c r="B78" s="32" t="s">
        <v>1608</v>
      </c>
      <c r="C78" s="234"/>
      <c r="D78" s="234"/>
      <c r="E78" s="235">
        <v>60</v>
      </c>
      <c r="F78" s="232"/>
      <c r="G78" s="231"/>
      <c r="H78" s="242"/>
    </row>
    <row r="79" spans="1:8" ht="39" customHeight="1" x14ac:dyDescent="0.35">
      <c r="A79" s="264"/>
      <c r="B79" s="23" t="s">
        <v>1609</v>
      </c>
      <c r="C79" s="234"/>
      <c r="D79" s="234"/>
      <c r="E79" s="235">
        <v>61</v>
      </c>
      <c r="F79" s="232"/>
      <c r="G79" s="231"/>
      <c r="H79" s="242"/>
    </row>
    <row r="80" spans="1:8" ht="19.5" customHeight="1" x14ac:dyDescent="0.35">
      <c r="A80" s="33"/>
      <c r="B80" s="34" t="s">
        <v>1230</v>
      </c>
      <c r="C80" s="234"/>
      <c r="D80" s="234"/>
      <c r="E80" s="235">
        <v>62</v>
      </c>
      <c r="F80" s="232"/>
      <c r="G80" s="231"/>
      <c r="H80" s="242"/>
    </row>
  </sheetData>
  <mergeCells count="24">
    <mergeCell ref="G3:G4"/>
    <mergeCell ref="D3:D4"/>
    <mergeCell ref="B34:B35"/>
    <mergeCell ref="A2:A4"/>
    <mergeCell ref="B17:B18"/>
    <mergeCell ref="A7:A8"/>
    <mergeCell ref="F3:F4"/>
    <mergeCell ref="C2:H2"/>
    <mergeCell ref="I2:I4"/>
    <mergeCell ref="A32:A33"/>
    <mergeCell ref="A17:A18"/>
    <mergeCell ref="B74:B75"/>
    <mergeCell ref="B36:B37"/>
    <mergeCell ref="A13:A14"/>
    <mergeCell ref="H3:H4"/>
    <mergeCell ref="B2:B4"/>
    <mergeCell ref="B30:B31"/>
    <mergeCell ref="B32:B33"/>
    <mergeCell ref="C3:C4"/>
    <mergeCell ref="E3:E4"/>
    <mergeCell ref="B7:B8"/>
    <mergeCell ref="A30:A31"/>
    <mergeCell ref="A74:A75"/>
    <mergeCell ref="B13:B14"/>
  </mergeCells>
  <pageMargins left="0.7" right="0.7" top="0.75" bottom="0.75" header="0.3" footer="0.3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I13"/>
  <sheetViews>
    <sheetView workbookViewId="0">
      <selection activeCell="D18" sqref="D18"/>
    </sheetView>
  </sheetViews>
  <sheetFormatPr defaultRowHeight="15" x14ac:dyDescent="0.25"/>
  <cols>
    <col min="1" max="1" width="28.85546875" style="261" customWidth="1"/>
    <col min="2" max="2" width="73.28515625" style="261" customWidth="1"/>
    <col min="8" max="8" width="23.7109375" style="241" customWidth="1"/>
    <col min="9" max="9" width="41.140625" style="241" customWidth="1"/>
  </cols>
  <sheetData>
    <row r="1" spans="1:9" ht="18.75" customHeight="1" x14ac:dyDescent="0.3">
      <c r="A1" s="38" t="s">
        <v>1635</v>
      </c>
      <c r="B1" s="38" t="s">
        <v>1636</v>
      </c>
      <c r="H1" s="241" t="s">
        <v>1637</v>
      </c>
      <c r="I1" s="241" t="s">
        <v>1638</v>
      </c>
    </row>
    <row r="2" spans="1:9" ht="18.75" customHeight="1" x14ac:dyDescent="0.3">
      <c r="A2" t="s">
        <v>1639</v>
      </c>
      <c r="B2" s="205">
        <v>1234567890.12345</v>
      </c>
      <c r="H2" s="241" t="s">
        <v>1640</v>
      </c>
      <c r="I2" s="241" t="s">
        <v>1641</v>
      </c>
    </row>
    <row r="3" spans="1:9" ht="18.75" customHeight="1" x14ac:dyDescent="0.3">
      <c r="A3" t="s">
        <v>1642</v>
      </c>
      <c r="B3" s="206">
        <v>1234567890.12345</v>
      </c>
      <c r="H3" s="241" t="s">
        <v>1643</v>
      </c>
      <c r="I3" s="241" t="s">
        <v>1644</v>
      </c>
    </row>
    <row r="4" spans="1:9" x14ac:dyDescent="0.25">
      <c r="A4" t="s">
        <v>1645</v>
      </c>
      <c r="B4" s="40" t="s">
        <v>1646</v>
      </c>
      <c r="H4" s="241" t="s">
        <v>1647</v>
      </c>
      <c r="I4" s="241" t="s">
        <v>1648</v>
      </c>
    </row>
    <row r="5" spans="1:9" ht="18.75" customHeight="1" x14ac:dyDescent="0.25">
      <c r="A5" t="s">
        <v>1649</v>
      </c>
      <c r="B5" s="39" t="s">
        <v>1646</v>
      </c>
      <c r="H5" s="241" t="s">
        <v>1650</v>
      </c>
      <c r="I5" s="241" t="s">
        <v>1651</v>
      </c>
    </row>
    <row r="6" spans="1:9" x14ac:dyDescent="0.25">
      <c r="A6" t="s">
        <v>1652</v>
      </c>
      <c r="B6" s="207">
        <v>1234567890.12345</v>
      </c>
      <c r="H6" s="241" t="s">
        <v>1653</v>
      </c>
      <c r="I6" s="241" t="s">
        <v>1654</v>
      </c>
    </row>
    <row r="7" spans="1:9" x14ac:dyDescent="0.25">
      <c r="A7" t="s">
        <v>1655</v>
      </c>
      <c r="B7" s="210" t="s">
        <v>1646</v>
      </c>
      <c r="H7" s="241" t="s">
        <v>1656</v>
      </c>
      <c r="I7" s="241" t="s">
        <v>1657</v>
      </c>
    </row>
    <row r="8" spans="1:9" x14ac:dyDescent="0.25">
      <c r="A8" t="s">
        <v>1658</v>
      </c>
      <c r="B8" s="208">
        <v>0.76</v>
      </c>
      <c r="H8" s="241" t="s">
        <v>1659</v>
      </c>
      <c r="I8" s="241" t="s">
        <v>1660</v>
      </c>
    </row>
    <row r="9" spans="1:9" ht="19.5" customHeight="1" x14ac:dyDescent="0.25">
      <c r="A9" t="s">
        <v>1661</v>
      </c>
      <c r="B9" s="203" t="s">
        <v>1646</v>
      </c>
      <c r="H9" s="241" t="s">
        <v>1662</v>
      </c>
      <c r="I9" s="241" t="s">
        <v>1663</v>
      </c>
    </row>
    <row r="10" spans="1:9" x14ac:dyDescent="0.25">
      <c r="A10" t="s">
        <v>1664</v>
      </c>
      <c r="B10" s="204" t="s">
        <v>1646</v>
      </c>
      <c r="H10" s="241" t="s">
        <v>1665</v>
      </c>
      <c r="I10" s="241" t="s">
        <v>1666</v>
      </c>
    </row>
    <row r="11" spans="1:9" ht="19.5" customHeight="1" x14ac:dyDescent="0.25">
      <c r="A11" t="s">
        <v>1667</v>
      </c>
      <c r="B11" s="209">
        <v>1234567890.12345</v>
      </c>
      <c r="H11" s="241">
        <v>0</v>
      </c>
      <c r="I11" s="241" t="s">
        <v>1668</v>
      </c>
    </row>
    <row r="12" spans="1:9" x14ac:dyDescent="0.25">
      <c r="A12" t="s">
        <v>1669</v>
      </c>
      <c r="B12">
        <v>0</v>
      </c>
      <c r="H12" s="241" t="s">
        <v>1670</v>
      </c>
      <c r="I12" s="241" t="s">
        <v>1671</v>
      </c>
    </row>
    <row r="13" spans="1:9" ht="18.75" x14ac:dyDescent="0.3">
      <c r="A13" s="261" t="s">
        <v>1673</v>
      </c>
      <c r="B13" s="315">
        <v>1234567890.12345</v>
      </c>
      <c r="H13" s="241" t="s">
        <v>1471</v>
      </c>
      <c r="I13" s="241" t="s">
        <v>1672</v>
      </c>
    </row>
  </sheetData>
  <conditionalFormatting sqref="B6">
    <cfRule type="cellIs" dxfId="6" priority="2" operator="lessThan">
      <formula>0</formula>
    </cfRule>
    <cfRule type="cellIs" dxfId="5" priority="3" operator="greaterThan">
      <formula>0</formula>
    </cfRule>
  </conditionalFormatting>
  <conditionalFormatting sqref="B6 B12">
    <cfRule type="cellIs" dxfId="4" priority="1" operator="equal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10</vt:i4>
      </vt:variant>
    </vt:vector>
  </HeadingPairs>
  <TitlesOfParts>
    <vt:vector size="16" baseType="lpstr">
      <vt:lpstr>План общий </vt:lpstr>
      <vt:lpstr>Отчёт КПД ДО</vt:lpstr>
      <vt:lpstr>Баланс ЗС</vt:lpstr>
      <vt:lpstr>Лист1</vt:lpstr>
      <vt:lpstr>Лист1 (2)</vt:lpstr>
      <vt:lpstr>tech</vt:lpstr>
      <vt:lpstr>_INTERNAL_KEY1</vt:lpstr>
      <vt:lpstr>_INTERNAL_KEY2</vt:lpstr>
      <vt:lpstr>_SET_ROW1</vt:lpstr>
      <vt:lpstr>_SET_ROW2</vt:lpstr>
      <vt:lpstr>_STATIC_REP_INTERNAL_KEY1</vt:lpstr>
      <vt:lpstr>_STATIC_REP_SET_ROW1</vt:lpstr>
      <vt:lpstr>_SUM_REP_INTERNAL_KEY1</vt:lpstr>
      <vt:lpstr>_SUM_REP_INTERNAL_KEY2</vt:lpstr>
      <vt:lpstr>_SUM_REP_SET_ROW1</vt:lpstr>
      <vt:lpstr>_SUM_REP_SET_ROW2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Юшкова Мария Владимировна</dc:creator>
  <cp:lastModifiedBy>Windows User</cp:lastModifiedBy>
  <dcterms:created xsi:type="dcterms:W3CDTF">2026-05-18T05:46:47Z</dcterms:created>
  <dcterms:modified xsi:type="dcterms:W3CDTF">2026-08-07T12:14:42Z</dcterms:modified>
</cp:coreProperties>
</file>